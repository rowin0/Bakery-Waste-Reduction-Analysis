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csy\Desktop\"/>
    </mc:Choice>
  </mc:AlternateContent>
  <xr:revisionPtr revIDLastSave="0" documentId="13_ncr:1_{E78B0E9C-B7E2-4D29-A782-378766E3871F}" xr6:coauthVersionLast="47" xr6:coauthVersionMax="47" xr10:uidLastSave="{00000000-0000-0000-0000-000000000000}"/>
  <bookViews>
    <workbookView xWindow="-108" yWindow="-108" windowWidth="23256" windowHeight="12456" activeTab="3" xr2:uid="{3FCB0E11-2C63-4606-90D1-18838B230BC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Sheet1!$A$1:$G$46</definedName>
    <definedName name="_xlnm._FilterDatabase" localSheetId="3" hidden="1">Sheet4!$A$1:$M$1001</definedName>
    <definedName name="_xlnm._FilterDatabase" localSheetId="4" hidden="1">Sheet5!$A$1:$O$1001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4" l="1"/>
  <c r="N2" i="4"/>
  <c r="M3" i="4"/>
  <c r="N3" i="4"/>
  <c r="M4" i="4"/>
  <c r="N4" i="4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M24" i="4"/>
  <c r="N24" i="4"/>
  <c r="M25" i="4"/>
  <c r="N25" i="4"/>
  <c r="M26" i="4"/>
  <c r="N26" i="4"/>
  <c r="M27" i="4"/>
  <c r="N27" i="4"/>
  <c r="M28" i="4"/>
  <c r="N28" i="4"/>
  <c r="M29" i="4"/>
  <c r="N29" i="4"/>
  <c r="M30" i="4"/>
  <c r="N30" i="4"/>
  <c r="M31" i="4"/>
  <c r="N31" i="4"/>
  <c r="M32" i="4"/>
  <c r="N32" i="4"/>
  <c r="M33" i="4"/>
  <c r="N33" i="4"/>
  <c r="M34" i="4"/>
  <c r="N34" i="4"/>
  <c r="M35" i="4"/>
  <c r="N35" i="4"/>
  <c r="M36" i="4"/>
  <c r="N36" i="4"/>
  <c r="M37" i="4"/>
  <c r="N37" i="4"/>
  <c r="M38" i="4"/>
  <c r="N38" i="4"/>
  <c r="M39" i="4"/>
  <c r="N39" i="4"/>
  <c r="M40" i="4"/>
  <c r="N40" i="4"/>
  <c r="M41" i="4"/>
  <c r="N41" i="4"/>
  <c r="M42" i="4"/>
  <c r="N42" i="4"/>
  <c r="M43" i="4"/>
  <c r="N43" i="4"/>
  <c r="M44" i="4"/>
  <c r="N44" i="4"/>
  <c r="M45" i="4"/>
  <c r="N45" i="4"/>
  <c r="M46" i="4"/>
  <c r="N46" i="4"/>
  <c r="M47" i="4"/>
  <c r="N47" i="4"/>
  <c r="M48" i="4"/>
  <c r="N48" i="4"/>
  <c r="M49" i="4"/>
  <c r="N49" i="4"/>
  <c r="M50" i="4"/>
  <c r="N50" i="4"/>
  <c r="M51" i="4"/>
  <c r="N51" i="4"/>
  <c r="M52" i="4"/>
  <c r="N52" i="4"/>
  <c r="M53" i="4"/>
  <c r="N53" i="4"/>
  <c r="M54" i="4"/>
  <c r="N54" i="4"/>
  <c r="M55" i="4"/>
  <c r="N55" i="4"/>
  <c r="M56" i="4"/>
  <c r="N56" i="4"/>
  <c r="M57" i="4"/>
  <c r="N57" i="4"/>
  <c r="M58" i="4"/>
  <c r="N58" i="4"/>
  <c r="M59" i="4"/>
  <c r="N59" i="4"/>
  <c r="M60" i="4"/>
  <c r="N60" i="4"/>
  <c r="M61" i="4"/>
  <c r="N61" i="4"/>
  <c r="M62" i="4"/>
  <c r="N62" i="4"/>
  <c r="M63" i="4"/>
  <c r="N63" i="4"/>
  <c r="M64" i="4"/>
  <c r="N64" i="4"/>
  <c r="M65" i="4"/>
  <c r="N65" i="4"/>
  <c r="M66" i="4"/>
  <c r="N66" i="4"/>
  <c r="M67" i="4"/>
  <c r="N67" i="4"/>
  <c r="M68" i="4"/>
  <c r="N68" i="4"/>
  <c r="M69" i="4"/>
  <c r="N69" i="4"/>
  <c r="M70" i="4"/>
  <c r="N70" i="4"/>
  <c r="M71" i="4"/>
  <c r="N71" i="4"/>
  <c r="M72" i="4"/>
  <c r="N72" i="4"/>
  <c r="M73" i="4"/>
  <c r="N73" i="4"/>
  <c r="M74" i="4"/>
  <c r="N74" i="4"/>
  <c r="M75" i="4"/>
  <c r="N75" i="4"/>
  <c r="M76" i="4"/>
  <c r="N76" i="4"/>
  <c r="M77" i="4"/>
  <c r="N77" i="4"/>
  <c r="M78" i="4"/>
  <c r="N78" i="4"/>
  <c r="M79" i="4"/>
  <c r="N79" i="4"/>
  <c r="M80" i="4"/>
  <c r="N80" i="4"/>
  <c r="M81" i="4"/>
  <c r="N81" i="4"/>
  <c r="M82" i="4"/>
  <c r="N82" i="4"/>
  <c r="M83" i="4"/>
  <c r="N83" i="4"/>
  <c r="M84" i="4"/>
  <c r="N84" i="4"/>
  <c r="M85" i="4"/>
  <c r="N85" i="4"/>
  <c r="M86" i="4"/>
  <c r="N86" i="4"/>
  <c r="M87" i="4"/>
  <c r="N87" i="4"/>
  <c r="M88" i="4"/>
  <c r="N88" i="4"/>
  <c r="M89" i="4"/>
  <c r="N89" i="4"/>
  <c r="M90" i="4"/>
  <c r="N90" i="4"/>
  <c r="M91" i="4"/>
  <c r="N91" i="4"/>
  <c r="M92" i="4"/>
  <c r="N92" i="4"/>
  <c r="M93" i="4"/>
  <c r="N93" i="4"/>
  <c r="M94" i="4"/>
  <c r="N94" i="4"/>
  <c r="M95" i="4"/>
  <c r="N95" i="4"/>
  <c r="M96" i="4"/>
  <c r="N96" i="4"/>
  <c r="M97" i="4"/>
  <c r="N97" i="4"/>
  <c r="M98" i="4"/>
  <c r="N98" i="4"/>
  <c r="M99" i="4"/>
  <c r="N99" i="4"/>
  <c r="M100" i="4"/>
  <c r="N100" i="4"/>
  <c r="M101" i="4"/>
  <c r="N101" i="4"/>
  <c r="M102" i="4"/>
  <c r="N102" i="4"/>
  <c r="M103" i="4"/>
  <c r="N103" i="4"/>
  <c r="M104" i="4"/>
  <c r="N104" i="4"/>
  <c r="M105" i="4"/>
  <c r="N105" i="4"/>
  <c r="M106" i="4"/>
  <c r="N106" i="4"/>
  <c r="M107" i="4"/>
  <c r="N107" i="4"/>
  <c r="M108" i="4"/>
  <c r="N108" i="4"/>
  <c r="M109" i="4"/>
  <c r="N109" i="4"/>
  <c r="M110" i="4"/>
  <c r="N110" i="4"/>
  <c r="M111" i="4"/>
  <c r="N111" i="4"/>
  <c r="M112" i="4"/>
  <c r="N112" i="4"/>
  <c r="M113" i="4"/>
  <c r="N113" i="4"/>
  <c r="M114" i="4"/>
  <c r="N114" i="4"/>
  <c r="M115" i="4"/>
  <c r="N115" i="4"/>
  <c r="M116" i="4"/>
  <c r="N116" i="4"/>
  <c r="M117" i="4"/>
  <c r="N117" i="4"/>
  <c r="M118" i="4"/>
  <c r="N118" i="4"/>
  <c r="M119" i="4"/>
  <c r="N119" i="4"/>
  <c r="M120" i="4"/>
  <c r="N120" i="4"/>
  <c r="M121" i="4"/>
  <c r="N121" i="4"/>
  <c r="M122" i="4"/>
  <c r="N122" i="4"/>
  <c r="M123" i="4"/>
  <c r="N123" i="4"/>
  <c r="M124" i="4"/>
  <c r="N124" i="4"/>
  <c r="M125" i="4"/>
  <c r="N125" i="4"/>
  <c r="M126" i="4"/>
  <c r="N126" i="4"/>
  <c r="M127" i="4"/>
  <c r="N127" i="4"/>
  <c r="M128" i="4"/>
  <c r="N128" i="4"/>
  <c r="M129" i="4"/>
  <c r="N129" i="4"/>
  <c r="M130" i="4"/>
  <c r="N130" i="4"/>
  <c r="M131" i="4"/>
  <c r="N131" i="4"/>
  <c r="M132" i="4"/>
  <c r="N132" i="4"/>
  <c r="M133" i="4"/>
  <c r="N133" i="4"/>
  <c r="M134" i="4"/>
  <c r="N134" i="4"/>
  <c r="M135" i="4"/>
  <c r="N135" i="4"/>
  <c r="M136" i="4"/>
  <c r="N136" i="4"/>
  <c r="M137" i="4"/>
  <c r="N137" i="4"/>
  <c r="M138" i="4"/>
  <c r="N138" i="4"/>
  <c r="M139" i="4"/>
  <c r="N139" i="4"/>
  <c r="M140" i="4"/>
  <c r="N140" i="4"/>
  <c r="M141" i="4"/>
  <c r="N141" i="4"/>
  <c r="M142" i="4"/>
  <c r="N142" i="4"/>
  <c r="M143" i="4"/>
  <c r="N143" i="4"/>
  <c r="M144" i="4"/>
  <c r="N144" i="4"/>
  <c r="M145" i="4"/>
  <c r="N145" i="4"/>
  <c r="M146" i="4"/>
  <c r="N146" i="4"/>
  <c r="M147" i="4"/>
  <c r="N147" i="4"/>
  <c r="M148" i="4"/>
  <c r="N148" i="4"/>
  <c r="M149" i="4"/>
  <c r="N149" i="4"/>
  <c r="M150" i="4"/>
  <c r="N150" i="4"/>
  <c r="M151" i="4"/>
  <c r="N151" i="4"/>
  <c r="M152" i="4"/>
  <c r="N152" i="4"/>
  <c r="M153" i="4"/>
  <c r="N153" i="4"/>
  <c r="M154" i="4"/>
  <c r="N154" i="4"/>
  <c r="M155" i="4"/>
  <c r="N155" i="4"/>
  <c r="M156" i="4"/>
  <c r="N156" i="4"/>
  <c r="M157" i="4"/>
  <c r="N157" i="4"/>
  <c r="M158" i="4"/>
  <c r="N158" i="4"/>
  <c r="M159" i="4"/>
  <c r="N159" i="4"/>
  <c r="M160" i="4"/>
  <c r="N160" i="4"/>
  <c r="M161" i="4"/>
  <c r="N161" i="4"/>
  <c r="M162" i="4"/>
  <c r="N162" i="4"/>
  <c r="M163" i="4"/>
  <c r="N163" i="4"/>
  <c r="M164" i="4"/>
  <c r="N164" i="4"/>
  <c r="M165" i="4"/>
  <c r="N165" i="4"/>
  <c r="M166" i="4"/>
  <c r="N166" i="4"/>
  <c r="M167" i="4"/>
  <c r="N167" i="4"/>
  <c r="M168" i="4"/>
  <c r="N168" i="4"/>
  <c r="M169" i="4"/>
  <c r="N169" i="4"/>
  <c r="M170" i="4"/>
  <c r="N170" i="4"/>
  <c r="M171" i="4"/>
  <c r="N171" i="4"/>
  <c r="M172" i="4"/>
  <c r="N172" i="4"/>
  <c r="M173" i="4"/>
  <c r="N173" i="4"/>
  <c r="M174" i="4"/>
  <c r="N174" i="4"/>
  <c r="M175" i="4"/>
  <c r="N175" i="4"/>
  <c r="M176" i="4"/>
  <c r="N176" i="4"/>
  <c r="M177" i="4"/>
  <c r="N177" i="4"/>
  <c r="M178" i="4"/>
  <c r="N178" i="4"/>
  <c r="M179" i="4"/>
  <c r="N179" i="4"/>
  <c r="M180" i="4"/>
  <c r="N180" i="4"/>
  <c r="M181" i="4"/>
  <c r="N181" i="4"/>
  <c r="M182" i="4"/>
  <c r="N182" i="4"/>
  <c r="M183" i="4"/>
  <c r="N183" i="4"/>
  <c r="M184" i="4"/>
  <c r="N184" i="4"/>
  <c r="M185" i="4"/>
  <c r="N185" i="4"/>
  <c r="M186" i="4"/>
  <c r="N186" i="4"/>
  <c r="M187" i="4"/>
  <c r="N187" i="4"/>
  <c r="M188" i="4"/>
  <c r="N188" i="4"/>
  <c r="M189" i="4"/>
  <c r="N189" i="4"/>
  <c r="M190" i="4"/>
  <c r="N190" i="4"/>
  <c r="M191" i="4"/>
  <c r="N191" i="4"/>
  <c r="M192" i="4"/>
  <c r="N192" i="4"/>
  <c r="M193" i="4"/>
  <c r="N193" i="4"/>
  <c r="M194" i="4"/>
  <c r="N194" i="4"/>
  <c r="M195" i="4"/>
  <c r="N195" i="4"/>
  <c r="M196" i="4"/>
  <c r="N196" i="4"/>
  <c r="M197" i="4"/>
  <c r="N197" i="4"/>
  <c r="M198" i="4"/>
  <c r="N198" i="4"/>
  <c r="M199" i="4"/>
  <c r="N199" i="4"/>
  <c r="M200" i="4"/>
  <c r="N200" i="4"/>
  <c r="M201" i="4"/>
  <c r="N201" i="4"/>
  <c r="M202" i="4"/>
  <c r="N202" i="4"/>
  <c r="M203" i="4"/>
  <c r="N203" i="4"/>
  <c r="M204" i="4"/>
  <c r="N204" i="4"/>
  <c r="M205" i="4"/>
  <c r="N205" i="4"/>
  <c r="M206" i="4"/>
  <c r="N206" i="4"/>
  <c r="M207" i="4"/>
  <c r="N207" i="4"/>
  <c r="M208" i="4"/>
  <c r="N208" i="4"/>
  <c r="M209" i="4"/>
  <c r="N209" i="4"/>
  <c r="M210" i="4"/>
  <c r="N210" i="4"/>
  <c r="M211" i="4"/>
  <c r="N211" i="4"/>
  <c r="M212" i="4"/>
  <c r="N212" i="4"/>
  <c r="M213" i="4"/>
  <c r="N213" i="4"/>
  <c r="M214" i="4"/>
  <c r="N214" i="4"/>
  <c r="M215" i="4"/>
  <c r="N215" i="4"/>
  <c r="M216" i="4"/>
  <c r="N216" i="4"/>
  <c r="M217" i="4"/>
  <c r="N217" i="4"/>
  <c r="M218" i="4"/>
  <c r="N218" i="4"/>
  <c r="M219" i="4"/>
  <c r="N219" i="4"/>
  <c r="M220" i="4"/>
  <c r="N220" i="4"/>
  <c r="M221" i="4"/>
  <c r="N221" i="4"/>
  <c r="M222" i="4"/>
  <c r="N222" i="4"/>
  <c r="M223" i="4"/>
  <c r="N223" i="4"/>
  <c r="M224" i="4"/>
  <c r="N224" i="4"/>
  <c r="M225" i="4"/>
  <c r="N225" i="4"/>
  <c r="M226" i="4"/>
  <c r="N226" i="4"/>
  <c r="M227" i="4"/>
  <c r="N227" i="4"/>
  <c r="M228" i="4"/>
  <c r="N228" i="4"/>
  <c r="M229" i="4"/>
  <c r="N229" i="4"/>
  <c r="M230" i="4"/>
  <c r="N230" i="4"/>
  <c r="M231" i="4"/>
  <c r="N231" i="4"/>
  <c r="M232" i="4"/>
  <c r="N232" i="4"/>
  <c r="M233" i="4"/>
  <c r="N233" i="4"/>
  <c r="M234" i="4"/>
  <c r="N234" i="4"/>
  <c r="M235" i="4"/>
  <c r="N235" i="4"/>
  <c r="M236" i="4"/>
  <c r="N236" i="4"/>
  <c r="M237" i="4"/>
  <c r="N237" i="4"/>
  <c r="M238" i="4"/>
  <c r="N238" i="4"/>
  <c r="M239" i="4"/>
  <c r="N239" i="4"/>
  <c r="M240" i="4"/>
  <c r="N240" i="4"/>
  <c r="M241" i="4"/>
  <c r="N241" i="4"/>
  <c r="M242" i="4"/>
  <c r="N242" i="4"/>
  <c r="M243" i="4"/>
  <c r="N243" i="4"/>
  <c r="M244" i="4"/>
  <c r="N244" i="4"/>
  <c r="M245" i="4"/>
  <c r="N245" i="4"/>
  <c r="M246" i="4"/>
  <c r="N246" i="4"/>
  <c r="M247" i="4"/>
  <c r="N247" i="4"/>
  <c r="M248" i="4"/>
  <c r="N248" i="4"/>
  <c r="M249" i="4"/>
  <c r="N249" i="4"/>
  <c r="M250" i="4"/>
  <c r="N250" i="4"/>
  <c r="M251" i="4"/>
  <c r="N251" i="4"/>
  <c r="M252" i="4"/>
  <c r="N252" i="4"/>
  <c r="M253" i="4"/>
  <c r="N253" i="4"/>
  <c r="M254" i="4"/>
  <c r="N254" i="4"/>
  <c r="M255" i="4"/>
  <c r="N255" i="4"/>
  <c r="M256" i="4"/>
  <c r="N256" i="4"/>
  <c r="M257" i="4"/>
  <c r="N257" i="4"/>
  <c r="M258" i="4"/>
  <c r="N258" i="4"/>
  <c r="M259" i="4"/>
  <c r="N259" i="4"/>
  <c r="M260" i="4"/>
  <c r="N260" i="4"/>
  <c r="M261" i="4"/>
  <c r="N261" i="4"/>
  <c r="M262" i="4"/>
  <c r="N262" i="4"/>
  <c r="M263" i="4"/>
  <c r="N263" i="4"/>
  <c r="M264" i="4"/>
  <c r="N264" i="4"/>
  <c r="M265" i="4"/>
  <c r="N265" i="4"/>
  <c r="M266" i="4"/>
  <c r="N266" i="4"/>
  <c r="M267" i="4"/>
  <c r="N267" i="4"/>
  <c r="M268" i="4"/>
  <c r="N268" i="4"/>
  <c r="M269" i="4"/>
  <c r="N269" i="4"/>
  <c r="M270" i="4"/>
  <c r="N270" i="4"/>
  <c r="M271" i="4"/>
  <c r="N271" i="4"/>
  <c r="M272" i="4"/>
  <c r="N272" i="4"/>
  <c r="M273" i="4"/>
  <c r="N273" i="4"/>
  <c r="M274" i="4"/>
  <c r="N274" i="4"/>
  <c r="M275" i="4"/>
  <c r="N275" i="4"/>
  <c r="M276" i="4"/>
  <c r="N276" i="4"/>
  <c r="M277" i="4"/>
  <c r="N277" i="4"/>
  <c r="M278" i="4"/>
  <c r="N278" i="4"/>
  <c r="M279" i="4"/>
  <c r="N279" i="4"/>
  <c r="M280" i="4"/>
  <c r="N280" i="4"/>
  <c r="M281" i="4"/>
  <c r="N281" i="4"/>
  <c r="M282" i="4"/>
  <c r="N282" i="4"/>
  <c r="M283" i="4"/>
  <c r="N283" i="4"/>
  <c r="M284" i="4"/>
  <c r="N284" i="4"/>
  <c r="M285" i="4"/>
  <c r="N285" i="4"/>
  <c r="M286" i="4"/>
  <c r="N286" i="4"/>
  <c r="M287" i="4"/>
  <c r="N287" i="4"/>
  <c r="M288" i="4"/>
  <c r="N288" i="4"/>
  <c r="M289" i="4"/>
  <c r="N289" i="4"/>
  <c r="M290" i="4"/>
  <c r="N290" i="4"/>
  <c r="M291" i="4"/>
  <c r="N291" i="4"/>
  <c r="M292" i="4"/>
  <c r="N292" i="4"/>
  <c r="M293" i="4"/>
  <c r="N293" i="4"/>
  <c r="M294" i="4"/>
  <c r="N294" i="4"/>
  <c r="M295" i="4"/>
  <c r="N295" i="4"/>
  <c r="M296" i="4"/>
  <c r="N296" i="4"/>
  <c r="M297" i="4"/>
  <c r="N297" i="4"/>
  <c r="M298" i="4"/>
  <c r="N298" i="4"/>
  <c r="M299" i="4"/>
  <c r="N299" i="4"/>
  <c r="M300" i="4"/>
  <c r="N300" i="4"/>
  <c r="M301" i="4"/>
  <c r="N301" i="4"/>
  <c r="M302" i="4"/>
  <c r="N302" i="4"/>
  <c r="M303" i="4"/>
  <c r="N303" i="4"/>
  <c r="M304" i="4"/>
  <c r="N304" i="4"/>
  <c r="M305" i="4"/>
  <c r="N305" i="4"/>
  <c r="M306" i="4"/>
  <c r="N306" i="4"/>
  <c r="M307" i="4"/>
  <c r="N307" i="4"/>
  <c r="M308" i="4"/>
  <c r="N308" i="4"/>
  <c r="M309" i="4"/>
  <c r="N309" i="4"/>
  <c r="M310" i="4"/>
  <c r="N310" i="4"/>
  <c r="M311" i="4"/>
  <c r="N311" i="4"/>
  <c r="M312" i="4"/>
  <c r="N312" i="4"/>
  <c r="M313" i="4"/>
  <c r="N313" i="4"/>
  <c r="M314" i="4"/>
  <c r="N314" i="4"/>
  <c r="M315" i="4"/>
  <c r="N315" i="4"/>
  <c r="M316" i="4"/>
  <c r="N316" i="4"/>
  <c r="M317" i="4"/>
  <c r="N317" i="4"/>
  <c r="M318" i="4"/>
  <c r="N318" i="4"/>
  <c r="M319" i="4"/>
  <c r="N319" i="4"/>
  <c r="M320" i="4"/>
  <c r="N320" i="4"/>
  <c r="M321" i="4"/>
  <c r="N321" i="4"/>
  <c r="M322" i="4"/>
  <c r="N322" i="4"/>
  <c r="M323" i="4"/>
  <c r="N323" i="4"/>
  <c r="M324" i="4"/>
  <c r="N324" i="4"/>
  <c r="M325" i="4"/>
  <c r="N325" i="4"/>
  <c r="M326" i="4"/>
  <c r="N326" i="4"/>
  <c r="M327" i="4"/>
  <c r="N327" i="4"/>
  <c r="M328" i="4"/>
  <c r="N328" i="4"/>
  <c r="M329" i="4"/>
  <c r="N329" i="4"/>
  <c r="M330" i="4"/>
  <c r="N330" i="4"/>
  <c r="M331" i="4"/>
  <c r="N331" i="4"/>
  <c r="M332" i="4"/>
  <c r="N332" i="4"/>
  <c r="M333" i="4"/>
  <c r="N333" i="4"/>
  <c r="M334" i="4"/>
  <c r="N334" i="4"/>
  <c r="M335" i="4"/>
  <c r="N335" i="4"/>
  <c r="M336" i="4"/>
  <c r="N336" i="4"/>
  <c r="M337" i="4"/>
  <c r="N337" i="4"/>
  <c r="M338" i="4"/>
  <c r="N338" i="4"/>
  <c r="M339" i="4"/>
  <c r="N339" i="4"/>
  <c r="M340" i="4"/>
  <c r="N340" i="4"/>
  <c r="M341" i="4"/>
  <c r="N341" i="4"/>
  <c r="M342" i="4"/>
  <c r="N342" i="4"/>
  <c r="M343" i="4"/>
  <c r="N343" i="4"/>
  <c r="M344" i="4"/>
  <c r="N344" i="4"/>
  <c r="M345" i="4"/>
  <c r="N345" i="4"/>
  <c r="M346" i="4"/>
  <c r="N346" i="4"/>
  <c r="M347" i="4"/>
  <c r="N347" i="4"/>
  <c r="M348" i="4"/>
  <c r="N348" i="4"/>
  <c r="M349" i="4"/>
  <c r="N349" i="4"/>
  <c r="M350" i="4"/>
  <c r="N350" i="4"/>
  <c r="M351" i="4"/>
  <c r="N351" i="4"/>
  <c r="M352" i="4"/>
  <c r="N352" i="4"/>
  <c r="M353" i="4"/>
  <c r="N353" i="4"/>
  <c r="M354" i="4"/>
  <c r="N354" i="4"/>
  <c r="M355" i="4"/>
  <c r="N355" i="4"/>
  <c r="M356" i="4"/>
  <c r="N356" i="4"/>
  <c r="M357" i="4"/>
  <c r="N357" i="4"/>
  <c r="M358" i="4"/>
  <c r="N358" i="4"/>
  <c r="M359" i="4"/>
  <c r="N359" i="4"/>
  <c r="M360" i="4"/>
  <c r="N360" i="4"/>
  <c r="M361" i="4"/>
  <c r="N361" i="4"/>
  <c r="M362" i="4"/>
  <c r="N362" i="4"/>
  <c r="M363" i="4"/>
  <c r="N363" i="4"/>
  <c r="M364" i="4"/>
  <c r="N364" i="4"/>
  <c r="M365" i="4"/>
  <c r="N365" i="4"/>
  <c r="M366" i="4"/>
  <c r="N366" i="4"/>
  <c r="M367" i="4"/>
  <c r="N367" i="4"/>
  <c r="M368" i="4"/>
  <c r="N368" i="4"/>
  <c r="M369" i="4"/>
  <c r="N369" i="4"/>
  <c r="M370" i="4"/>
  <c r="N370" i="4"/>
  <c r="M371" i="4"/>
  <c r="N371" i="4"/>
  <c r="M372" i="4"/>
  <c r="N372" i="4"/>
  <c r="M373" i="4"/>
  <c r="N373" i="4"/>
  <c r="M374" i="4"/>
  <c r="N374" i="4"/>
  <c r="M375" i="4"/>
  <c r="N375" i="4"/>
  <c r="M376" i="4"/>
  <c r="N376" i="4"/>
  <c r="M377" i="4"/>
  <c r="N377" i="4"/>
  <c r="M378" i="4"/>
  <c r="N378" i="4"/>
  <c r="M379" i="4"/>
  <c r="N379" i="4"/>
  <c r="M380" i="4"/>
  <c r="N380" i="4"/>
  <c r="M381" i="4"/>
  <c r="N381" i="4"/>
  <c r="M382" i="4"/>
  <c r="N382" i="4"/>
  <c r="M383" i="4"/>
  <c r="N383" i="4"/>
  <c r="M384" i="4"/>
  <c r="N384" i="4"/>
  <c r="M385" i="4"/>
  <c r="N385" i="4"/>
  <c r="M386" i="4"/>
  <c r="N386" i="4"/>
  <c r="M387" i="4"/>
  <c r="N387" i="4"/>
  <c r="M388" i="4"/>
  <c r="N388" i="4"/>
  <c r="M389" i="4"/>
  <c r="N389" i="4"/>
  <c r="M390" i="4"/>
  <c r="N390" i="4"/>
  <c r="M391" i="4"/>
  <c r="N391" i="4"/>
  <c r="M392" i="4"/>
  <c r="N392" i="4"/>
  <c r="M393" i="4"/>
  <c r="N393" i="4"/>
  <c r="M394" i="4"/>
  <c r="N394" i="4"/>
  <c r="M395" i="4"/>
  <c r="N395" i="4"/>
  <c r="M396" i="4"/>
  <c r="N396" i="4"/>
  <c r="M397" i="4"/>
  <c r="N397" i="4"/>
  <c r="M398" i="4"/>
  <c r="N398" i="4"/>
  <c r="M399" i="4"/>
  <c r="N399" i="4"/>
  <c r="M400" i="4"/>
  <c r="N400" i="4"/>
  <c r="M401" i="4"/>
  <c r="N401" i="4"/>
  <c r="M402" i="4"/>
  <c r="N402" i="4"/>
  <c r="M403" i="4"/>
  <c r="N403" i="4"/>
  <c r="M404" i="4"/>
  <c r="N404" i="4"/>
  <c r="M405" i="4"/>
  <c r="N405" i="4"/>
  <c r="M406" i="4"/>
  <c r="N406" i="4"/>
  <c r="M407" i="4"/>
  <c r="N407" i="4"/>
  <c r="M408" i="4"/>
  <c r="N408" i="4"/>
  <c r="M409" i="4"/>
  <c r="N409" i="4"/>
  <c r="M410" i="4"/>
  <c r="N410" i="4"/>
  <c r="M411" i="4"/>
  <c r="N411" i="4"/>
  <c r="M412" i="4"/>
  <c r="N412" i="4"/>
  <c r="M413" i="4"/>
  <c r="N413" i="4"/>
  <c r="M414" i="4"/>
  <c r="N414" i="4"/>
  <c r="M415" i="4"/>
  <c r="N415" i="4"/>
  <c r="M416" i="4"/>
  <c r="N416" i="4"/>
  <c r="M417" i="4"/>
  <c r="N417" i="4"/>
  <c r="M418" i="4"/>
  <c r="N418" i="4"/>
  <c r="M419" i="4"/>
  <c r="N419" i="4"/>
  <c r="M420" i="4"/>
  <c r="N420" i="4"/>
  <c r="M421" i="4"/>
  <c r="N421" i="4"/>
  <c r="M422" i="4"/>
  <c r="N422" i="4"/>
  <c r="M423" i="4"/>
  <c r="N423" i="4"/>
  <c r="M424" i="4"/>
  <c r="N424" i="4"/>
  <c r="M425" i="4"/>
  <c r="N425" i="4"/>
  <c r="M426" i="4"/>
  <c r="N426" i="4"/>
  <c r="M427" i="4"/>
  <c r="N427" i="4"/>
  <c r="M428" i="4"/>
  <c r="N428" i="4"/>
  <c r="M429" i="4"/>
  <c r="N429" i="4"/>
  <c r="M430" i="4"/>
  <c r="N430" i="4"/>
  <c r="M431" i="4"/>
  <c r="N431" i="4"/>
  <c r="M432" i="4"/>
  <c r="N432" i="4"/>
  <c r="M433" i="4"/>
  <c r="N433" i="4"/>
  <c r="M434" i="4"/>
  <c r="N434" i="4"/>
  <c r="M435" i="4"/>
  <c r="N435" i="4"/>
  <c r="M436" i="4"/>
  <c r="N436" i="4"/>
  <c r="M437" i="4"/>
  <c r="N437" i="4"/>
  <c r="M438" i="4"/>
  <c r="N438" i="4"/>
  <c r="M439" i="4"/>
  <c r="N439" i="4"/>
  <c r="M440" i="4"/>
  <c r="N440" i="4"/>
  <c r="M441" i="4"/>
  <c r="N441" i="4"/>
  <c r="M442" i="4"/>
  <c r="N442" i="4"/>
  <c r="M443" i="4"/>
  <c r="N443" i="4"/>
  <c r="M444" i="4"/>
  <c r="N444" i="4"/>
  <c r="M445" i="4"/>
  <c r="N445" i="4"/>
  <c r="M446" i="4"/>
  <c r="N446" i="4"/>
  <c r="M447" i="4"/>
  <c r="N447" i="4"/>
  <c r="M448" i="4"/>
  <c r="N448" i="4"/>
  <c r="M449" i="4"/>
  <c r="N449" i="4"/>
  <c r="M450" i="4"/>
  <c r="N450" i="4"/>
  <c r="M451" i="4"/>
  <c r="N451" i="4"/>
  <c r="M452" i="4"/>
  <c r="N452" i="4"/>
  <c r="M453" i="4"/>
  <c r="N453" i="4"/>
  <c r="M454" i="4"/>
  <c r="N454" i="4"/>
  <c r="M455" i="4"/>
  <c r="N455" i="4"/>
  <c r="M456" i="4"/>
  <c r="N456" i="4"/>
  <c r="M457" i="4"/>
  <c r="N457" i="4"/>
  <c r="M458" i="4"/>
  <c r="N458" i="4"/>
  <c r="M459" i="4"/>
  <c r="N459" i="4"/>
  <c r="M460" i="4"/>
  <c r="N460" i="4"/>
  <c r="M461" i="4"/>
  <c r="N461" i="4"/>
  <c r="M462" i="4"/>
  <c r="N462" i="4"/>
  <c r="M463" i="4"/>
  <c r="N463" i="4"/>
  <c r="M464" i="4"/>
  <c r="N464" i="4"/>
  <c r="M465" i="4"/>
  <c r="N465" i="4"/>
  <c r="M466" i="4"/>
  <c r="N466" i="4"/>
  <c r="M467" i="4"/>
  <c r="N467" i="4"/>
  <c r="M468" i="4"/>
  <c r="N468" i="4"/>
  <c r="M469" i="4"/>
  <c r="N469" i="4"/>
  <c r="M470" i="4"/>
  <c r="N470" i="4"/>
  <c r="M471" i="4"/>
  <c r="N471" i="4"/>
  <c r="M472" i="4"/>
  <c r="N472" i="4"/>
  <c r="M473" i="4"/>
  <c r="N473" i="4"/>
  <c r="M474" i="4"/>
  <c r="N474" i="4"/>
  <c r="M475" i="4"/>
  <c r="N475" i="4"/>
  <c r="M476" i="4"/>
  <c r="N476" i="4"/>
  <c r="M477" i="4"/>
  <c r="N477" i="4"/>
  <c r="M478" i="4"/>
  <c r="N478" i="4"/>
  <c r="M479" i="4"/>
  <c r="N479" i="4"/>
  <c r="M480" i="4"/>
  <c r="N480" i="4"/>
  <c r="M481" i="4"/>
  <c r="N481" i="4"/>
  <c r="M482" i="4"/>
  <c r="N482" i="4"/>
  <c r="M483" i="4"/>
  <c r="N483" i="4"/>
  <c r="M484" i="4"/>
  <c r="N484" i="4"/>
  <c r="M485" i="4"/>
  <c r="N485" i="4"/>
  <c r="M486" i="4"/>
  <c r="N486" i="4"/>
  <c r="M487" i="4"/>
  <c r="N487" i="4"/>
  <c r="M488" i="4"/>
  <c r="N488" i="4"/>
  <c r="M489" i="4"/>
  <c r="N489" i="4"/>
  <c r="M490" i="4"/>
  <c r="N490" i="4"/>
  <c r="M491" i="4"/>
  <c r="N491" i="4"/>
  <c r="M492" i="4"/>
  <c r="N492" i="4"/>
  <c r="M493" i="4"/>
  <c r="N493" i="4"/>
  <c r="M494" i="4"/>
  <c r="N494" i="4"/>
  <c r="M495" i="4"/>
  <c r="N495" i="4"/>
  <c r="M496" i="4"/>
  <c r="N496" i="4"/>
  <c r="M497" i="4"/>
  <c r="N497" i="4"/>
  <c r="M498" i="4"/>
  <c r="N498" i="4"/>
  <c r="M499" i="4"/>
  <c r="N499" i="4"/>
  <c r="M500" i="4"/>
  <c r="N500" i="4"/>
  <c r="M501" i="4"/>
  <c r="N501" i="4"/>
  <c r="M502" i="4"/>
  <c r="N502" i="4"/>
  <c r="M503" i="4"/>
  <c r="N503" i="4"/>
  <c r="M504" i="4"/>
  <c r="N504" i="4"/>
  <c r="M505" i="4"/>
  <c r="N505" i="4"/>
  <c r="M506" i="4"/>
  <c r="N506" i="4"/>
  <c r="M507" i="4"/>
  <c r="N507" i="4"/>
  <c r="M508" i="4"/>
  <c r="N508" i="4"/>
  <c r="M509" i="4"/>
  <c r="N509" i="4"/>
  <c r="M510" i="4"/>
  <c r="N510" i="4"/>
  <c r="M511" i="4"/>
  <c r="N511" i="4"/>
  <c r="M512" i="4"/>
  <c r="N512" i="4"/>
  <c r="M513" i="4"/>
  <c r="N513" i="4"/>
  <c r="M514" i="4"/>
  <c r="N514" i="4"/>
  <c r="M515" i="4"/>
  <c r="N515" i="4"/>
  <c r="M516" i="4"/>
  <c r="N516" i="4"/>
  <c r="M517" i="4"/>
  <c r="N517" i="4"/>
  <c r="M518" i="4"/>
  <c r="N518" i="4"/>
  <c r="M519" i="4"/>
  <c r="N519" i="4"/>
  <c r="M520" i="4"/>
  <c r="N520" i="4"/>
  <c r="M521" i="4"/>
  <c r="N521" i="4"/>
  <c r="M522" i="4"/>
  <c r="N522" i="4"/>
  <c r="M523" i="4"/>
  <c r="N523" i="4"/>
  <c r="M524" i="4"/>
  <c r="N524" i="4"/>
  <c r="M525" i="4"/>
  <c r="N525" i="4"/>
  <c r="M526" i="4"/>
  <c r="N526" i="4"/>
  <c r="M527" i="4"/>
  <c r="N527" i="4"/>
  <c r="M528" i="4"/>
  <c r="N528" i="4"/>
  <c r="M529" i="4"/>
  <c r="N529" i="4"/>
  <c r="M530" i="4"/>
  <c r="N530" i="4"/>
  <c r="M531" i="4"/>
  <c r="N531" i="4"/>
  <c r="M532" i="4"/>
  <c r="N532" i="4"/>
  <c r="M533" i="4"/>
  <c r="N533" i="4"/>
  <c r="M534" i="4"/>
  <c r="N534" i="4"/>
  <c r="M535" i="4"/>
  <c r="N535" i="4"/>
  <c r="M536" i="4"/>
  <c r="N536" i="4"/>
  <c r="M537" i="4"/>
  <c r="N537" i="4"/>
  <c r="M538" i="4"/>
  <c r="N538" i="4"/>
  <c r="M539" i="4"/>
  <c r="N539" i="4"/>
  <c r="M540" i="4"/>
  <c r="N540" i="4"/>
  <c r="M541" i="4"/>
  <c r="N541" i="4"/>
  <c r="M542" i="4"/>
  <c r="N542" i="4"/>
  <c r="M543" i="4"/>
  <c r="N543" i="4"/>
  <c r="M544" i="4"/>
  <c r="N544" i="4"/>
  <c r="M545" i="4"/>
  <c r="N545" i="4"/>
  <c r="M546" i="4"/>
  <c r="N546" i="4"/>
  <c r="M547" i="4"/>
  <c r="N547" i="4"/>
  <c r="M548" i="4"/>
  <c r="N548" i="4"/>
  <c r="M549" i="4"/>
  <c r="N549" i="4"/>
  <c r="M550" i="4"/>
  <c r="N550" i="4"/>
  <c r="M551" i="4"/>
  <c r="N551" i="4"/>
  <c r="M552" i="4"/>
  <c r="N552" i="4"/>
  <c r="M553" i="4"/>
  <c r="N553" i="4"/>
  <c r="M554" i="4"/>
  <c r="N554" i="4"/>
  <c r="M555" i="4"/>
  <c r="N555" i="4"/>
  <c r="M556" i="4"/>
  <c r="N556" i="4"/>
  <c r="M557" i="4"/>
  <c r="N557" i="4"/>
  <c r="M558" i="4"/>
  <c r="N558" i="4"/>
  <c r="M559" i="4"/>
  <c r="N559" i="4"/>
  <c r="M560" i="4"/>
  <c r="N560" i="4"/>
  <c r="M561" i="4"/>
  <c r="N561" i="4"/>
  <c r="M562" i="4"/>
  <c r="N562" i="4"/>
  <c r="M563" i="4"/>
  <c r="N563" i="4"/>
  <c r="M564" i="4"/>
  <c r="N564" i="4"/>
  <c r="M565" i="4"/>
  <c r="N565" i="4"/>
  <c r="M566" i="4"/>
  <c r="N566" i="4"/>
  <c r="M567" i="4"/>
  <c r="N567" i="4"/>
  <c r="M568" i="4"/>
  <c r="N568" i="4"/>
  <c r="M569" i="4"/>
  <c r="N569" i="4"/>
  <c r="M570" i="4"/>
  <c r="N570" i="4"/>
  <c r="M571" i="4"/>
  <c r="N571" i="4"/>
  <c r="M572" i="4"/>
  <c r="N572" i="4"/>
  <c r="M573" i="4"/>
  <c r="N573" i="4"/>
  <c r="M574" i="4"/>
  <c r="N574" i="4"/>
  <c r="M575" i="4"/>
  <c r="N575" i="4"/>
  <c r="M576" i="4"/>
  <c r="N576" i="4"/>
  <c r="M577" i="4"/>
  <c r="N577" i="4"/>
  <c r="M578" i="4"/>
  <c r="N578" i="4"/>
  <c r="M579" i="4"/>
  <c r="N579" i="4"/>
  <c r="M580" i="4"/>
  <c r="N580" i="4"/>
  <c r="M581" i="4"/>
  <c r="N581" i="4"/>
  <c r="M582" i="4"/>
  <c r="N582" i="4"/>
  <c r="M583" i="4"/>
  <c r="N583" i="4"/>
  <c r="M584" i="4"/>
  <c r="N584" i="4"/>
  <c r="M585" i="4"/>
  <c r="N585" i="4"/>
  <c r="M586" i="4"/>
  <c r="N586" i="4"/>
  <c r="M587" i="4"/>
  <c r="N587" i="4"/>
  <c r="M588" i="4"/>
  <c r="N588" i="4"/>
  <c r="M589" i="4"/>
  <c r="N589" i="4"/>
  <c r="M590" i="4"/>
  <c r="N590" i="4"/>
  <c r="M591" i="4"/>
  <c r="N591" i="4"/>
  <c r="M592" i="4"/>
  <c r="N592" i="4"/>
  <c r="M593" i="4"/>
  <c r="N593" i="4"/>
  <c r="M594" i="4"/>
  <c r="N594" i="4"/>
  <c r="M595" i="4"/>
  <c r="N595" i="4"/>
  <c r="M596" i="4"/>
  <c r="N596" i="4"/>
  <c r="M597" i="4"/>
  <c r="N597" i="4"/>
  <c r="M598" i="4"/>
  <c r="N598" i="4"/>
  <c r="M599" i="4"/>
  <c r="N599" i="4"/>
  <c r="M600" i="4"/>
  <c r="N600" i="4"/>
  <c r="M601" i="4"/>
  <c r="N601" i="4"/>
  <c r="M602" i="4"/>
  <c r="N602" i="4"/>
  <c r="M603" i="4"/>
  <c r="N603" i="4"/>
  <c r="M604" i="4"/>
  <c r="N604" i="4"/>
  <c r="M605" i="4"/>
  <c r="N605" i="4"/>
  <c r="M606" i="4"/>
  <c r="N606" i="4"/>
  <c r="M607" i="4"/>
  <c r="N607" i="4"/>
  <c r="M608" i="4"/>
  <c r="N608" i="4"/>
  <c r="M609" i="4"/>
  <c r="N609" i="4"/>
  <c r="M610" i="4"/>
  <c r="N610" i="4"/>
  <c r="M611" i="4"/>
  <c r="N611" i="4"/>
  <c r="M612" i="4"/>
  <c r="N612" i="4"/>
  <c r="M613" i="4"/>
  <c r="N613" i="4"/>
  <c r="M614" i="4"/>
  <c r="N614" i="4"/>
  <c r="M615" i="4"/>
  <c r="N615" i="4"/>
  <c r="M616" i="4"/>
  <c r="N616" i="4"/>
  <c r="M617" i="4"/>
  <c r="N617" i="4"/>
  <c r="M618" i="4"/>
  <c r="N618" i="4"/>
  <c r="M619" i="4"/>
  <c r="N619" i="4"/>
  <c r="M620" i="4"/>
  <c r="N620" i="4"/>
  <c r="M621" i="4"/>
  <c r="N621" i="4"/>
  <c r="M622" i="4"/>
  <c r="N622" i="4"/>
  <c r="M623" i="4"/>
  <c r="N623" i="4"/>
  <c r="M624" i="4"/>
  <c r="N624" i="4"/>
  <c r="M625" i="4"/>
  <c r="N625" i="4"/>
  <c r="M626" i="4"/>
  <c r="N626" i="4"/>
  <c r="M627" i="4"/>
  <c r="N627" i="4"/>
  <c r="M628" i="4"/>
  <c r="N628" i="4"/>
  <c r="M629" i="4"/>
  <c r="N629" i="4"/>
  <c r="M630" i="4"/>
  <c r="N630" i="4"/>
  <c r="M631" i="4"/>
  <c r="N631" i="4"/>
  <c r="M632" i="4"/>
  <c r="N632" i="4"/>
  <c r="M633" i="4"/>
  <c r="N633" i="4"/>
  <c r="M634" i="4"/>
  <c r="N634" i="4"/>
  <c r="M635" i="4"/>
  <c r="N635" i="4"/>
  <c r="M636" i="4"/>
  <c r="N636" i="4"/>
  <c r="M637" i="4"/>
  <c r="N637" i="4"/>
  <c r="M638" i="4"/>
  <c r="N638" i="4"/>
  <c r="M639" i="4"/>
  <c r="N639" i="4"/>
  <c r="M640" i="4"/>
  <c r="N640" i="4"/>
  <c r="M641" i="4"/>
  <c r="N641" i="4"/>
  <c r="M642" i="4"/>
  <c r="N642" i="4"/>
  <c r="M643" i="4"/>
  <c r="N643" i="4"/>
  <c r="M644" i="4"/>
  <c r="N644" i="4"/>
  <c r="M645" i="4"/>
  <c r="N645" i="4"/>
  <c r="M646" i="4"/>
  <c r="N646" i="4"/>
  <c r="M647" i="4"/>
  <c r="N647" i="4"/>
  <c r="M648" i="4"/>
  <c r="N648" i="4"/>
  <c r="M649" i="4"/>
  <c r="N649" i="4"/>
  <c r="M650" i="4"/>
  <c r="N650" i="4"/>
  <c r="M651" i="4"/>
  <c r="N651" i="4"/>
  <c r="M652" i="4"/>
  <c r="N652" i="4"/>
  <c r="M653" i="4"/>
  <c r="N653" i="4"/>
  <c r="M654" i="4"/>
  <c r="N654" i="4"/>
  <c r="M655" i="4"/>
  <c r="N655" i="4"/>
  <c r="M656" i="4"/>
  <c r="N656" i="4"/>
  <c r="M657" i="4"/>
  <c r="N657" i="4"/>
  <c r="M658" i="4"/>
  <c r="N658" i="4"/>
  <c r="M659" i="4"/>
  <c r="N659" i="4"/>
  <c r="M660" i="4"/>
  <c r="N660" i="4"/>
  <c r="M661" i="4"/>
  <c r="N661" i="4"/>
  <c r="M662" i="4"/>
  <c r="N662" i="4"/>
  <c r="M663" i="4"/>
  <c r="N663" i="4"/>
  <c r="M664" i="4"/>
  <c r="N664" i="4"/>
  <c r="M665" i="4"/>
  <c r="N665" i="4"/>
  <c r="M666" i="4"/>
  <c r="N666" i="4"/>
  <c r="M667" i="4"/>
  <c r="N667" i="4"/>
  <c r="M668" i="4"/>
  <c r="N668" i="4"/>
  <c r="M669" i="4"/>
  <c r="N669" i="4"/>
  <c r="M670" i="4"/>
  <c r="N670" i="4"/>
  <c r="M671" i="4"/>
  <c r="N671" i="4"/>
  <c r="M672" i="4"/>
  <c r="N672" i="4"/>
  <c r="M673" i="4"/>
  <c r="N673" i="4"/>
  <c r="M674" i="4"/>
  <c r="N674" i="4"/>
  <c r="M675" i="4"/>
  <c r="N675" i="4"/>
  <c r="M676" i="4"/>
  <c r="N676" i="4"/>
  <c r="M677" i="4"/>
  <c r="N677" i="4"/>
  <c r="M678" i="4"/>
  <c r="N678" i="4"/>
  <c r="M679" i="4"/>
  <c r="N679" i="4"/>
  <c r="M680" i="4"/>
  <c r="N680" i="4"/>
  <c r="M681" i="4"/>
  <c r="N681" i="4"/>
  <c r="M682" i="4"/>
  <c r="N682" i="4"/>
  <c r="M683" i="4"/>
  <c r="N683" i="4"/>
  <c r="M684" i="4"/>
  <c r="N684" i="4"/>
  <c r="M685" i="4"/>
  <c r="N685" i="4"/>
  <c r="M686" i="4"/>
  <c r="N686" i="4"/>
  <c r="M687" i="4"/>
  <c r="N687" i="4"/>
  <c r="M688" i="4"/>
  <c r="N688" i="4"/>
  <c r="M689" i="4"/>
  <c r="N689" i="4"/>
  <c r="M690" i="4"/>
  <c r="N690" i="4"/>
  <c r="M691" i="4"/>
  <c r="N691" i="4"/>
  <c r="M692" i="4"/>
  <c r="N692" i="4"/>
  <c r="M693" i="4"/>
  <c r="N693" i="4"/>
  <c r="M694" i="4"/>
  <c r="N694" i="4"/>
  <c r="M695" i="4"/>
  <c r="N695" i="4"/>
  <c r="M696" i="4"/>
  <c r="N696" i="4"/>
  <c r="M697" i="4"/>
  <c r="N697" i="4"/>
  <c r="M698" i="4"/>
  <c r="N698" i="4"/>
  <c r="M699" i="4"/>
  <c r="N699" i="4"/>
  <c r="M700" i="4"/>
  <c r="N700" i="4"/>
  <c r="M701" i="4"/>
  <c r="N701" i="4"/>
  <c r="M702" i="4"/>
  <c r="N702" i="4"/>
  <c r="M703" i="4"/>
  <c r="N703" i="4"/>
  <c r="M704" i="4"/>
  <c r="N704" i="4"/>
  <c r="M705" i="4"/>
  <c r="N705" i="4"/>
  <c r="M706" i="4"/>
  <c r="N706" i="4"/>
  <c r="M707" i="4"/>
  <c r="N707" i="4"/>
  <c r="M708" i="4"/>
  <c r="N708" i="4"/>
  <c r="M709" i="4"/>
  <c r="N709" i="4"/>
  <c r="M710" i="4"/>
  <c r="N710" i="4"/>
  <c r="M711" i="4"/>
  <c r="N711" i="4"/>
  <c r="M712" i="4"/>
  <c r="N712" i="4"/>
  <c r="M713" i="4"/>
  <c r="N713" i="4"/>
  <c r="M714" i="4"/>
  <c r="N714" i="4"/>
  <c r="M715" i="4"/>
  <c r="N715" i="4"/>
  <c r="M716" i="4"/>
  <c r="N716" i="4"/>
  <c r="M717" i="4"/>
  <c r="N717" i="4"/>
  <c r="M718" i="4"/>
  <c r="N718" i="4"/>
  <c r="M719" i="4"/>
  <c r="N719" i="4"/>
  <c r="M720" i="4"/>
  <c r="N720" i="4"/>
  <c r="M721" i="4"/>
  <c r="N721" i="4"/>
  <c r="M722" i="4"/>
  <c r="N722" i="4"/>
  <c r="M723" i="4"/>
  <c r="N723" i="4"/>
  <c r="M724" i="4"/>
  <c r="N724" i="4"/>
  <c r="M725" i="4"/>
  <c r="N725" i="4"/>
  <c r="M726" i="4"/>
  <c r="N726" i="4"/>
  <c r="M727" i="4"/>
  <c r="N727" i="4"/>
  <c r="M728" i="4"/>
  <c r="N728" i="4"/>
  <c r="M729" i="4"/>
  <c r="N729" i="4"/>
  <c r="M730" i="4"/>
  <c r="N730" i="4"/>
  <c r="M731" i="4"/>
  <c r="N731" i="4"/>
  <c r="M732" i="4"/>
  <c r="N732" i="4"/>
  <c r="M733" i="4"/>
  <c r="N733" i="4"/>
  <c r="M734" i="4"/>
  <c r="N734" i="4"/>
  <c r="M735" i="4"/>
  <c r="N735" i="4"/>
  <c r="M736" i="4"/>
  <c r="N736" i="4"/>
  <c r="M737" i="4"/>
  <c r="N737" i="4"/>
  <c r="M738" i="4"/>
  <c r="N738" i="4"/>
  <c r="M739" i="4"/>
  <c r="N739" i="4"/>
  <c r="M740" i="4"/>
  <c r="N740" i="4"/>
  <c r="M741" i="4"/>
  <c r="N741" i="4"/>
  <c r="M742" i="4"/>
  <c r="N742" i="4"/>
  <c r="M743" i="4"/>
  <c r="N743" i="4"/>
  <c r="M744" i="4"/>
  <c r="N744" i="4"/>
  <c r="M745" i="4"/>
  <c r="N745" i="4"/>
  <c r="M746" i="4"/>
  <c r="N746" i="4"/>
  <c r="M747" i="4"/>
  <c r="N747" i="4"/>
  <c r="M748" i="4"/>
  <c r="N748" i="4"/>
  <c r="M749" i="4"/>
  <c r="N749" i="4"/>
  <c r="M750" i="4"/>
  <c r="N750" i="4"/>
  <c r="M751" i="4"/>
  <c r="N751" i="4"/>
  <c r="M752" i="4"/>
  <c r="N752" i="4"/>
  <c r="M753" i="4"/>
  <c r="N753" i="4"/>
  <c r="M754" i="4"/>
  <c r="N754" i="4"/>
  <c r="M755" i="4"/>
  <c r="N755" i="4"/>
  <c r="M756" i="4"/>
  <c r="N756" i="4"/>
  <c r="M757" i="4"/>
  <c r="N757" i="4"/>
  <c r="M758" i="4"/>
  <c r="N758" i="4"/>
  <c r="M759" i="4"/>
  <c r="N759" i="4"/>
  <c r="M760" i="4"/>
  <c r="N760" i="4"/>
  <c r="M761" i="4"/>
  <c r="N761" i="4"/>
  <c r="M762" i="4"/>
  <c r="N762" i="4"/>
  <c r="M763" i="4"/>
  <c r="N763" i="4"/>
  <c r="M764" i="4"/>
  <c r="N764" i="4"/>
  <c r="M765" i="4"/>
  <c r="N765" i="4"/>
  <c r="M766" i="4"/>
  <c r="N766" i="4"/>
  <c r="M767" i="4"/>
  <c r="N767" i="4"/>
  <c r="M768" i="4"/>
  <c r="N768" i="4"/>
  <c r="M769" i="4"/>
  <c r="N769" i="4"/>
  <c r="M770" i="4"/>
  <c r="N770" i="4"/>
  <c r="M771" i="4"/>
  <c r="N771" i="4"/>
  <c r="M772" i="4"/>
  <c r="N772" i="4"/>
  <c r="M773" i="4"/>
  <c r="N773" i="4"/>
  <c r="M774" i="4"/>
  <c r="N774" i="4"/>
  <c r="M775" i="4"/>
  <c r="N775" i="4"/>
  <c r="M776" i="4"/>
  <c r="N776" i="4"/>
  <c r="M777" i="4"/>
  <c r="N777" i="4"/>
  <c r="M778" i="4"/>
  <c r="N778" i="4"/>
  <c r="M779" i="4"/>
  <c r="N779" i="4"/>
  <c r="M780" i="4"/>
  <c r="N780" i="4"/>
  <c r="M781" i="4"/>
  <c r="N781" i="4"/>
  <c r="M782" i="4"/>
  <c r="N782" i="4"/>
  <c r="M783" i="4"/>
  <c r="N783" i="4"/>
  <c r="M784" i="4"/>
  <c r="N784" i="4"/>
  <c r="M785" i="4"/>
  <c r="N785" i="4"/>
  <c r="M786" i="4"/>
  <c r="N786" i="4"/>
  <c r="M787" i="4"/>
  <c r="N787" i="4"/>
  <c r="M788" i="4"/>
  <c r="N788" i="4"/>
  <c r="M789" i="4"/>
  <c r="N789" i="4"/>
  <c r="M790" i="4"/>
  <c r="N790" i="4"/>
  <c r="M791" i="4"/>
  <c r="N791" i="4"/>
  <c r="M792" i="4"/>
  <c r="N792" i="4"/>
  <c r="M793" i="4"/>
  <c r="N793" i="4"/>
  <c r="M794" i="4"/>
  <c r="N794" i="4"/>
  <c r="M795" i="4"/>
  <c r="N795" i="4"/>
  <c r="M796" i="4"/>
  <c r="N796" i="4"/>
  <c r="M797" i="4"/>
  <c r="N797" i="4"/>
  <c r="M798" i="4"/>
  <c r="N798" i="4"/>
  <c r="M799" i="4"/>
  <c r="N799" i="4"/>
  <c r="M800" i="4"/>
  <c r="N800" i="4"/>
  <c r="M801" i="4"/>
  <c r="N801" i="4"/>
  <c r="M802" i="4"/>
  <c r="N802" i="4"/>
  <c r="M803" i="4"/>
  <c r="N803" i="4"/>
  <c r="M804" i="4"/>
  <c r="N804" i="4"/>
  <c r="M805" i="4"/>
  <c r="N805" i="4"/>
  <c r="M806" i="4"/>
  <c r="N806" i="4"/>
  <c r="M807" i="4"/>
  <c r="N807" i="4"/>
  <c r="M808" i="4"/>
  <c r="N808" i="4"/>
  <c r="M809" i="4"/>
  <c r="N809" i="4"/>
  <c r="M810" i="4"/>
  <c r="N810" i="4"/>
  <c r="M811" i="4"/>
  <c r="N811" i="4"/>
  <c r="M812" i="4"/>
  <c r="N812" i="4"/>
  <c r="M813" i="4"/>
  <c r="N813" i="4"/>
  <c r="M814" i="4"/>
  <c r="N814" i="4"/>
  <c r="M815" i="4"/>
  <c r="N815" i="4"/>
  <c r="M816" i="4"/>
  <c r="N816" i="4"/>
  <c r="M817" i="4"/>
  <c r="N817" i="4"/>
  <c r="M818" i="4"/>
  <c r="N818" i="4"/>
  <c r="M819" i="4"/>
  <c r="N819" i="4"/>
  <c r="M820" i="4"/>
  <c r="N820" i="4"/>
  <c r="M821" i="4"/>
  <c r="N821" i="4"/>
  <c r="M822" i="4"/>
  <c r="N822" i="4"/>
  <c r="M823" i="4"/>
  <c r="N823" i="4"/>
  <c r="M824" i="4"/>
  <c r="N824" i="4"/>
  <c r="M825" i="4"/>
  <c r="N825" i="4"/>
  <c r="M826" i="4"/>
  <c r="N826" i="4"/>
  <c r="M827" i="4"/>
  <c r="N827" i="4"/>
  <c r="M828" i="4"/>
  <c r="N828" i="4"/>
  <c r="M829" i="4"/>
  <c r="N829" i="4"/>
  <c r="M830" i="4"/>
  <c r="N830" i="4"/>
  <c r="M831" i="4"/>
  <c r="N831" i="4"/>
  <c r="M832" i="4"/>
  <c r="N832" i="4"/>
  <c r="M833" i="4"/>
  <c r="N833" i="4"/>
  <c r="M834" i="4"/>
  <c r="N834" i="4"/>
  <c r="M835" i="4"/>
  <c r="N835" i="4"/>
  <c r="M836" i="4"/>
  <c r="N836" i="4"/>
  <c r="M837" i="4"/>
  <c r="N837" i="4"/>
  <c r="M838" i="4"/>
  <c r="N838" i="4"/>
  <c r="M839" i="4"/>
  <c r="N839" i="4"/>
  <c r="M840" i="4"/>
  <c r="N840" i="4"/>
  <c r="M841" i="4"/>
  <c r="N841" i="4"/>
  <c r="M842" i="4"/>
  <c r="N842" i="4"/>
  <c r="M843" i="4"/>
  <c r="N843" i="4"/>
  <c r="M844" i="4"/>
  <c r="N844" i="4"/>
  <c r="M845" i="4"/>
  <c r="N845" i="4"/>
  <c r="M846" i="4"/>
  <c r="N846" i="4"/>
  <c r="M847" i="4"/>
  <c r="N847" i="4"/>
  <c r="M848" i="4"/>
  <c r="N848" i="4"/>
  <c r="M849" i="4"/>
  <c r="N849" i="4"/>
  <c r="M850" i="4"/>
  <c r="N850" i="4"/>
  <c r="M851" i="4"/>
  <c r="N851" i="4"/>
  <c r="M852" i="4"/>
  <c r="N852" i="4"/>
  <c r="M853" i="4"/>
  <c r="N853" i="4"/>
  <c r="M854" i="4"/>
  <c r="N854" i="4"/>
  <c r="M855" i="4"/>
  <c r="N855" i="4"/>
  <c r="M856" i="4"/>
  <c r="N856" i="4"/>
  <c r="M857" i="4"/>
  <c r="N857" i="4"/>
  <c r="M858" i="4"/>
  <c r="N858" i="4"/>
  <c r="M859" i="4"/>
  <c r="N859" i="4"/>
  <c r="M860" i="4"/>
  <c r="N860" i="4"/>
  <c r="M861" i="4"/>
  <c r="N861" i="4"/>
  <c r="M862" i="4"/>
  <c r="N862" i="4"/>
  <c r="M863" i="4"/>
  <c r="N863" i="4"/>
  <c r="M864" i="4"/>
  <c r="N864" i="4"/>
  <c r="M865" i="4"/>
  <c r="N865" i="4"/>
  <c r="M866" i="4"/>
  <c r="N866" i="4"/>
  <c r="M867" i="4"/>
  <c r="N867" i="4"/>
  <c r="M868" i="4"/>
  <c r="N868" i="4"/>
  <c r="M869" i="4"/>
  <c r="N869" i="4"/>
  <c r="M870" i="4"/>
  <c r="N870" i="4"/>
  <c r="M871" i="4"/>
  <c r="N871" i="4"/>
  <c r="M872" i="4"/>
  <c r="N872" i="4"/>
  <c r="M873" i="4"/>
  <c r="N873" i="4"/>
  <c r="M874" i="4"/>
  <c r="N874" i="4"/>
  <c r="M875" i="4"/>
  <c r="N875" i="4"/>
  <c r="M876" i="4"/>
  <c r="N876" i="4"/>
  <c r="M877" i="4"/>
  <c r="N877" i="4"/>
  <c r="M878" i="4"/>
  <c r="N878" i="4"/>
  <c r="M879" i="4"/>
  <c r="N879" i="4"/>
  <c r="M880" i="4"/>
  <c r="N880" i="4"/>
  <c r="M881" i="4"/>
  <c r="N881" i="4"/>
  <c r="M882" i="4"/>
  <c r="N882" i="4"/>
  <c r="M883" i="4"/>
  <c r="N883" i="4"/>
  <c r="M884" i="4"/>
  <c r="N884" i="4"/>
  <c r="M885" i="4"/>
  <c r="N885" i="4"/>
  <c r="M886" i="4"/>
  <c r="N886" i="4"/>
  <c r="M887" i="4"/>
  <c r="N887" i="4"/>
  <c r="M888" i="4"/>
  <c r="N888" i="4"/>
  <c r="M889" i="4"/>
  <c r="N889" i="4"/>
  <c r="M890" i="4"/>
  <c r="N890" i="4"/>
  <c r="M891" i="4"/>
  <c r="N891" i="4"/>
  <c r="M892" i="4"/>
  <c r="N892" i="4"/>
  <c r="M893" i="4"/>
  <c r="N893" i="4"/>
  <c r="M894" i="4"/>
  <c r="N894" i="4"/>
  <c r="M895" i="4"/>
  <c r="N895" i="4"/>
  <c r="M896" i="4"/>
  <c r="N896" i="4"/>
  <c r="M897" i="4"/>
  <c r="N897" i="4"/>
  <c r="M898" i="4"/>
  <c r="N898" i="4"/>
  <c r="M899" i="4"/>
  <c r="N899" i="4"/>
  <c r="M900" i="4"/>
  <c r="N900" i="4"/>
  <c r="M901" i="4"/>
  <c r="N901" i="4"/>
  <c r="M902" i="4"/>
  <c r="N902" i="4"/>
  <c r="M903" i="4"/>
  <c r="N903" i="4"/>
  <c r="M904" i="4"/>
  <c r="N904" i="4"/>
  <c r="M905" i="4"/>
  <c r="N905" i="4"/>
  <c r="M906" i="4"/>
  <c r="N906" i="4"/>
  <c r="M907" i="4"/>
  <c r="N907" i="4"/>
  <c r="M908" i="4"/>
  <c r="N908" i="4"/>
  <c r="M909" i="4"/>
  <c r="N909" i="4"/>
  <c r="M910" i="4"/>
  <c r="N910" i="4"/>
  <c r="M911" i="4"/>
  <c r="N911" i="4"/>
  <c r="M912" i="4"/>
  <c r="N912" i="4"/>
  <c r="M913" i="4"/>
  <c r="N913" i="4"/>
  <c r="M914" i="4"/>
  <c r="N914" i="4"/>
  <c r="M915" i="4"/>
  <c r="N915" i="4"/>
  <c r="M916" i="4"/>
  <c r="N916" i="4"/>
  <c r="M917" i="4"/>
  <c r="N917" i="4"/>
  <c r="M918" i="4"/>
  <c r="N918" i="4"/>
  <c r="M919" i="4"/>
  <c r="N919" i="4"/>
  <c r="M920" i="4"/>
  <c r="N920" i="4"/>
  <c r="M921" i="4"/>
  <c r="N921" i="4"/>
  <c r="M922" i="4"/>
  <c r="N922" i="4"/>
  <c r="M923" i="4"/>
  <c r="N923" i="4"/>
  <c r="M924" i="4"/>
  <c r="N924" i="4"/>
  <c r="M925" i="4"/>
  <c r="N925" i="4"/>
  <c r="M926" i="4"/>
  <c r="N926" i="4"/>
  <c r="M927" i="4"/>
  <c r="N927" i="4"/>
  <c r="M928" i="4"/>
  <c r="N928" i="4"/>
  <c r="M929" i="4"/>
  <c r="N929" i="4"/>
  <c r="M930" i="4"/>
  <c r="N930" i="4"/>
  <c r="M931" i="4"/>
  <c r="N931" i="4"/>
  <c r="M932" i="4"/>
  <c r="N932" i="4"/>
  <c r="M933" i="4"/>
  <c r="N933" i="4"/>
  <c r="M934" i="4"/>
  <c r="N934" i="4"/>
  <c r="M935" i="4"/>
  <c r="N935" i="4"/>
  <c r="M936" i="4"/>
  <c r="N936" i="4"/>
  <c r="M937" i="4"/>
  <c r="N937" i="4"/>
  <c r="M938" i="4"/>
  <c r="N938" i="4"/>
  <c r="M939" i="4"/>
  <c r="N939" i="4"/>
  <c r="M940" i="4"/>
  <c r="N940" i="4"/>
  <c r="M941" i="4"/>
  <c r="N941" i="4"/>
  <c r="M942" i="4"/>
  <c r="N942" i="4"/>
  <c r="M943" i="4"/>
  <c r="N943" i="4"/>
  <c r="M944" i="4"/>
  <c r="N944" i="4"/>
  <c r="M945" i="4"/>
  <c r="N945" i="4"/>
  <c r="M946" i="4"/>
  <c r="N946" i="4"/>
  <c r="M947" i="4"/>
  <c r="N947" i="4"/>
  <c r="M948" i="4"/>
  <c r="N948" i="4"/>
  <c r="M949" i="4"/>
  <c r="N949" i="4"/>
  <c r="M950" i="4"/>
  <c r="N950" i="4"/>
  <c r="M951" i="4"/>
  <c r="N951" i="4"/>
  <c r="M952" i="4"/>
  <c r="N952" i="4"/>
  <c r="M953" i="4"/>
  <c r="N953" i="4"/>
  <c r="M954" i="4"/>
  <c r="N954" i="4"/>
  <c r="M955" i="4"/>
  <c r="N955" i="4"/>
  <c r="M956" i="4"/>
  <c r="N956" i="4"/>
  <c r="M957" i="4"/>
  <c r="N957" i="4"/>
  <c r="M958" i="4"/>
  <c r="N958" i="4"/>
  <c r="M959" i="4"/>
  <c r="N959" i="4"/>
  <c r="M960" i="4"/>
  <c r="N960" i="4"/>
  <c r="M961" i="4"/>
  <c r="N961" i="4"/>
  <c r="M962" i="4"/>
  <c r="N962" i="4"/>
  <c r="M963" i="4"/>
  <c r="N963" i="4"/>
  <c r="M964" i="4"/>
  <c r="N964" i="4"/>
  <c r="M965" i="4"/>
  <c r="N965" i="4"/>
  <c r="M966" i="4"/>
  <c r="N966" i="4"/>
  <c r="M967" i="4"/>
  <c r="N967" i="4"/>
  <c r="M968" i="4"/>
  <c r="N968" i="4"/>
  <c r="M969" i="4"/>
  <c r="N969" i="4"/>
  <c r="M970" i="4"/>
  <c r="N970" i="4"/>
  <c r="M971" i="4"/>
  <c r="N971" i="4"/>
  <c r="M972" i="4"/>
  <c r="N972" i="4"/>
  <c r="M973" i="4"/>
  <c r="N973" i="4"/>
  <c r="M974" i="4"/>
  <c r="N974" i="4"/>
  <c r="M975" i="4"/>
  <c r="N975" i="4"/>
  <c r="M976" i="4"/>
  <c r="N976" i="4"/>
  <c r="M977" i="4"/>
  <c r="N977" i="4"/>
  <c r="M978" i="4"/>
  <c r="N978" i="4"/>
  <c r="M979" i="4"/>
  <c r="N979" i="4"/>
  <c r="M980" i="4"/>
  <c r="N980" i="4"/>
  <c r="M981" i="4"/>
  <c r="N981" i="4"/>
  <c r="M982" i="4"/>
  <c r="N982" i="4"/>
  <c r="M983" i="4"/>
  <c r="N983" i="4"/>
  <c r="M984" i="4"/>
  <c r="N984" i="4"/>
  <c r="M985" i="4"/>
  <c r="N985" i="4"/>
  <c r="M986" i="4"/>
  <c r="N986" i="4"/>
  <c r="M987" i="4"/>
  <c r="N987" i="4"/>
  <c r="M988" i="4"/>
  <c r="N988" i="4"/>
  <c r="M989" i="4"/>
  <c r="N989" i="4"/>
  <c r="M990" i="4"/>
  <c r="N990" i="4"/>
  <c r="M991" i="4"/>
  <c r="N991" i="4"/>
  <c r="M992" i="4"/>
  <c r="N992" i="4"/>
  <c r="M993" i="4"/>
  <c r="N993" i="4"/>
  <c r="M994" i="4"/>
  <c r="N994" i="4"/>
  <c r="M995" i="4"/>
  <c r="N995" i="4"/>
  <c r="M996" i="4"/>
  <c r="N996" i="4"/>
  <c r="M997" i="4"/>
  <c r="N997" i="4"/>
  <c r="M998" i="4"/>
  <c r="N998" i="4"/>
  <c r="M999" i="4"/>
  <c r="N999" i="4"/>
  <c r="M1000" i="4"/>
  <c r="N1000" i="4"/>
  <c r="M1001" i="4"/>
  <c r="N1001" i="4"/>
  <c r="H149" i="3" a="1"/>
  <c r="H149" i="3" s="1"/>
  <c r="H150" i="3" a="1"/>
  <c r="H150" i="3" s="1"/>
  <c r="H151" i="3" a="1"/>
  <c r="H151" i="3" s="1"/>
  <c r="H152" i="3" a="1"/>
  <c r="H152" i="3" s="1"/>
  <c r="H153" i="3" a="1"/>
  <c r="H153" i="3" s="1"/>
  <c r="H154" i="3" a="1"/>
  <c r="H154" i="3" s="1"/>
  <c r="H155" i="3" a="1"/>
  <c r="H155" i="3" s="1"/>
  <c r="H156" i="3" a="1"/>
  <c r="H156" i="3" s="1"/>
  <c r="H157" i="3" a="1"/>
  <c r="H157" i="3" s="1"/>
  <c r="H158" i="3" a="1"/>
  <c r="H158" i="3" s="1"/>
  <c r="H159" i="3" a="1"/>
  <c r="H159" i="3" s="1"/>
  <c r="H160" i="3" a="1"/>
  <c r="H160" i="3" s="1"/>
  <c r="H161" i="3" a="1"/>
  <c r="H161" i="3" s="1"/>
  <c r="H162" i="3" a="1"/>
  <c r="H162" i="3" s="1"/>
  <c r="H163" i="3" a="1"/>
  <c r="H163" i="3" s="1"/>
  <c r="H164" i="3" a="1"/>
  <c r="H164" i="3" s="1"/>
  <c r="H165" i="3" a="1"/>
  <c r="H165" i="3" s="1"/>
  <c r="H166" i="3" a="1"/>
  <c r="H166" i="3" s="1"/>
  <c r="H167" i="3" a="1"/>
  <c r="H167" i="3" s="1"/>
  <c r="H168" i="3" a="1"/>
  <c r="H168" i="3" s="1"/>
  <c r="H169" i="3" a="1"/>
  <c r="H169" i="3" s="1"/>
  <c r="H170" i="3" a="1"/>
  <c r="H170" i="3" s="1"/>
  <c r="H171" i="3" a="1"/>
  <c r="H171" i="3" s="1"/>
  <c r="H172" i="3" a="1"/>
  <c r="H172" i="3" s="1"/>
  <c r="H173" i="3" a="1"/>
  <c r="H173" i="3" s="1"/>
  <c r="H174" i="3" a="1"/>
  <c r="H174" i="3" s="1"/>
  <c r="H175" i="3" a="1"/>
  <c r="H175" i="3" s="1"/>
  <c r="H176" i="3" a="1"/>
  <c r="H176" i="3" s="1"/>
  <c r="H177" i="3" a="1"/>
  <c r="H177" i="3" s="1"/>
  <c r="H178" i="3" a="1"/>
  <c r="H178" i="3" s="1"/>
  <c r="H179" i="3" a="1"/>
  <c r="H179" i="3" s="1"/>
  <c r="H180" i="3" a="1"/>
  <c r="H180" i="3" s="1"/>
  <c r="H181" i="3" a="1"/>
  <c r="H181" i="3" s="1"/>
  <c r="H182" i="3" a="1"/>
  <c r="H182" i="3" s="1"/>
  <c r="H183" i="3" a="1"/>
  <c r="H183" i="3" s="1"/>
  <c r="H184" i="3" a="1"/>
  <c r="H184" i="3" s="1"/>
  <c r="H185" i="3" a="1"/>
  <c r="H185" i="3" s="1"/>
  <c r="H186" i="3" a="1"/>
  <c r="H186" i="3" s="1"/>
  <c r="H187" i="3" a="1"/>
  <c r="H187" i="3" s="1"/>
  <c r="H188" i="3" a="1"/>
  <c r="H188" i="3" s="1"/>
  <c r="H189" i="3" a="1"/>
  <c r="H189" i="3" s="1"/>
  <c r="H190" i="3" a="1"/>
  <c r="H190" i="3" s="1"/>
  <c r="H191" i="3" a="1"/>
  <c r="H191" i="3" s="1"/>
  <c r="H192" i="3" a="1"/>
  <c r="H192" i="3" s="1"/>
  <c r="H193" i="3" a="1"/>
  <c r="H193" i="3" s="1"/>
  <c r="H194" i="3" a="1"/>
  <c r="H194" i="3" s="1"/>
  <c r="H195" i="3" a="1"/>
  <c r="H195" i="3" s="1"/>
  <c r="H196" i="3" a="1"/>
  <c r="H196" i="3" s="1"/>
  <c r="H197" i="3" a="1"/>
  <c r="H197" i="3" s="1"/>
  <c r="H198" i="3" a="1"/>
  <c r="H198" i="3" s="1"/>
  <c r="H199" i="3" a="1"/>
  <c r="H199" i="3" s="1"/>
  <c r="H200" i="3" a="1"/>
  <c r="H200" i="3" s="1"/>
  <c r="H201" i="3" a="1"/>
  <c r="H201" i="3" s="1"/>
  <c r="H202" i="3" a="1"/>
  <c r="H202" i="3" s="1"/>
  <c r="H203" i="3" a="1"/>
  <c r="H203" i="3" s="1"/>
  <c r="H204" i="3" a="1"/>
  <c r="H204" i="3" s="1"/>
  <c r="H205" i="3" a="1"/>
  <c r="H205" i="3" s="1"/>
  <c r="H206" i="3" a="1"/>
  <c r="H206" i="3" s="1"/>
  <c r="H207" i="3" a="1"/>
  <c r="H207" i="3" s="1"/>
  <c r="H208" i="3" a="1"/>
  <c r="H208" i="3" s="1"/>
  <c r="H209" i="3" a="1"/>
  <c r="H209" i="3" s="1"/>
  <c r="H210" i="3" a="1"/>
  <c r="H210" i="3" s="1"/>
  <c r="H211" i="3" a="1"/>
  <c r="H211" i="3" s="1"/>
  <c r="H212" i="3" a="1"/>
  <c r="H212" i="3" s="1"/>
  <c r="H213" i="3" a="1"/>
  <c r="H213" i="3" s="1"/>
  <c r="H214" i="3" a="1"/>
  <c r="H214" i="3" s="1"/>
  <c r="H215" i="3" a="1"/>
  <c r="H215" i="3" s="1"/>
  <c r="H216" i="3" a="1"/>
  <c r="H216" i="3" s="1"/>
  <c r="H217" i="3" a="1"/>
  <c r="H217" i="3" s="1"/>
  <c r="H218" i="3" a="1"/>
  <c r="H218" i="3" s="1"/>
  <c r="H219" i="3" a="1"/>
  <c r="H219" i="3" s="1"/>
  <c r="H220" i="3" a="1"/>
  <c r="H220" i="3" s="1"/>
  <c r="H221" i="3" a="1"/>
  <c r="H221" i="3" s="1"/>
  <c r="H222" i="3" a="1"/>
  <c r="H222" i="3" s="1"/>
  <c r="H223" i="3" a="1"/>
  <c r="H223" i="3" s="1"/>
  <c r="H224" i="3" a="1"/>
  <c r="H224" i="3" s="1"/>
  <c r="H225" i="3" a="1"/>
  <c r="H225" i="3" s="1"/>
  <c r="H226" i="3" a="1"/>
  <c r="H226" i="3" s="1"/>
  <c r="H227" i="3" a="1"/>
  <c r="H227" i="3" s="1"/>
  <c r="H228" i="3" a="1"/>
  <c r="H228" i="3" s="1"/>
  <c r="H229" i="3" a="1"/>
  <c r="H229" i="3" s="1"/>
  <c r="H230" i="3" a="1"/>
  <c r="H230" i="3" s="1"/>
  <c r="H231" i="3" a="1"/>
  <c r="H231" i="3" s="1"/>
  <c r="H232" i="3" a="1"/>
  <c r="H232" i="3" s="1"/>
  <c r="H233" i="3" a="1"/>
  <c r="H233" i="3" s="1"/>
  <c r="H234" i="3" a="1"/>
  <c r="H234" i="3" s="1"/>
  <c r="H235" i="3" a="1"/>
  <c r="H235" i="3" s="1"/>
  <c r="H236" i="3" a="1"/>
  <c r="H236" i="3" s="1"/>
  <c r="H237" i="3" a="1"/>
  <c r="H237" i="3" s="1"/>
  <c r="H238" i="3" a="1"/>
  <c r="H238" i="3" s="1"/>
  <c r="H239" i="3" a="1"/>
  <c r="H239" i="3" s="1"/>
  <c r="H240" i="3" a="1"/>
  <c r="H240" i="3" s="1"/>
  <c r="H241" i="3" a="1"/>
  <c r="H241" i="3" s="1"/>
  <c r="H242" i="3" a="1"/>
  <c r="H242" i="3" s="1"/>
  <c r="H243" i="3" a="1"/>
  <c r="H243" i="3" s="1"/>
  <c r="H244" i="3" a="1"/>
  <c r="H244" i="3" s="1"/>
  <c r="H245" i="3" a="1"/>
  <c r="H245" i="3" s="1"/>
  <c r="H246" i="3" a="1"/>
  <c r="H246" i="3" s="1"/>
  <c r="H247" i="3" a="1"/>
  <c r="H247" i="3" s="1"/>
  <c r="H248" i="3" a="1"/>
  <c r="H248" i="3" s="1"/>
  <c r="H249" i="3" a="1"/>
  <c r="H249" i="3" s="1"/>
  <c r="H250" i="3" a="1"/>
  <c r="H250" i="3" s="1"/>
  <c r="H251" i="3" a="1"/>
  <c r="H251" i="3" s="1"/>
  <c r="H252" i="3" a="1"/>
  <c r="H252" i="3" s="1"/>
  <c r="H253" i="3" a="1"/>
  <c r="H253" i="3" s="1"/>
  <c r="H254" i="3" a="1"/>
  <c r="H254" i="3" s="1"/>
  <c r="H255" i="3" a="1"/>
  <c r="H255" i="3" s="1"/>
  <c r="H256" i="3" a="1"/>
  <c r="H256" i="3" s="1"/>
  <c r="H257" i="3" a="1"/>
  <c r="H257" i="3" s="1"/>
  <c r="H258" i="3" a="1"/>
  <c r="H258" i="3" s="1"/>
  <c r="H259" i="3" a="1"/>
  <c r="H259" i="3" s="1"/>
  <c r="H260" i="3" a="1"/>
  <c r="H260" i="3" s="1"/>
  <c r="H261" i="3" a="1"/>
  <c r="H261" i="3" s="1"/>
  <c r="H262" i="3" a="1"/>
  <c r="H262" i="3" s="1"/>
  <c r="H263" i="3" a="1"/>
  <c r="H263" i="3" s="1"/>
  <c r="H264" i="3" a="1"/>
  <c r="H264" i="3" s="1"/>
  <c r="H265" i="3" a="1"/>
  <c r="H265" i="3" s="1"/>
  <c r="H266" i="3" a="1"/>
  <c r="H266" i="3" s="1"/>
  <c r="H267" i="3" a="1"/>
  <c r="H267" i="3" s="1"/>
  <c r="H268" i="3" a="1"/>
  <c r="H268" i="3" s="1"/>
  <c r="H269" i="3" a="1"/>
  <c r="H269" i="3" s="1"/>
  <c r="H270" i="3" a="1"/>
  <c r="H270" i="3" s="1"/>
  <c r="H271" i="3" a="1"/>
  <c r="H271" i="3" s="1"/>
  <c r="H272" i="3" a="1"/>
  <c r="H272" i="3" s="1"/>
  <c r="H273" i="3" a="1"/>
  <c r="H273" i="3" s="1"/>
  <c r="H274" i="3" a="1"/>
  <c r="H274" i="3" s="1"/>
  <c r="H275" i="3" a="1"/>
  <c r="H275" i="3" s="1"/>
  <c r="H276" i="3" a="1"/>
  <c r="H276" i="3" s="1"/>
  <c r="H277" i="3" a="1"/>
  <c r="H277" i="3" s="1"/>
  <c r="H278" i="3" a="1"/>
  <c r="H278" i="3" s="1"/>
  <c r="H279" i="3" a="1"/>
  <c r="H279" i="3" s="1"/>
  <c r="H280" i="3" a="1"/>
  <c r="H280" i="3" s="1"/>
  <c r="H281" i="3" a="1"/>
  <c r="H281" i="3" s="1"/>
  <c r="H282" i="3" a="1"/>
  <c r="H282" i="3" s="1"/>
  <c r="H283" i="3" a="1"/>
  <c r="H283" i="3" s="1"/>
  <c r="H284" i="3" a="1"/>
  <c r="H284" i="3" s="1"/>
  <c r="H285" i="3" a="1"/>
  <c r="H285" i="3" s="1"/>
  <c r="H286" i="3" a="1"/>
  <c r="H286" i="3" s="1"/>
  <c r="H287" i="3" a="1"/>
  <c r="H287" i="3" s="1"/>
  <c r="H288" i="3" a="1"/>
  <c r="H288" i="3" s="1"/>
  <c r="H289" i="3" a="1"/>
  <c r="H289" i="3" s="1"/>
  <c r="H290" i="3" a="1"/>
  <c r="H290" i="3" s="1"/>
  <c r="H291" i="3" a="1"/>
  <c r="H291" i="3" s="1"/>
  <c r="H292" i="3" a="1"/>
  <c r="H292" i="3" s="1"/>
  <c r="H293" i="3" a="1"/>
  <c r="H293" i="3" s="1"/>
  <c r="H294" i="3" a="1"/>
  <c r="H294" i="3" s="1"/>
  <c r="H295" i="3" a="1"/>
  <c r="H295" i="3" s="1"/>
  <c r="H296" i="3" a="1"/>
  <c r="H296" i="3" s="1"/>
  <c r="H297" i="3" a="1"/>
  <c r="H297" i="3" s="1"/>
  <c r="H298" i="3" a="1"/>
  <c r="H298" i="3" s="1"/>
  <c r="H299" i="3" a="1"/>
  <c r="H299" i="3" s="1"/>
  <c r="H300" i="3" a="1"/>
  <c r="H300" i="3" s="1"/>
  <c r="H301" i="3" a="1"/>
  <c r="H301" i="3" s="1"/>
  <c r="H302" i="3" a="1"/>
  <c r="H302" i="3" s="1"/>
  <c r="H303" i="3" a="1"/>
  <c r="H303" i="3" s="1"/>
  <c r="H304" i="3" a="1"/>
  <c r="H304" i="3" s="1"/>
  <c r="H305" i="3" a="1"/>
  <c r="H305" i="3" s="1"/>
  <c r="H306" i="3" a="1"/>
  <c r="H306" i="3" s="1"/>
  <c r="H307" i="3" a="1"/>
  <c r="H307" i="3" s="1"/>
  <c r="H308" i="3" a="1"/>
  <c r="H308" i="3" s="1"/>
  <c r="H309" i="3" a="1"/>
  <c r="H309" i="3" s="1"/>
  <c r="H310" i="3" a="1"/>
  <c r="H310" i="3" s="1"/>
  <c r="H311" i="3" a="1"/>
  <c r="H311" i="3" s="1"/>
  <c r="H312" i="3" a="1"/>
  <c r="H312" i="3" s="1"/>
  <c r="H313" i="3" a="1"/>
  <c r="H313" i="3" s="1"/>
  <c r="H314" i="3" a="1"/>
  <c r="H314" i="3" s="1"/>
  <c r="H315" i="3" a="1"/>
  <c r="H315" i="3" s="1"/>
  <c r="H316" i="3" a="1"/>
  <c r="H316" i="3" s="1"/>
  <c r="H317" i="3" a="1"/>
  <c r="H317" i="3" s="1"/>
  <c r="H318" i="3" a="1"/>
  <c r="H318" i="3" s="1"/>
  <c r="H319" i="3" a="1"/>
  <c r="H319" i="3" s="1"/>
  <c r="H320" i="3" a="1"/>
  <c r="H320" i="3" s="1"/>
  <c r="H321" i="3" a="1"/>
  <c r="H321" i="3" s="1"/>
  <c r="H322" i="3" a="1"/>
  <c r="H322" i="3" s="1"/>
  <c r="H323" i="3" a="1"/>
  <c r="H323" i="3" s="1"/>
  <c r="H324" i="3" a="1"/>
  <c r="H324" i="3" s="1"/>
  <c r="H325" i="3" a="1"/>
  <c r="H325" i="3" s="1"/>
  <c r="H326" i="3" a="1"/>
  <c r="H326" i="3" s="1"/>
  <c r="H327" i="3" a="1"/>
  <c r="H327" i="3" s="1"/>
  <c r="H328" i="3" a="1"/>
  <c r="H328" i="3" s="1"/>
  <c r="H329" i="3" a="1"/>
  <c r="H329" i="3" s="1"/>
  <c r="H330" i="3" a="1"/>
  <c r="H330" i="3" s="1"/>
  <c r="H331" i="3" a="1"/>
  <c r="H331" i="3" s="1"/>
  <c r="H332" i="3" a="1"/>
  <c r="H332" i="3" s="1"/>
  <c r="H333" i="3" a="1"/>
  <c r="H333" i="3" s="1"/>
  <c r="H334" i="3" a="1"/>
  <c r="H334" i="3" s="1"/>
  <c r="H335" i="3" a="1"/>
  <c r="H335" i="3" s="1"/>
  <c r="H336" i="3" a="1"/>
  <c r="H336" i="3" s="1"/>
  <c r="H337" i="3" a="1"/>
  <c r="H337" i="3" s="1"/>
  <c r="H338" i="3" a="1"/>
  <c r="H338" i="3" s="1"/>
  <c r="H339" i="3" a="1"/>
  <c r="H339" i="3" s="1"/>
  <c r="H340" i="3" a="1"/>
  <c r="H340" i="3" s="1"/>
  <c r="H341" i="3" a="1"/>
  <c r="H341" i="3" s="1"/>
  <c r="H342" i="3" a="1"/>
  <c r="H342" i="3" s="1"/>
  <c r="H343" i="3" a="1"/>
  <c r="H343" i="3" s="1"/>
  <c r="H344" i="3" a="1"/>
  <c r="H344" i="3" s="1"/>
  <c r="H345" i="3" a="1"/>
  <c r="H345" i="3" s="1"/>
  <c r="H346" i="3" a="1"/>
  <c r="H346" i="3" s="1"/>
  <c r="H347" i="3" a="1"/>
  <c r="H347" i="3" s="1"/>
  <c r="H348" i="3" a="1"/>
  <c r="H348" i="3" s="1"/>
  <c r="H349" i="3" a="1"/>
  <c r="H349" i="3" s="1"/>
  <c r="H350" i="3" a="1"/>
  <c r="H350" i="3" s="1"/>
  <c r="H351" i="3" a="1"/>
  <c r="H351" i="3" s="1"/>
  <c r="H352" i="3" a="1"/>
  <c r="H352" i="3" s="1"/>
  <c r="H353" i="3" a="1"/>
  <c r="H353" i="3" s="1"/>
  <c r="H354" i="3" a="1"/>
  <c r="H354" i="3" s="1"/>
  <c r="H355" i="3" a="1"/>
  <c r="H355" i="3" s="1"/>
  <c r="H356" i="3" a="1"/>
  <c r="H356" i="3" s="1"/>
  <c r="H357" i="3" a="1"/>
  <c r="H357" i="3" s="1"/>
  <c r="H358" i="3" a="1"/>
  <c r="H358" i="3" s="1"/>
  <c r="H359" i="3" a="1"/>
  <c r="H359" i="3" s="1"/>
  <c r="H360" i="3" a="1"/>
  <c r="H360" i="3" s="1"/>
  <c r="H361" i="3" a="1"/>
  <c r="H361" i="3" s="1"/>
  <c r="H362" i="3" a="1"/>
  <c r="H362" i="3" s="1"/>
  <c r="H363" i="3" a="1"/>
  <c r="H363" i="3" s="1"/>
  <c r="H364" i="3" a="1"/>
  <c r="H364" i="3" s="1"/>
  <c r="H365" i="3" a="1"/>
  <c r="H365" i="3" s="1"/>
  <c r="H366" i="3" a="1"/>
  <c r="H366" i="3" s="1"/>
  <c r="H367" i="3" a="1"/>
  <c r="H367" i="3" s="1"/>
  <c r="H368" i="3" a="1"/>
  <c r="H368" i="3" s="1"/>
  <c r="H369" i="3" a="1"/>
  <c r="H369" i="3" s="1"/>
  <c r="H370" i="3" a="1"/>
  <c r="H370" i="3" s="1"/>
  <c r="H371" i="3" a="1"/>
  <c r="H371" i="3" s="1"/>
  <c r="H372" i="3" a="1"/>
  <c r="H372" i="3" s="1"/>
  <c r="H373" i="3" a="1"/>
  <c r="H373" i="3" s="1"/>
  <c r="H374" i="3" a="1"/>
  <c r="H374" i="3" s="1"/>
  <c r="H375" i="3" a="1"/>
  <c r="H375" i="3" s="1"/>
  <c r="H376" i="3" a="1"/>
  <c r="H376" i="3" s="1"/>
  <c r="H377" i="3" a="1"/>
  <c r="H377" i="3" s="1"/>
  <c r="H378" i="3" a="1"/>
  <c r="H378" i="3" s="1"/>
  <c r="H379" i="3" a="1"/>
  <c r="H379" i="3" s="1"/>
  <c r="H380" i="3" a="1"/>
  <c r="H380" i="3" s="1"/>
  <c r="H381" i="3" a="1"/>
  <c r="H381" i="3" s="1"/>
  <c r="H382" i="3" a="1"/>
  <c r="H382" i="3" s="1"/>
  <c r="H383" i="3" a="1"/>
  <c r="H383" i="3" s="1"/>
  <c r="H384" i="3" a="1"/>
  <c r="H384" i="3" s="1"/>
  <c r="H385" i="3" a="1"/>
  <c r="H385" i="3" s="1"/>
  <c r="H386" i="3" a="1"/>
  <c r="H386" i="3" s="1"/>
  <c r="H387" i="3" a="1"/>
  <c r="H387" i="3" s="1"/>
  <c r="H388" i="3" a="1"/>
  <c r="H388" i="3" s="1"/>
  <c r="H389" i="3" a="1"/>
  <c r="H389" i="3" s="1"/>
  <c r="H390" i="3" a="1"/>
  <c r="H390" i="3" s="1"/>
  <c r="H391" i="3" a="1"/>
  <c r="H391" i="3" s="1"/>
  <c r="H392" i="3" a="1"/>
  <c r="H392" i="3" s="1"/>
  <c r="H393" i="3" a="1"/>
  <c r="H393" i="3" s="1"/>
  <c r="H394" i="3" a="1"/>
  <c r="H394" i="3" s="1"/>
  <c r="H395" i="3" a="1"/>
  <c r="H395" i="3" s="1"/>
  <c r="H396" i="3" a="1"/>
  <c r="H396" i="3" s="1"/>
  <c r="H397" i="3" a="1"/>
  <c r="H397" i="3" s="1"/>
  <c r="H398" i="3" a="1"/>
  <c r="H398" i="3" s="1"/>
  <c r="H399" i="3" a="1"/>
  <c r="H399" i="3" s="1"/>
  <c r="H400" i="3" a="1"/>
  <c r="H400" i="3" s="1"/>
  <c r="H401" i="3" a="1"/>
  <c r="H401" i="3" s="1"/>
  <c r="H402" i="3" a="1"/>
  <c r="H402" i="3" s="1"/>
  <c r="H403" i="3" a="1"/>
  <c r="H403" i="3" s="1"/>
  <c r="H404" i="3" a="1"/>
  <c r="H404" i="3" s="1"/>
  <c r="H405" i="3" a="1"/>
  <c r="H405" i="3" s="1"/>
  <c r="H406" i="3" a="1"/>
  <c r="H406" i="3" s="1"/>
  <c r="H407" i="3" a="1"/>
  <c r="H407" i="3" s="1"/>
  <c r="H408" i="3" a="1"/>
  <c r="H408" i="3" s="1"/>
  <c r="H409" i="3" a="1"/>
  <c r="H409" i="3" s="1"/>
  <c r="H410" i="3" a="1"/>
  <c r="H410" i="3" s="1"/>
  <c r="H411" i="3" a="1"/>
  <c r="H411" i="3" s="1"/>
  <c r="H412" i="3" a="1"/>
  <c r="H412" i="3" s="1"/>
  <c r="H413" i="3" a="1"/>
  <c r="H413" i="3" s="1"/>
  <c r="H414" i="3" a="1"/>
  <c r="H414" i="3" s="1"/>
  <c r="H415" i="3" a="1"/>
  <c r="H415" i="3" s="1"/>
  <c r="H416" i="3" a="1"/>
  <c r="H416" i="3" s="1"/>
  <c r="H417" i="3" a="1"/>
  <c r="H417" i="3" s="1"/>
  <c r="H418" i="3" a="1"/>
  <c r="H418" i="3" s="1"/>
  <c r="H419" i="3" a="1"/>
  <c r="H419" i="3" s="1"/>
  <c r="H420" i="3" a="1"/>
  <c r="H420" i="3" s="1"/>
  <c r="H421" i="3" a="1"/>
  <c r="H421" i="3" s="1"/>
  <c r="H422" i="3" a="1"/>
  <c r="H422" i="3" s="1"/>
  <c r="H423" i="3" a="1"/>
  <c r="H423" i="3" s="1"/>
  <c r="H424" i="3" a="1"/>
  <c r="H424" i="3" s="1"/>
  <c r="H425" i="3" a="1"/>
  <c r="H425" i="3" s="1"/>
  <c r="H426" i="3" a="1"/>
  <c r="H426" i="3" s="1"/>
  <c r="H427" i="3" a="1"/>
  <c r="H427" i="3" s="1"/>
  <c r="H428" i="3" a="1"/>
  <c r="H428" i="3" s="1"/>
  <c r="H429" i="3" a="1"/>
  <c r="H429" i="3" s="1"/>
  <c r="H430" i="3" a="1"/>
  <c r="H430" i="3" s="1"/>
  <c r="H431" i="3" a="1"/>
  <c r="H431" i="3" s="1"/>
  <c r="H432" i="3" a="1"/>
  <c r="H432" i="3" s="1"/>
  <c r="H433" i="3" a="1"/>
  <c r="H433" i="3" s="1"/>
  <c r="H434" i="3" a="1"/>
  <c r="H434" i="3" s="1"/>
  <c r="H435" i="3" a="1"/>
  <c r="H435" i="3" s="1"/>
  <c r="H436" i="3" a="1"/>
  <c r="H436" i="3" s="1"/>
  <c r="H437" i="3" a="1"/>
  <c r="H437" i="3" s="1"/>
  <c r="H438" i="3" a="1"/>
  <c r="H438" i="3" s="1"/>
  <c r="H439" i="3" a="1"/>
  <c r="H439" i="3" s="1"/>
  <c r="H440" i="3" a="1"/>
  <c r="H440" i="3" s="1"/>
  <c r="H441" i="3" a="1"/>
  <c r="H441" i="3" s="1"/>
  <c r="H442" i="3" a="1"/>
  <c r="H442" i="3" s="1"/>
  <c r="H443" i="3" a="1"/>
  <c r="H443" i="3" s="1"/>
  <c r="H444" i="3" a="1"/>
  <c r="H444" i="3" s="1"/>
  <c r="H445" i="3" a="1"/>
  <c r="H445" i="3" s="1"/>
  <c r="H446" i="3" a="1"/>
  <c r="H446" i="3" s="1"/>
  <c r="H447" i="3" a="1"/>
  <c r="H447" i="3" s="1"/>
  <c r="H448" i="3" a="1"/>
  <c r="H448" i="3" s="1"/>
  <c r="H449" i="3" a="1"/>
  <c r="H449" i="3" s="1"/>
  <c r="H450" i="3" a="1"/>
  <c r="H450" i="3" s="1"/>
  <c r="H451" i="3" a="1"/>
  <c r="H451" i="3" s="1"/>
  <c r="H452" i="3" a="1"/>
  <c r="H452" i="3" s="1"/>
  <c r="H453" i="3" a="1"/>
  <c r="H453" i="3" s="1"/>
  <c r="H454" i="3" a="1"/>
  <c r="H454" i="3" s="1"/>
  <c r="H455" i="3" a="1"/>
  <c r="H455" i="3" s="1"/>
  <c r="H456" i="3" a="1"/>
  <c r="H456" i="3" s="1"/>
  <c r="H457" i="3" a="1"/>
  <c r="H457" i="3" s="1"/>
  <c r="H458" i="3" a="1"/>
  <c r="H458" i="3" s="1"/>
  <c r="H459" i="3" a="1"/>
  <c r="H459" i="3" s="1"/>
  <c r="H460" i="3" a="1"/>
  <c r="H460" i="3" s="1"/>
  <c r="H461" i="3" a="1"/>
  <c r="H461" i="3" s="1"/>
  <c r="H462" i="3" a="1"/>
  <c r="H462" i="3" s="1"/>
  <c r="H463" i="3" a="1"/>
  <c r="H463" i="3" s="1"/>
  <c r="H464" i="3" a="1"/>
  <c r="H464" i="3" s="1"/>
  <c r="H465" i="3" a="1"/>
  <c r="H465" i="3" s="1"/>
  <c r="H466" i="3" a="1"/>
  <c r="H466" i="3" s="1"/>
  <c r="H467" i="3" a="1"/>
  <c r="H467" i="3" s="1"/>
  <c r="H468" i="3" a="1"/>
  <c r="H468" i="3" s="1"/>
  <c r="H469" i="3" a="1"/>
  <c r="H469" i="3" s="1"/>
  <c r="H470" i="3" a="1"/>
  <c r="H470" i="3" s="1"/>
  <c r="H471" i="3" a="1"/>
  <c r="H471" i="3" s="1"/>
  <c r="H472" i="3" a="1"/>
  <c r="H472" i="3" s="1"/>
  <c r="H473" i="3" a="1"/>
  <c r="H473" i="3" s="1"/>
  <c r="H474" i="3" a="1"/>
  <c r="H474" i="3" s="1"/>
  <c r="H475" i="3" a="1"/>
  <c r="H475" i="3" s="1"/>
  <c r="H476" i="3" a="1"/>
  <c r="H476" i="3" s="1"/>
  <c r="H477" i="3" a="1"/>
  <c r="H477" i="3" s="1"/>
  <c r="H478" i="3" a="1"/>
  <c r="H478" i="3" s="1"/>
  <c r="H479" i="3" a="1"/>
  <c r="H479" i="3" s="1"/>
  <c r="H480" i="3" a="1"/>
  <c r="H480" i="3" s="1"/>
  <c r="H481" i="3" a="1"/>
  <c r="H481" i="3" s="1"/>
  <c r="H482" i="3" a="1"/>
  <c r="H482" i="3" s="1"/>
  <c r="H483" i="3" a="1"/>
  <c r="H483" i="3" s="1"/>
  <c r="H484" i="3" a="1"/>
  <c r="H484" i="3" s="1"/>
  <c r="H485" i="3" a="1"/>
  <c r="H485" i="3" s="1"/>
  <c r="H486" i="3" a="1"/>
  <c r="H486" i="3" s="1"/>
  <c r="H487" i="3" a="1"/>
  <c r="H487" i="3" s="1"/>
  <c r="H488" i="3" a="1"/>
  <c r="H488" i="3" s="1"/>
  <c r="H489" i="3" a="1"/>
  <c r="H489" i="3" s="1"/>
  <c r="H490" i="3" a="1"/>
  <c r="H490" i="3" s="1"/>
  <c r="H491" i="3" a="1"/>
  <c r="H491" i="3" s="1"/>
  <c r="H492" i="3" a="1"/>
  <c r="H492" i="3" s="1"/>
  <c r="H493" i="3" a="1"/>
  <c r="H493" i="3" s="1"/>
  <c r="H494" i="3" a="1"/>
  <c r="H494" i="3" s="1"/>
  <c r="H495" i="3" a="1"/>
  <c r="H495" i="3" s="1"/>
  <c r="H496" i="3" a="1"/>
  <c r="H496" i="3" s="1"/>
  <c r="H497" i="3" a="1"/>
  <c r="H497" i="3" s="1"/>
  <c r="H498" i="3" a="1"/>
  <c r="H498" i="3" s="1"/>
  <c r="H499" i="3" a="1"/>
  <c r="H499" i="3" s="1"/>
  <c r="H500" i="3" a="1"/>
  <c r="H500" i="3" s="1"/>
  <c r="H501" i="3" a="1"/>
  <c r="H501" i="3" s="1"/>
  <c r="H502" i="3" a="1"/>
  <c r="H502" i="3" s="1"/>
  <c r="H503" i="3" a="1"/>
  <c r="H503" i="3" s="1"/>
  <c r="H504" i="3" a="1"/>
  <c r="H504" i="3" s="1"/>
  <c r="H505" i="3" a="1"/>
  <c r="H505" i="3" s="1"/>
  <c r="H506" i="3" a="1"/>
  <c r="H506" i="3" s="1"/>
  <c r="H507" i="3" a="1"/>
  <c r="H507" i="3" s="1"/>
  <c r="H508" i="3" a="1"/>
  <c r="H508" i="3" s="1"/>
  <c r="H509" i="3" a="1"/>
  <c r="H509" i="3" s="1"/>
  <c r="H510" i="3" a="1"/>
  <c r="H510" i="3" s="1"/>
  <c r="H511" i="3" a="1"/>
  <c r="H511" i="3" s="1"/>
  <c r="H512" i="3" a="1"/>
  <c r="H512" i="3" s="1"/>
  <c r="H513" i="3" a="1"/>
  <c r="H513" i="3" s="1"/>
  <c r="H514" i="3" a="1"/>
  <c r="H514" i="3" s="1"/>
  <c r="H515" i="3" a="1"/>
  <c r="H515" i="3" s="1"/>
  <c r="H516" i="3" a="1"/>
  <c r="H516" i="3" s="1"/>
  <c r="H517" i="3" a="1"/>
  <c r="H517" i="3" s="1"/>
  <c r="H518" i="3" a="1"/>
  <c r="H518" i="3" s="1"/>
  <c r="H519" i="3" a="1"/>
  <c r="H519" i="3" s="1"/>
  <c r="H520" i="3" a="1"/>
  <c r="H520" i="3" s="1"/>
  <c r="H521" i="3" a="1"/>
  <c r="H521" i="3" s="1"/>
  <c r="H522" i="3" a="1"/>
  <c r="H522" i="3" s="1"/>
  <c r="H523" i="3" a="1"/>
  <c r="H523" i="3" s="1"/>
  <c r="H524" i="3" a="1"/>
  <c r="H524" i="3" s="1"/>
  <c r="H525" i="3" a="1"/>
  <c r="H525" i="3" s="1"/>
  <c r="H526" i="3" a="1"/>
  <c r="H526" i="3" s="1"/>
  <c r="H527" i="3" a="1"/>
  <c r="H527" i="3" s="1"/>
  <c r="H528" i="3" a="1"/>
  <c r="H528" i="3" s="1"/>
  <c r="H529" i="3" a="1"/>
  <c r="H529" i="3" s="1"/>
  <c r="H530" i="3" a="1"/>
  <c r="H530" i="3" s="1"/>
  <c r="H531" i="3" a="1"/>
  <c r="H531" i="3" s="1"/>
  <c r="H532" i="3" a="1"/>
  <c r="H532" i="3" s="1"/>
  <c r="H533" i="3" a="1"/>
  <c r="H533" i="3" s="1"/>
  <c r="H534" i="3" a="1"/>
  <c r="H534" i="3" s="1"/>
  <c r="H535" i="3" a="1"/>
  <c r="H535" i="3" s="1"/>
  <c r="H536" i="3" a="1"/>
  <c r="H536" i="3" s="1"/>
  <c r="H537" i="3" a="1"/>
  <c r="H537" i="3" s="1"/>
  <c r="H538" i="3" a="1"/>
  <c r="H538" i="3" s="1"/>
  <c r="H539" i="3" a="1"/>
  <c r="H539" i="3" s="1"/>
  <c r="H540" i="3" a="1"/>
  <c r="H540" i="3" s="1"/>
  <c r="H541" i="3" a="1"/>
  <c r="H541" i="3" s="1"/>
  <c r="H542" i="3" a="1"/>
  <c r="H542" i="3" s="1"/>
  <c r="H543" i="3" a="1"/>
  <c r="H543" i="3" s="1"/>
  <c r="H544" i="3" a="1"/>
  <c r="H544" i="3" s="1"/>
  <c r="H545" i="3" a="1"/>
  <c r="H545" i="3" s="1"/>
  <c r="H546" i="3" a="1"/>
  <c r="H546" i="3" s="1"/>
  <c r="H547" i="3" a="1"/>
  <c r="H547" i="3" s="1"/>
  <c r="H548" i="3" a="1"/>
  <c r="H548" i="3" s="1"/>
  <c r="H549" i="3" a="1"/>
  <c r="H549" i="3" s="1"/>
  <c r="H550" i="3" a="1"/>
  <c r="H550" i="3" s="1"/>
  <c r="H551" i="3" a="1"/>
  <c r="H551" i="3" s="1"/>
  <c r="H552" i="3" a="1"/>
  <c r="H552" i="3" s="1"/>
  <c r="H553" i="3" a="1"/>
  <c r="H553" i="3" s="1"/>
  <c r="H554" i="3" a="1"/>
  <c r="H554" i="3" s="1"/>
  <c r="H555" i="3" a="1"/>
  <c r="H555" i="3" s="1"/>
  <c r="H556" i="3" a="1"/>
  <c r="H556" i="3" s="1"/>
  <c r="H557" i="3" a="1"/>
  <c r="H557" i="3" s="1"/>
  <c r="H558" i="3" a="1"/>
  <c r="H558" i="3" s="1"/>
  <c r="H559" i="3" a="1"/>
  <c r="H559" i="3" s="1"/>
  <c r="H560" i="3" a="1"/>
  <c r="H560" i="3" s="1"/>
  <c r="H561" i="3" a="1"/>
  <c r="H561" i="3" s="1"/>
  <c r="H562" i="3" a="1"/>
  <c r="H562" i="3" s="1"/>
  <c r="H563" i="3" a="1"/>
  <c r="H563" i="3" s="1"/>
  <c r="H564" i="3" a="1"/>
  <c r="H564" i="3" s="1"/>
  <c r="H565" i="3" a="1"/>
  <c r="H565" i="3" s="1"/>
  <c r="H566" i="3" a="1"/>
  <c r="H566" i="3" s="1"/>
  <c r="H567" i="3" a="1"/>
  <c r="H567" i="3" s="1"/>
  <c r="H568" i="3" a="1"/>
  <c r="H568" i="3" s="1"/>
  <c r="H569" i="3" a="1"/>
  <c r="H569" i="3" s="1"/>
  <c r="H570" i="3" a="1"/>
  <c r="H570" i="3" s="1"/>
  <c r="H571" i="3" a="1"/>
  <c r="H571" i="3" s="1"/>
  <c r="H572" i="3" a="1"/>
  <c r="H572" i="3" s="1"/>
  <c r="H573" i="3" a="1"/>
  <c r="H573" i="3" s="1"/>
  <c r="H574" i="3" a="1"/>
  <c r="H574" i="3" s="1"/>
  <c r="H575" i="3" a="1"/>
  <c r="H575" i="3" s="1"/>
  <c r="H576" i="3" a="1"/>
  <c r="H576" i="3" s="1"/>
  <c r="H577" i="3" a="1"/>
  <c r="H577" i="3" s="1"/>
  <c r="H578" i="3" a="1"/>
  <c r="H578" i="3" s="1"/>
  <c r="H579" i="3" a="1"/>
  <c r="H579" i="3" s="1"/>
  <c r="H580" i="3" a="1"/>
  <c r="H580" i="3" s="1"/>
  <c r="H581" i="3" a="1"/>
  <c r="H581" i="3" s="1"/>
  <c r="H582" i="3" a="1"/>
  <c r="H582" i="3" s="1"/>
  <c r="H583" i="3" a="1"/>
  <c r="H583" i="3" s="1"/>
  <c r="H584" i="3" a="1"/>
  <c r="H584" i="3" s="1"/>
  <c r="H585" i="3" a="1"/>
  <c r="H585" i="3" s="1"/>
  <c r="H586" i="3" a="1"/>
  <c r="H586" i="3" s="1"/>
  <c r="H587" i="3" a="1"/>
  <c r="H587" i="3" s="1"/>
  <c r="H588" i="3" a="1"/>
  <c r="H588" i="3" s="1"/>
  <c r="H589" i="3" a="1"/>
  <c r="H589" i="3" s="1"/>
  <c r="H590" i="3" a="1"/>
  <c r="H590" i="3" s="1"/>
  <c r="H591" i="3" a="1"/>
  <c r="H591" i="3" s="1"/>
  <c r="H592" i="3" a="1"/>
  <c r="H592" i="3" s="1"/>
  <c r="H593" i="3" a="1"/>
  <c r="H593" i="3" s="1"/>
  <c r="H594" i="3" a="1"/>
  <c r="H594" i="3" s="1"/>
  <c r="H595" i="3" a="1"/>
  <c r="H595" i="3" s="1"/>
  <c r="H596" i="3" a="1"/>
  <c r="H596" i="3" s="1"/>
  <c r="H597" i="3" a="1"/>
  <c r="H597" i="3" s="1"/>
  <c r="H598" i="3" a="1"/>
  <c r="H598" i="3" s="1"/>
  <c r="H599" i="3" a="1"/>
  <c r="H599" i="3" s="1"/>
  <c r="H600" i="3" a="1"/>
  <c r="H600" i="3" s="1"/>
  <c r="H601" i="3" a="1"/>
  <c r="H601" i="3" s="1"/>
  <c r="H602" i="3" a="1"/>
  <c r="H602" i="3" s="1"/>
  <c r="H603" i="3" a="1"/>
  <c r="H603" i="3" s="1"/>
  <c r="H604" i="3" a="1"/>
  <c r="H604" i="3" s="1"/>
  <c r="H605" i="3" a="1"/>
  <c r="H605" i="3" s="1"/>
  <c r="H606" i="3" a="1"/>
  <c r="H606" i="3" s="1"/>
  <c r="H607" i="3" a="1"/>
  <c r="H607" i="3" s="1"/>
  <c r="H608" i="3" a="1"/>
  <c r="H608" i="3" s="1"/>
  <c r="H609" i="3" a="1"/>
  <c r="H609" i="3" s="1"/>
  <c r="H610" i="3" a="1"/>
  <c r="H610" i="3" s="1"/>
  <c r="H611" i="3" a="1"/>
  <c r="H611" i="3" s="1"/>
  <c r="H612" i="3" a="1"/>
  <c r="H612" i="3" s="1"/>
  <c r="H613" i="3" a="1"/>
  <c r="H613" i="3" s="1"/>
  <c r="H614" i="3" a="1"/>
  <c r="H614" i="3" s="1"/>
  <c r="H615" i="3" a="1"/>
  <c r="H615" i="3" s="1"/>
  <c r="H616" i="3" a="1"/>
  <c r="H616" i="3" s="1"/>
  <c r="H617" i="3" a="1"/>
  <c r="H617" i="3" s="1"/>
  <c r="H618" i="3" a="1"/>
  <c r="H618" i="3" s="1"/>
  <c r="H619" i="3" a="1"/>
  <c r="H619" i="3" s="1"/>
  <c r="H620" i="3" a="1"/>
  <c r="H620" i="3" s="1"/>
  <c r="H621" i="3" a="1"/>
  <c r="H621" i="3" s="1"/>
  <c r="H622" i="3" a="1"/>
  <c r="H622" i="3" s="1"/>
  <c r="H623" i="3" a="1"/>
  <c r="H623" i="3" s="1"/>
  <c r="H624" i="3" a="1"/>
  <c r="H624" i="3" s="1"/>
  <c r="H625" i="3" a="1"/>
  <c r="H625" i="3" s="1"/>
  <c r="H626" i="3" a="1"/>
  <c r="H626" i="3" s="1"/>
  <c r="H627" i="3" a="1"/>
  <c r="H627" i="3" s="1"/>
  <c r="H628" i="3" a="1"/>
  <c r="H628" i="3" s="1"/>
  <c r="H629" i="3" a="1"/>
  <c r="H629" i="3" s="1"/>
  <c r="H630" i="3" a="1"/>
  <c r="H630" i="3" s="1"/>
  <c r="H631" i="3" a="1"/>
  <c r="H631" i="3" s="1"/>
  <c r="H632" i="3" a="1"/>
  <c r="H632" i="3" s="1"/>
  <c r="H633" i="3" a="1"/>
  <c r="H633" i="3" s="1"/>
  <c r="H634" i="3" a="1"/>
  <c r="H634" i="3" s="1"/>
  <c r="H635" i="3" a="1"/>
  <c r="H635" i="3" s="1"/>
  <c r="H636" i="3" a="1"/>
  <c r="H636" i="3" s="1"/>
  <c r="H637" i="3" a="1"/>
  <c r="H637" i="3" s="1"/>
  <c r="H638" i="3" a="1"/>
  <c r="H638" i="3" s="1"/>
  <c r="H639" i="3" a="1"/>
  <c r="H639" i="3" s="1"/>
  <c r="H640" i="3" a="1"/>
  <c r="H640" i="3" s="1"/>
  <c r="H641" i="3" a="1"/>
  <c r="H641" i="3" s="1"/>
  <c r="H642" i="3" a="1"/>
  <c r="H642" i="3" s="1"/>
  <c r="H643" i="3" a="1"/>
  <c r="H643" i="3" s="1"/>
  <c r="H644" i="3" a="1"/>
  <c r="H644" i="3" s="1"/>
  <c r="H645" i="3" a="1"/>
  <c r="H645" i="3" s="1"/>
  <c r="H646" i="3" a="1"/>
  <c r="H646" i="3" s="1"/>
  <c r="H647" i="3" a="1"/>
  <c r="H647" i="3" s="1"/>
  <c r="H648" i="3" a="1"/>
  <c r="H648" i="3" s="1"/>
  <c r="H649" i="3" a="1"/>
  <c r="H649" i="3" s="1"/>
  <c r="H650" i="3" a="1"/>
  <c r="H650" i="3" s="1"/>
  <c r="H651" i="3" a="1"/>
  <c r="H651" i="3" s="1"/>
  <c r="H652" i="3" a="1"/>
  <c r="H652" i="3" s="1"/>
  <c r="H653" i="3" a="1"/>
  <c r="H653" i="3" s="1"/>
  <c r="H654" i="3" a="1"/>
  <c r="H654" i="3" s="1"/>
  <c r="H655" i="3" a="1"/>
  <c r="H655" i="3" s="1"/>
  <c r="H656" i="3" a="1"/>
  <c r="H656" i="3" s="1"/>
  <c r="H657" i="3" a="1"/>
  <c r="H657" i="3" s="1"/>
  <c r="H658" i="3" a="1"/>
  <c r="H658" i="3" s="1"/>
  <c r="H659" i="3" a="1"/>
  <c r="H659" i="3" s="1"/>
  <c r="H660" i="3" a="1"/>
  <c r="H660" i="3" s="1"/>
  <c r="H661" i="3" a="1"/>
  <c r="H661" i="3" s="1"/>
  <c r="H662" i="3" a="1"/>
  <c r="H662" i="3" s="1"/>
  <c r="H663" i="3" a="1"/>
  <c r="H663" i="3" s="1"/>
  <c r="H664" i="3" a="1"/>
  <c r="H664" i="3" s="1"/>
  <c r="H665" i="3" a="1"/>
  <c r="H665" i="3" s="1"/>
  <c r="H666" i="3" a="1"/>
  <c r="H666" i="3" s="1"/>
  <c r="H667" i="3" a="1"/>
  <c r="H667" i="3" s="1"/>
  <c r="H668" i="3" a="1"/>
  <c r="H668" i="3" s="1"/>
  <c r="H669" i="3" a="1"/>
  <c r="H669" i="3" s="1"/>
  <c r="H670" i="3" a="1"/>
  <c r="H670" i="3" s="1"/>
  <c r="H671" i="3" a="1"/>
  <c r="H671" i="3" s="1"/>
  <c r="H672" i="3" a="1"/>
  <c r="H672" i="3" s="1"/>
  <c r="H673" i="3" a="1"/>
  <c r="H673" i="3" s="1"/>
  <c r="H674" i="3" a="1"/>
  <c r="H674" i="3" s="1"/>
  <c r="H675" i="3" a="1"/>
  <c r="H675" i="3" s="1"/>
  <c r="H676" i="3" a="1"/>
  <c r="H676" i="3" s="1"/>
  <c r="H677" i="3" a="1"/>
  <c r="H677" i="3" s="1"/>
  <c r="H678" i="3" a="1"/>
  <c r="H678" i="3" s="1"/>
  <c r="H679" i="3" a="1"/>
  <c r="H679" i="3" s="1"/>
  <c r="H680" i="3" a="1"/>
  <c r="H680" i="3" s="1"/>
  <c r="H681" i="3" a="1"/>
  <c r="H681" i="3" s="1"/>
  <c r="H682" i="3" a="1"/>
  <c r="H682" i="3" s="1"/>
  <c r="H683" i="3" a="1"/>
  <c r="H683" i="3" s="1"/>
  <c r="H684" i="3" a="1"/>
  <c r="H684" i="3" s="1"/>
  <c r="H685" i="3" a="1"/>
  <c r="H685" i="3" s="1"/>
  <c r="H686" i="3" a="1"/>
  <c r="H686" i="3" s="1"/>
  <c r="H687" i="3" a="1"/>
  <c r="H687" i="3" s="1"/>
  <c r="H688" i="3" a="1"/>
  <c r="H688" i="3" s="1"/>
  <c r="H689" i="3" a="1"/>
  <c r="H689" i="3" s="1"/>
  <c r="H690" i="3" a="1"/>
  <c r="H690" i="3" s="1"/>
  <c r="H691" i="3" a="1"/>
  <c r="H691" i="3" s="1"/>
  <c r="H692" i="3" a="1"/>
  <c r="H692" i="3" s="1"/>
  <c r="H693" i="3" a="1"/>
  <c r="H693" i="3" s="1"/>
  <c r="H694" i="3" a="1"/>
  <c r="H694" i="3" s="1"/>
  <c r="H695" i="3" a="1"/>
  <c r="H695" i="3" s="1"/>
  <c r="H696" i="3" a="1"/>
  <c r="H696" i="3" s="1"/>
  <c r="H697" i="3" a="1"/>
  <c r="H697" i="3" s="1"/>
  <c r="H698" i="3" a="1"/>
  <c r="H698" i="3" s="1"/>
  <c r="H699" i="3" a="1"/>
  <c r="H699" i="3" s="1"/>
  <c r="H700" i="3" a="1"/>
  <c r="H700" i="3" s="1"/>
  <c r="H701" i="3" a="1"/>
  <c r="H701" i="3" s="1"/>
  <c r="H702" i="3" a="1"/>
  <c r="H702" i="3" s="1"/>
  <c r="H703" i="3" a="1"/>
  <c r="H703" i="3" s="1"/>
  <c r="H704" i="3" a="1"/>
  <c r="H704" i="3" s="1"/>
  <c r="H705" i="3" a="1"/>
  <c r="H705" i="3" s="1"/>
  <c r="H706" i="3" a="1"/>
  <c r="H706" i="3" s="1"/>
  <c r="H707" i="3" a="1"/>
  <c r="H707" i="3" s="1"/>
  <c r="H708" i="3" a="1"/>
  <c r="H708" i="3" s="1"/>
  <c r="H709" i="3" a="1"/>
  <c r="H709" i="3" s="1"/>
  <c r="H710" i="3" a="1"/>
  <c r="H710" i="3" s="1"/>
  <c r="H711" i="3" a="1"/>
  <c r="H711" i="3" s="1"/>
  <c r="H712" i="3" a="1"/>
  <c r="H712" i="3" s="1"/>
  <c r="H713" i="3" a="1"/>
  <c r="H713" i="3" s="1"/>
  <c r="H714" i="3" a="1"/>
  <c r="H714" i="3" s="1"/>
  <c r="H715" i="3" a="1"/>
  <c r="H715" i="3" s="1"/>
  <c r="H716" i="3" a="1"/>
  <c r="H716" i="3" s="1"/>
  <c r="H717" i="3" a="1"/>
  <c r="H717" i="3" s="1"/>
  <c r="H718" i="3" a="1"/>
  <c r="H718" i="3" s="1"/>
  <c r="H719" i="3" a="1"/>
  <c r="H719" i="3" s="1"/>
  <c r="H720" i="3" a="1"/>
  <c r="H720" i="3" s="1"/>
  <c r="H721" i="3" a="1"/>
  <c r="H721" i="3" s="1"/>
  <c r="H722" i="3" a="1"/>
  <c r="H722" i="3" s="1"/>
  <c r="H723" i="3" a="1"/>
  <c r="H723" i="3" s="1"/>
  <c r="H724" i="3" a="1"/>
  <c r="H724" i="3" s="1"/>
  <c r="H725" i="3" a="1"/>
  <c r="H725" i="3" s="1"/>
  <c r="H726" i="3" a="1"/>
  <c r="H726" i="3" s="1"/>
  <c r="H727" i="3" a="1"/>
  <c r="H727" i="3" s="1"/>
  <c r="H728" i="3" a="1"/>
  <c r="H728" i="3" s="1"/>
  <c r="H729" i="3" a="1"/>
  <c r="H729" i="3" s="1"/>
  <c r="H730" i="3" a="1"/>
  <c r="H730" i="3" s="1"/>
  <c r="H731" i="3" a="1"/>
  <c r="H731" i="3" s="1"/>
  <c r="H732" i="3" a="1"/>
  <c r="H732" i="3" s="1"/>
  <c r="H733" i="3" a="1"/>
  <c r="H733" i="3" s="1"/>
  <c r="H734" i="3" a="1"/>
  <c r="H734" i="3" s="1"/>
  <c r="H735" i="3" a="1"/>
  <c r="H735" i="3" s="1"/>
  <c r="H736" i="3" a="1"/>
  <c r="H736" i="3" s="1"/>
  <c r="H737" i="3" a="1"/>
  <c r="H737" i="3" s="1"/>
  <c r="H738" i="3" a="1"/>
  <c r="H738" i="3" s="1"/>
  <c r="H739" i="3" a="1"/>
  <c r="H739" i="3" s="1"/>
  <c r="H740" i="3" a="1"/>
  <c r="H740" i="3" s="1"/>
  <c r="H741" i="3" a="1"/>
  <c r="H741" i="3" s="1"/>
  <c r="H742" i="3" a="1"/>
  <c r="H742" i="3" s="1"/>
  <c r="H743" i="3" a="1"/>
  <c r="H743" i="3" s="1"/>
  <c r="H744" i="3" a="1"/>
  <c r="H744" i="3" s="1"/>
  <c r="H745" i="3" a="1"/>
  <c r="H745" i="3" s="1"/>
  <c r="H746" i="3" a="1"/>
  <c r="H746" i="3" s="1"/>
  <c r="H747" i="3" a="1"/>
  <c r="H747" i="3" s="1"/>
  <c r="H748" i="3" a="1"/>
  <c r="H748" i="3" s="1"/>
  <c r="H749" i="3" a="1"/>
  <c r="H749" i="3" s="1"/>
  <c r="H750" i="3" a="1"/>
  <c r="H750" i="3" s="1"/>
  <c r="H751" i="3" a="1"/>
  <c r="H751" i="3" s="1"/>
  <c r="H752" i="3" a="1"/>
  <c r="H752" i="3" s="1"/>
  <c r="H753" i="3" a="1"/>
  <c r="H753" i="3" s="1"/>
  <c r="H754" i="3" a="1"/>
  <c r="H754" i="3" s="1"/>
  <c r="H755" i="3" a="1"/>
  <c r="H755" i="3" s="1"/>
  <c r="H756" i="3" a="1"/>
  <c r="H756" i="3" s="1"/>
  <c r="H757" i="3" a="1"/>
  <c r="H757" i="3" s="1"/>
  <c r="H758" i="3" a="1"/>
  <c r="H758" i="3" s="1"/>
  <c r="H759" i="3" a="1"/>
  <c r="H759" i="3" s="1"/>
  <c r="H760" i="3" a="1"/>
  <c r="H760" i="3" s="1"/>
  <c r="H761" i="3" a="1"/>
  <c r="H761" i="3" s="1"/>
  <c r="H762" i="3" a="1"/>
  <c r="H762" i="3" s="1"/>
  <c r="H763" i="3" a="1"/>
  <c r="H763" i="3" s="1"/>
  <c r="H764" i="3" a="1"/>
  <c r="H764" i="3" s="1"/>
  <c r="H765" i="3" a="1"/>
  <c r="H765" i="3" s="1"/>
  <c r="H766" i="3" a="1"/>
  <c r="H766" i="3" s="1"/>
  <c r="H767" i="3" a="1"/>
  <c r="H767" i="3" s="1"/>
  <c r="H768" i="3" a="1"/>
  <c r="H768" i="3" s="1"/>
  <c r="H769" i="3" a="1"/>
  <c r="H769" i="3" s="1"/>
  <c r="H770" i="3" a="1"/>
  <c r="H770" i="3" s="1"/>
  <c r="H771" i="3" a="1"/>
  <c r="H771" i="3" s="1"/>
  <c r="H772" i="3" a="1"/>
  <c r="H772" i="3" s="1"/>
  <c r="H773" i="3" a="1"/>
  <c r="H773" i="3" s="1"/>
  <c r="H774" i="3" a="1"/>
  <c r="H774" i="3" s="1"/>
  <c r="H775" i="3" a="1"/>
  <c r="H775" i="3" s="1"/>
  <c r="H776" i="3" a="1"/>
  <c r="H776" i="3" s="1"/>
  <c r="H777" i="3" a="1"/>
  <c r="H777" i="3" s="1"/>
  <c r="H778" i="3" a="1"/>
  <c r="H778" i="3" s="1"/>
  <c r="H779" i="3" a="1"/>
  <c r="H779" i="3" s="1"/>
  <c r="H780" i="3" a="1"/>
  <c r="H780" i="3" s="1"/>
  <c r="H781" i="3" a="1"/>
  <c r="H781" i="3" s="1"/>
  <c r="H782" i="3" a="1"/>
  <c r="H782" i="3" s="1"/>
  <c r="H783" i="3" a="1"/>
  <c r="H783" i="3" s="1"/>
  <c r="H784" i="3" a="1"/>
  <c r="H784" i="3" s="1"/>
  <c r="H785" i="3" a="1"/>
  <c r="H785" i="3" s="1"/>
  <c r="H786" i="3" a="1"/>
  <c r="H786" i="3" s="1"/>
  <c r="H787" i="3" a="1"/>
  <c r="H787" i="3" s="1"/>
  <c r="H788" i="3" a="1"/>
  <c r="H788" i="3" s="1"/>
  <c r="H789" i="3" a="1"/>
  <c r="H789" i="3" s="1"/>
  <c r="H790" i="3" a="1"/>
  <c r="H790" i="3" s="1"/>
  <c r="H791" i="3" a="1"/>
  <c r="H791" i="3" s="1"/>
  <c r="H792" i="3" a="1"/>
  <c r="H792" i="3" s="1"/>
  <c r="H793" i="3" a="1"/>
  <c r="H793" i="3" s="1"/>
  <c r="H794" i="3" a="1"/>
  <c r="H794" i="3" s="1"/>
  <c r="H795" i="3" a="1"/>
  <c r="H795" i="3" s="1"/>
  <c r="H796" i="3" a="1"/>
  <c r="H796" i="3" s="1"/>
  <c r="H797" i="3" a="1"/>
  <c r="H797" i="3" s="1"/>
  <c r="H798" i="3" a="1"/>
  <c r="H798" i="3" s="1"/>
  <c r="H799" i="3" a="1"/>
  <c r="H799" i="3" s="1"/>
  <c r="H800" i="3" a="1"/>
  <c r="H800" i="3" s="1"/>
  <c r="H801" i="3" a="1"/>
  <c r="H801" i="3" s="1"/>
  <c r="H802" i="3" a="1"/>
  <c r="H802" i="3" s="1"/>
  <c r="H803" i="3" a="1"/>
  <c r="H803" i="3" s="1"/>
  <c r="H804" i="3" a="1"/>
  <c r="H804" i="3" s="1"/>
  <c r="H805" i="3" a="1"/>
  <c r="H805" i="3" s="1"/>
  <c r="H806" i="3" a="1"/>
  <c r="H806" i="3" s="1"/>
  <c r="H807" i="3" a="1"/>
  <c r="H807" i="3" s="1"/>
  <c r="H808" i="3" a="1"/>
  <c r="H808" i="3" s="1"/>
  <c r="H809" i="3" a="1"/>
  <c r="H809" i="3" s="1"/>
  <c r="H810" i="3" a="1"/>
  <c r="H810" i="3" s="1"/>
  <c r="H811" i="3" a="1"/>
  <c r="H811" i="3" s="1"/>
  <c r="H812" i="3" a="1"/>
  <c r="H812" i="3" s="1"/>
  <c r="H813" i="3" a="1"/>
  <c r="H813" i="3" s="1"/>
  <c r="H814" i="3" a="1"/>
  <c r="H814" i="3" s="1"/>
  <c r="H815" i="3" a="1"/>
  <c r="H815" i="3" s="1"/>
  <c r="H816" i="3" a="1"/>
  <c r="H816" i="3" s="1"/>
  <c r="H817" i="3" a="1"/>
  <c r="H817" i="3" s="1"/>
  <c r="H818" i="3" a="1"/>
  <c r="H818" i="3" s="1"/>
  <c r="H819" i="3" a="1"/>
  <c r="H819" i="3" s="1"/>
  <c r="H820" i="3" a="1"/>
  <c r="H820" i="3" s="1"/>
  <c r="H821" i="3" a="1"/>
  <c r="H821" i="3" s="1"/>
  <c r="H822" i="3" a="1"/>
  <c r="H822" i="3" s="1"/>
  <c r="H823" i="3" a="1"/>
  <c r="H823" i="3" s="1"/>
  <c r="H824" i="3" a="1"/>
  <c r="H824" i="3" s="1"/>
  <c r="H825" i="3" a="1"/>
  <c r="H825" i="3" s="1"/>
  <c r="H826" i="3" a="1"/>
  <c r="H826" i="3" s="1"/>
  <c r="H827" i="3" a="1"/>
  <c r="H827" i="3" s="1"/>
  <c r="H828" i="3" a="1"/>
  <c r="H828" i="3" s="1"/>
  <c r="H829" i="3" a="1"/>
  <c r="H829" i="3" s="1"/>
  <c r="H830" i="3" a="1"/>
  <c r="H830" i="3" s="1"/>
  <c r="H831" i="3" a="1"/>
  <c r="H831" i="3" s="1"/>
  <c r="H832" i="3" a="1"/>
  <c r="H832" i="3" s="1"/>
  <c r="H833" i="3" a="1"/>
  <c r="H833" i="3" s="1"/>
  <c r="H834" i="3" a="1"/>
  <c r="H834" i="3" s="1"/>
  <c r="H835" i="3" a="1"/>
  <c r="H835" i="3" s="1"/>
  <c r="H836" i="3" a="1"/>
  <c r="H836" i="3" s="1"/>
  <c r="H837" i="3" a="1"/>
  <c r="H837" i="3" s="1"/>
  <c r="H838" i="3" a="1"/>
  <c r="H838" i="3" s="1"/>
  <c r="H839" i="3" a="1"/>
  <c r="H839" i="3" s="1"/>
  <c r="H840" i="3" a="1"/>
  <c r="H840" i="3" s="1"/>
  <c r="H841" i="3" a="1"/>
  <c r="H841" i="3" s="1"/>
  <c r="H842" i="3" a="1"/>
  <c r="H842" i="3" s="1"/>
  <c r="H843" i="3" a="1"/>
  <c r="H843" i="3" s="1"/>
  <c r="H844" i="3" a="1"/>
  <c r="H844" i="3" s="1"/>
  <c r="H845" i="3" a="1"/>
  <c r="H845" i="3" s="1"/>
  <c r="H846" i="3" a="1"/>
  <c r="H846" i="3" s="1"/>
  <c r="H847" i="3" a="1"/>
  <c r="H847" i="3" s="1"/>
  <c r="H848" i="3" a="1"/>
  <c r="H848" i="3" s="1"/>
  <c r="H849" i="3" a="1"/>
  <c r="H849" i="3" s="1"/>
  <c r="H850" i="3" a="1"/>
  <c r="H850" i="3" s="1"/>
  <c r="H851" i="3" a="1"/>
  <c r="H851" i="3" s="1"/>
  <c r="H852" i="3" a="1"/>
  <c r="H852" i="3" s="1"/>
  <c r="H853" i="3" a="1"/>
  <c r="H853" i="3" s="1"/>
  <c r="H854" i="3" a="1"/>
  <c r="H854" i="3" s="1"/>
  <c r="H855" i="3" a="1"/>
  <c r="H855" i="3" s="1"/>
  <c r="H856" i="3" a="1"/>
  <c r="H856" i="3" s="1"/>
  <c r="H857" i="3" a="1"/>
  <c r="H857" i="3" s="1"/>
  <c r="H858" i="3" a="1"/>
  <c r="H858" i="3" s="1"/>
  <c r="H859" i="3" a="1"/>
  <c r="H859" i="3" s="1"/>
  <c r="H860" i="3" a="1"/>
  <c r="H860" i="3" s="1"/>
  <c r="H861" i="3" a="1"/>
  <c r="H861" i="3" s="1"/>
  <c r="H862" i="3" a="1"/>
  <c r="H862" i="3" s="1"/>
  <c r="H863" i="3" a="1"/>
  <c r="H863" i="3" s="1"/>
  <c r="H864" i="3" a="1"/>
  <c r="H864" i="3" s="1"/>
  <c r="H865" i="3" a="1"/>
  <c r="H865" i="3" s="1"/>
  <c r="H866" i="3" a="1"/>
  <c r="H866" i="3" s="1"/>
  <c r="H867" i="3" a="1"/>
  <c r="H867" i="3" s="1"/>
  <c r="H868" i="3" a="1"/>
  <c r="H868" i="3" s="1"/>
  <c r="H869" i="3" a="1"/>
  <c r="H869" i="3" s="1"/>
  <c r="H870" i="3" a="1"/>
  <c r="H870" i="3" s="1"/>
  <c r="H871" i="3" a="1"/>
  <c r="H871" i="3" s="1"/>
  <c r="H872" i="3" a="1"/>
  <c r="H872" i="3" s="1"/>
  <c r="H873" i="3" a="1"/>
  <c r="H873" i="3" s="1"/>
  <c r="H874" i="3" a="1"/>
  <c r="H874" i="3" s="1"/>
  <c r="H875" i="3" a="1"/>
  <c r="H875" i="3" s="1"/>
  <c r="H876" i="3" a="1"/>
  <c r="H876" i="3" s="1"/>
  <c r="H877" i="3" a="1"/>
  <c r="H877" i="3" s="1"/>
  <c r="H878" i="3" a="1"/>
  <c r="H878" i="3" s="1"/>
  <c r="H879" i="3" a="1"/>
  <c r="H879" i="3" s="1"/>
  <c r="H880" i="3" a="1"/>
  <c r="H880" i="3" s="1"/>
  <c r="H881" i="3" a="1"/>
  <c r="H881" i="3" s="1"/>
  <c r="H882" i="3" a="1"/>
  <c r="H882" i="3" s="1"/>
  <c r="H883" i="3" a="1"/>
  <c r="H883" i="3" s="1"/>
  <c r="H884" i="3" a="1"/>
  <c r="H884" i="3" s="1"/>
  <c r="H885" i="3" a="1"/>
  <c r="H885" i="3" s="1"/>
  <c r="H886" i="3" a="1"/>
  <c r="H886" i="3" s="1"/>
  <c r="H887" i="3" a="1"/>
  <c r="H887" i="3" s="1"/>
  <c r="H888" i="3" a="1"/>
  <c r="H888" i="3" s="1"/>
  <c r="H889" i="3" a="1"/>
  <c r="H889" i="3" s="1"/>
  <c r="H890" i="3" a="1"/>
  <c r="H890" i="3" s="1"/>
  <c r="H891" i="3" a="1"/>
  <c r="H891" i="3" s="1"/>
  <c r="H892" i="3" a="1"/>
  <c r="H892" i="3" s="1"/>
  <c r="H893" i="3" a="1"/>
  <c r="H893" i="3" s="1"/>
  <c r="H894" i="3" a="1"/>
  <c r="H894" i="3" s="1"/>
  <c r="H895" i="3" a="1"/>
  <c r="H895" i="3" s="1"/>
  <c r="H896" i="3" a="1"/>
  <c r="H896" i="3" s="1"/>
  <c r="H897" i="3" a="1"/>
  <c r="H897" i="3" s="1"/>
  <c r="H898" i="3" a="1"/>
  <c r="H898" i="3" s="1"/>
  <c r="H899" i="3" a="1"/>
  <c r="H899" i="3" s="1"/>
  <c r="H900" i="3" a="1"/>
  <c r="H900" i="3" s="1"/>
  <c r="H901" i="3" a="1"/>
  <c r="H901" i="3" s="1"/>
  <c r="H902" i="3" a="1"/>
  <c r="H902" i="3" s="1"/>
  <c r="H903" i="3" a="1"/>
  <c r="H903" i="3" s="1"/>
  <c r="H904" i="3" a="1"/>
  <c r="H904" i="3" s="1"/>
  <c r="H905" i="3" a="1"/>
  <c r="H905" i="3" s="1"/>
  <c r="H906" i="3" a="1"/>
  <c r="H906" i="3" s="1"/>
  <c r="H907" i="3" a="1"/>
  <c r="H907" i="3" s="1"/>
  <c r="H908" i="3" a="1"/>
  <c r="H908" i="3" s="1"/>
  <c r="H909" i="3" a="1"/>
  <c r="H909" i="3" s="1"/>
  <c r="H910" i="3" a="1"/>
  <c r="H910" i="3" s="1"/>
  <c r="H911" i="3" a="1"/>
  <c r="H911" i="3" s="1"/>
  <c r="H912" i="3" a="1"/>
  <c r="H912" i="3" s="1"/>
  <c r="H913" i="3" a="1"/>
  <c r="H913" i="3" s="1"/>
  <c r="H914" i="3" a="1"/>
  <c r="H914" i="3" s="1"/>
  <c r="H915" i="3" a="1"/>
  <c r="H915" i="3" s="1"/>
  <c r="H916" i="3" a="1"/>
  <c r="H916" i="3" s="1"/>
  <c r="H917" i="3" a="1"/>
  <c r="H917" i="3" s="1"/>
  <c r="H918" i="3" a="1"/>
  <c r="H918" i="3" s="1"/>
  <c r="H919" i="3" a="1"/>
  <c r="H919" i="3" s="1"/>
  <c r="H920" i="3" a="1"/>
  <c r="H920" i="3" s="1"/>
  <c r="H921" i="3" a="1"/>
  <c r="H921" i="3" s="1"/>
  <c r="H922" i="3" a="1"/>
  <c r="H922" i="3" s="1"/>
  <c r="H923" i="3" a="1"/>
  <c r="H923" i="3" s="1"/>
  <c r="H924" i="3" a="1"/>
  <c r="H924" i="3" s="1"/>
  <c r="H925" i="3" a="1"/>
  <c r="H925" i="3" s="1"/>
  <c r="H926" i="3" a="1"/>
  <c r="H926" i="3" s="1"/>
  <c r="H927" i="3" a="1"/>
  <c r="H927" i="3" s="1"/>
  <c r="H928" i="3" a="1"/>
  <c r="H928" i="3" s="1"/>
  <c r="H929" i="3" a="1"/>
  <c r="H929" i="3" s="1"/>
  <c r="H930" i="3" a="1"/>
  <c r="H930" i="3" s="1"/>
  <c r="H931" i="3" a="1"/>
  <c r="H931" i="3" s="1"/>
  <c r="H932" i="3" a="1"/>
  <c r="H932" i="3" s="1"/>
  <c r="H933" i="3" a="1"/>
  <c r="H933" i="3" s="1"/>
  <c r="H934" i="3" a="1"/>
  <c r="H934" i="3" s="1"/>
  <c r="H935" i="3" a="1"/>
  <c r="H935" i="3" s="1"/>
  <c r="H936" i="3" a="1"/>
  <c r="H936" i="3" s="1"/>
  <c r="H937" i="3" a="1"/>
  <c r="H937" i="3" s="1"/>
  <c r="H938" i="3" a="1"/>
  <c r="H938" i="3" s="1"/>
  <c r="H939" i="3" a="1"/>
  <c r="H939" i="3" s="1"/>
  <c r="H940" i="3" a="1"/>
  <c r="H940" i="3" s="1"/>
  <c r="H941" i="3" a="1"/>
  <c r="H941" i="3" s="1"/>
  <c r="H942" i="3" a="1"/>
  <c r="H942" i="3" s="1"/>
  <c r="H943" i="3" a="1"/>
  <c r="H943" i="3" s="1"/>
  <c r="H944" i="3" a="1"/>
  <c r="H944" i="3" s="1"/>
  <c r="H945" i="3" a="1"/>
  <c r="H945" i="3" s="1"/>
  <c r="H946" i="3" a="1"/>
  <c r="H946" i="3" s="1"/>
  <c r="H947" i="3" a="1"/>
  <c r="H947" i="3" s="1"/>
  <c r="H948" i="3" a="1"/>
  <c r="H948" i="3" s="1"/>
  <c r="H949" i="3" a="1"/>
  <c r="H949" i="3" s="1"/>
  <c r="H950" i="3" a="1"/>
  <c r="H950" i="3" s="1"/>
  <c r="H951" i="3" a="1"/>
  <c r="H951" i="3" s="1"/>
  <c r="H952" i="3" a="1"/>
  <c r="H952" i="3" s="1"/>
  <c r="H953" i="3" a="1"/>
  <c r="H953" i="3" s="1"/>
  <c r="H954" i="3" a="1"/>
  <c r="H954" i="3" s="1"/>
  <c r="H955" i="3" a="1"/>
  <c r="H955" i="3" s="1"/>
  <c r="H956" i="3" a="1"/>
  <c r="H956" i="3" s="1"/>
  <c r="H957" i="3" a="1"/>
  <c r="H957" i="3" s="1"/>
  <c r="H958" i="3" a="1"/>
  <c r="H958" i="3" s="1"/>
  <c r="H959" i="3" a="1"/>
  <c r="H959" i="3" s="1"/>
  <c r="H960" i="3" a="1"/>
  <c r="H960" i="3" s="1"/>
  <c r="H961" i="3" a="1"/>
  <c r="H961" i="3" s="1"/>
  <c r="H962" i="3" a="1"/>
  <c r="H962" i="3" s="1"/>
  <c r="H963" i="3" a="1"/>
  <c r="H963" i="3" s="1"/>
  <c r="H964" i="3" a="1"/>
  <c r="H964" i="3" s="1"/>
  <c r="H965" i="3" a="1"/>
  <c r="H965" i="3" s="1"/>
  <c r="H966" i="3" a="1"/>
  <c r="H966" i="3" s="1"/>
  <c r="H967" i="3" a="1"/>
  <c r="H967" i="3" s="1"/>
  <c r="H968" i="3" a="1"/>
  <c r="H968" i="3" s="1"/>
  <c r="H969" i="3" a="1"/>
  <c r="H969" i="3" s="1"/>
  <c r="H970" i="3" a="1"/>
  <c r="H970" i="3" s="1"/>
  <c r="H971" i="3" a="1"/>
  <c r="H971" i="3" s="1"/>
  <c r="H972" i="3" a="1"/>
  <c r="H972" i="3" s="1"/>
  <c r="H973" i="3" a="1"/>
  <c r="H973" i="3" s="1"/>
  <c r="H974" i="3" a="1"/>
  <c r="H974" i="3" s="1"/>
  <c r="H975" i="3" a="1"/>
  <c r="H975" i="3" s="1"/>
  <c r="H976" i="3" a="1"/>
  <c r="H976" i="3" s="1"/>
  <c r="H977" i="3" a="1"/>
  <c r="H977" i="3" s="1"/>
  <c r="H978" i="3" a="1"/>
  <c r="H978" i="3" s="1"/>
  <c r="H979" i="3" a="1"/>
  <c r="H979" i="3" s="1"/>
  <c r="H980" i="3" a="1"/>
  <c r="H980" i="3" s="1"/>
  <c r="H981" i="3" a="1"/>
  <c r="H981" i="3" s="1"/>
  <c r="H982" i="3" a="1"/>
  <c r="H982" i="3" s="1"/>
  <c r="H983" i="3" a="1"/>
  <c r="H983" i="3" s="1"/>
  <c r="H984" i="3" a="1"/>
  <c r="H984" i="3" s="1"/>
  <c r="H985" i="3" a="1"/>
  <c r="H985" i="3" s="1"/>
  <c r="H986" i="3" a="1"/>
  <c r="H986" i="3" s="1"/>
  <c r="H987" i="3" a="1"/>
  <c r="H987" i="3" s="1"/>
  <c r="H988" i="3" a="1"/>
  <c r="H988" i="3" s="1"/>
  <c r="H989" i="3" a="1"/>
  <c r="H989" i="3" s="1"/>
  <c r="H990" i="3" a="1"/>
  <c r="H990" i="3" s="1"/>
  <c r="H991" i="3" a="1"/>
  <c r="H991" i="3" s="1"/>
  <c r="H992" i="3" a="1"/>
  <c r="H992" i="3" s="1"/>
  <c r="H993" i="3" a="1"/>
  <c r="H993" i="3" s="1"/>
  <c r="H994" i="3" a="1"/>
  <c r="H994" i="3" s="1"/>
  <c r="H995" i="3" a="1"/>
  <c r="H995" i="3" s="1"/>
  <c r="H996" i="3" a="1"/>
  <c r="H996" i="3" s="1"/>
  <c r="H997" i="3" a="1"/>
  <c r="H997" i="3" s="1"/>
  <c r="H998" i="3" a="1"/>
  <c r="H998" i="3" s="1"/>
  <c r="H999" i="3" a="1"/>
  <c r="H999" i="3" s="1"/>
  <c r="H1000" i="3" a="1"/>
  <c r="H1000" i="3" s="1"/>
  <c r="H1001" i="3" a="1"/>
  <c r="H1001" i="3" s="1"/>
  <c r="H3" i="3" a="1"/>
  <c r="H3" i="3" s="1"/>
  <c r="H4" i="3" a="1"/>
  <c r="H4" i="3" s="1"/>
  <c r="H5" i="3" a="1"/>
  <c r="H5" i="3" s="1"/>
  <c r="H6" i="3" a="1"/>
  <c r="H6" i="3" s="1"/>
  <c r="H7" i="3" a="1"/>
  <c r="H7" i="3" s="1"/>
  <c r="H8" i="3" a="1"/>
  <c r="H8" i="3" s="1"/>
  <c r="H9" i="3" a="1"/>
  <c r="H9" i="3" s="1"/>
  <c r="H10" i="3" a="1"/>
  <c r="H10" i="3" s="1"/>
  <c r="H11" i="3" a="1"/>
  <c r="H11" i="3" s="1"/>
  <c r="H12" i="3" a="1"/>
  <c r="H12" i="3" s="1"/>
  <c r="H13" i="3" a="1"/>
  <c r="H13" i="3" s="1"/>
  <c r="H14" i="3" a="1"/>
  <c r="H14" i="3" s="1"/>
  <c r="H15" i="3" a="1"/>
  <c r="H15" i="3" s="1"/>
  <c r="H16" i="3" a="1"/>
  <c r="H16" i="3" s="1"/>
  <c r="H17" i="3" a="1"/>
  <c r="H17" i="3" s="1"/>
  <c r="H18" i="3" a="1"/>
  <c r="H18" i="3" s="1"/>
  <c r="H19" i="3" a="1"/>
  <c r="H19" i="3" s="1"/>
  <c r="H20" i="3" a="1"/>
  <c r="H20" i="3" s="1"/>
  <c r="H21" i="3" a="1"/>
  <c r="H21" i="3" s="1"/>
  <c r="H22" i="3" a="1"/>
  <c r="H22" i="3" s="1"/>
  <c r="H23" i="3" a="1"/>
  <c r="H23" i="3" s="1"/>
  <c r="H24" i="3" a="1"/>
  <c r="H24" i="3" s="1"/>
  <c r="H25" i="3" a="1"/>
  <c r="H25" i="3" s="1"/>
  <c r="H26" i="3" a="1"/>
  <c r="H26" i="3" s="1"/>
  <c r="H27" i="3" a="1"/>
  <c r="H27" i="3" s="1"/>
  <c r="H28" i="3" a="1"/>
  <c r="H28" i="3" s="1"/>
  <c r="H29" i="3" a="1"/>
  <c r="H29" i="3" s="1"/>
  <c r="H30" i="3" a="1"/>
  <c r="H30" i="3" s="1"/>
  <c r="H31" i="3" a="1"/>
  <c r="H31" i="3" s="1"/>
  <c r="H32" i="3" a="1"/>
  <c r="H32" i="3" s="1"/>
  <c r="H33" i="3" a="1"/>
  <c r="H33" i="3" s="1"/>
  <c r="H34" i="3" a="1"/>
  <c r="H34" i="3" s="1"/>
  <c r="H35" i="3" a="1"/>
  <c r="H35" i="3" s="1"/>
  <c r="H36" i="3" a="1"/>
  <c r="H36" i="3" s="1"/>
  <c r="H37" i="3" a="1"/>
  <c r="H37" i="3" s="1"/>
  <c r="H38" i="3" a="1"/>
  <c r="H38" i="3" s="1"/>
  <c r="H39" i="3" a="1"/>
  <c r="H39" i="3" s="1"/>
  <c r="H40" i="3" a="1"/>
  <c r="H40" i="3" s="1"/>
  <c r="H41" i="3" a="1"/>
  <c r="H41" i="3" s="1"/>
  <c r="H42" i="3" a="1"/>
  <c r="H42" i="3" s="1"/>
  <c r="H43" i="3" a="1"/>
  <c r="H43" i="3" s="1"/>
  <c r="H44" i="3" a="1"/>
  <c r="H44" i="3" s="1"/>
  <c r="H45" i="3" a="1"/>
  <c r="H45" i="3" s="1"/>
  <c r="H46" i="3" a="1"/>
  <c r="H46" i="3" s="1"/>
  <c r="H47" i="3" a="1"/>
  <c r="H47" i="3" s="1"/>
  <c r="H48" i="3" a="1"/>
  <c r="H48" i="3" s="1"/>
  <c r="H49" i="3" a="1"/>
  <c r="H49" i="3" s="1"/>
  <c r="H50" i="3" a="1"/>
  <c r="H50" i="3" s="1"/>
  <c r="H51" i="3" a="1"/>
  <c r="H51" i="3" s="1"/>
  <c r="H52" i="3" a="1"/>
  <c r="H52" i="3" s="1"/>
  <c r="H53" i="3" a="1"/>
  <c r="H53" i="3" s="1"/>
  <c r="H54" i="3" a="1"/>
  <c r="H54" i="3" s="1"/>
  <c r="H55" i="3" a="1"/>
  <c r="H55" i="3" s="1"/>
  <c r="H56" i="3" a="1"/>
  <c r="H56" i="3" s="1"/>
  <c r="H57" i="3" a="1"/>
  <c r="H57" i="3" s="1"/>
  <c r="H58" i="3" a="1"/>
  <c r="H58" i="3" s="1"/>
  <c r="H59" i="3" a="1"/>
  <c r="H59" i="3" s="1"/>
  <c r="H60" i="3" a="1"/>
  <c r="H60" i="3" s="1"/>
  <c r="H61" i="3" a="1"/>
  <c r="H61" i="3" s="1"/>
  <c r="H62" i="3" a="1"/>
  <c r="H62" i="3" s="1"/>
  <c r="H63" i="3" a="1"/>
  <c r="H63" i="3" s="1"/>
  <c r="H64" i="3" a="1"/>
  <c r="H64" i="3" s="1"/>
  <c r="H65" i="3" a="1"/>
  <c r="H65" i="3" s="1"/>
  <c r="H66" i="3" a="1"/>
  <c r="H66" i="3" s="1"/>
  <c r="H67" i="3" a="1"/>
  <c r="H67" i="3" s="1"/>
  <c r="H68" i="3" a="1"/>
  <c r="H68" i="3" s="1"/>
  <c r="H69" i="3" a="1"/>
  <c r="H69" i="3" s="1"/>
  <c r="H70" i="3" a="1"/>
  <c r="H70" i="3" s="1"/>
  <c r="H71" i="3" a="1"/>
  <c r="H71" i="3" s="1"/>
  <c r="H72" i="3" a="1"/>
  <c r="H72" i="3" s="1"/>
  <c r="H73" i="3" a="1"/>
  <c r="H73" i="3" s="1"/>
  <c r="H74" i="3" a="1"/>
  <c r="H74" i="3" s="1"/>
  <c r="H75" i="3" a="1"/>
  <c r="H75" i="3" s="1"/>
  <c r="H76" i="3" a="1"/>
  <c r="H76" i="3" s="1"/>
  <c r="H77" i="3" a="1"/>
  <c r="H77" i="3" s="1"/>
  <c r="H78" i="3" a="1"/>
  <c r="H78" i="3" s="1"/>
  <c r="H79" i="3" a="1"/>
  <c r="H79" i="3" s="1"/>
  <c r="H80" i="3" a="1"/>
  <c r="H80" i="3" s="1"/>
  <c r="H81" i="3" a="1"/>
  <c r="H81" i="3" s="1"/>
  <c r="H82" i="3" a="1"/>
  <c r="H82" i="3" s="1"/>
  <c r="H83" i="3" a="1"/>
  <c r="H83" i="3" s="1"/>
  <c r="H84" i="3" a="1"/>
  <c r="H84" i="3" s="1"/>
  <c r="H85" i="3" a="1"/>
  <c r="H85" i="3" s="1"/>
  <c r="H86" i="3" a="1"/>
  <c r="H86" i="3" s="1"/>
  <c r="H87" i="3" a="1"/>
  <c r="H87" i="3" s="1"/>
  <c r="H88" i="3" a="1"/>
  <c r="H88" i="3" s="1"/>
  <c r="H89" i="3" a="1"/>
  <c r="H89" i="3" s="1"/>
  <c r="H90" i="3" a="1"/>
  <c r="H90" i="3" s="1"/>
  <c r="H91" i="3" a="1"/>
  <c r="H91" i="3" s="1"/>
  <c r="H92" i="3" a="1"/>
  <c r="H92" i="3" s="1"/>
  <c r="H93" i="3" a="1"/>
  <c r="H93" i="3" s="1"/>
  <c r="H94" i="3" a="1"/>
  <c r="H94" i="3" s="1"/>
  <c r="H95" i="3" a="1"/>
  <c r="H95" i="3" s="1"/>
  <c r="H96" i="3" a="1"/>
  <c r="H96" i="3" s="1"/>
  <c r="H97" i="3" a="1"/>
  <c r="H97" i="3" s="1"/>
  <c r="H98" i="3" a="1"/>
  <c r="H98" i="3" s="1"/>
  <c r="H99" i="3" a="1"/>
  <c r="H99" i="3" s="1"/>
  <c r="H100" i="3" a="1"/>
  <c r="H100" i="3" s="1"/>
  <c r="H101" i="3" a="1"/>
  <c r="H101" i="3" s="1"/>
  <c r="H102" i="3" a="1"/>
  <c r="H102" i="3" s="1"/>
  <c r="H103" i="3" a="1"/>
  <c r="H103" i="3" s="1"/>
  <c r="H104" i="3" a="1"/>
  <c r="H104" i="3" s="1"/>
  <c r="H105" i="3" a="1"/>
  <c r="H105" i="3" s="1"/>
  <c r="H106" i="3" a="1"/>
  <c r="H106" i="3" s="1"/>
  <c r="H107" i="3" a="1"/>
  <c r="H107" i="3" s="1"/>
  <c r="H108" i="3" a="1"/>
  <c r="H108" i="3" s="1"/>
  <c r="H109" i="3" a="1"/>
  <c r="H109" i="3" s="1"/>
  <c r="H110" i="3" a="1"/>
  <c r="H110" i="3" s="1"/>
  <c r="H111" i="3" a="1"/>
  <c r="H111" i="3" s="1"/>
  <c r="H112" i="3" a="1"/>
  <c r="H112" i="3" s="1"/>
  <c r="H113" i="3" a="1"/>
  <c r="H113" i="3" s="1"/>
  <c r="H114" i="3" a="1"/>
  <c r="H114" i="3" s="1"/>
  <c r="H115" i="3" a="1"/>
  <c r="H115" i="3" s="1"/>
  <c r="H116" i="3" a="1"/>
  <c r="H116" i="3" s="1"/>
  <c r="H117" i="3" a="1"/>
  <c r="H117" i="3" s="1"/>
  <c r="H118" i="3" a="1"/>
  <c r="H118" i="3" s="1"/>
  <c r="H119" i="3" a="1"/>
  <c r="H119" i="3" s="1"/>
  <c r="H120" i="3" a="1"/>
  <c r="H120" i="3" s="1"/>
  <c r="H121" i="3" a="1"/>
  <c r="H121" i="3" s="1"/>
  <c r="H122" i="3" a="1"/>
  <c r="H122" i="3" s="1"/>
  <c r="H123" i="3" a="1"/>
  <c r="H123" i="3" s="1"/>
  <c r="H124" i="3" a="1"/>
  <c r="H124" i="3" s="1"/>
  <c r="H125" i="3" a="1"/>
  <c r="H125" i="3" s="1"/>
  <c r="H126" i="3" a="1"/>
  <c r="H126" i="3" s="1"/>
  <c r="H127" i="3" a="1"/>
  <c r="H127" i="3" s="1"/>
  <c r="H128" i="3" a="1"/>
  <c r="H128" i="3" s="1"/>
  <c r="H129" i="3" a="1"/>
  <c r="H129" i="3" s="1"/>
  <c r="H130" i="3" a="1"/>
  <c r="H130" i="3" s="1"/>
  <c r="H131" i="3" a="1"/>
  <c r="H131" i="3" s="1"/>
  <c r="H132" i="3" a="1"/>
  <c r="H132" i="3" s="1"/>
  <c r="H133" i="3" a="1"/>
  <c r="H133" i="3" s="1"/>
  <c r="H134" i="3" a="1"/>
  <c r="H134" i="3" s="1"/>
  <c r="H135" i="3" a="1"/>
  <c r="H135" i="3" s="1"/>
  <c r="H136" i="3" a="1"/>
  <c r="H136" i="3" s="1"/>
  <c r="H137" i="3" a="1"/>
  <c r="H137" i="3" s="1"/>
  <c r="H138" i="3" a="1"/>
  <c r="H138" i="3" s="1"/>
  <c r="H139" i="3" a="1"/>
  <c r="H139" i="3" s="1"/>
  <c r="H140" i="3" a="1"/>
  <c r="H140" i="3" s="1"/>
  <c r="H141" i="3" a="1"/>
  <c r="H141" i="3" s="1"/>
  <c r="H142" i="3" a="1"/>
  <c r="H142" i="3" s="1"/>
  <c r="H143" i="3" a="1"/>
  <c r="H143" i="3" s="1"/>
  <c r="H144" i="3" a="1"/>
  <c r="H144" i="3" s="1"/>
  <c r="H145" i="3" a="1"/>
  <c r="H145" i="3" s="1"/>
  <c r="H146" i="3" a="1"/>
  <c r="H146" i="3" s="1"/>
  <c r="H147" i="3" a="1"/>
  <c r="H147" i="3" s="1"/>
  <c r="H148" i="3" a="1"/>
  <c r="H148" i="3" s="1"/>
  <c r="H2" i="3" a="1"/>
  <c r="H2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2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2" i="3"/>
  <c r="A2" i="3" a="1"/>
  <c r="A2" i="3" s="1"/>
  <c r="A3" i="3" a="1"/>
  <c r="A3" i="3" s="1"/>
  <c r="A4" i="3" a="1"/>
  <c r="A4" i="3" s="1"/>
  <c r="A5" i="3" a="1"/>
  <c r="A5" i="3" s="1"/>
  <c r="A6" i="3" a="1"/>
  <c r="A6" i="3" s="1"/>
  <c r="A7" i="3" a="1"/>
  <c r="A7" i="3" s="1"/>
  <c r="A8" i="3" a="1"/>
  <c r="A8" i="3" s="1"/>
  <c r="A9" i="3" a="1"/>
  <c r="A9" i="3" s="1"/>
  <c r="A10" i="3" a="1"/>
  <c r="A10" i="3" s="1"/>
  <c r="A11" i="3" a="1"/>
  <c r="A11" i="3" s="1"/>
  <c r="A12" i="3" a="1"/>
  <c r="A12" i="3" s="1"/>
  <c r="A13" i="3" a="1"/>
  <c r="A13" i="3" s="1"/>
  <c r="A14" i="3" a="1"/>
  <c r="A14" i="3" s="1"/>
  <c r="A15" i="3" a="1"/>
  <c r="A15" i="3" s="1"/>
  <c r="A16" i="3" a="1"/>
  <c r="A16" i="3" s="1"/>
  <c r="A17" i="3" a="1"/>
  <c r="A17" i="3" s="1"/>
  <c r="A18" i="3" a="1"/>
  <c r="A18" i="3" s="1"/>
  <c r="A19" i="3" a="1"/>
  <c r="A19" i="3" s="1"/>
  <c r="A20" i="3" a="1"/>
  <c r="A20" i="3" s="1"/>
  <c r="A21" i="3" a="1"/>
  <c r="A21" i="3" s="1"/>
  <c r="A22" i="3" a="1"/>
  <c r="A22" i="3" s="1"/>
  <c r="A23" i="3" a="1"/>
  <c r="A23" i="3" s="1"/>
  <c r="A24" i="3" a="1"/>
  <c r="A24" i="3" s="1"/>
  <c r="A25" i="3" a="1"/>
  <c r="A25" i="3" s="1"/>
  <c r="A26" i="3" a="1"/>
  <c r="A26" i="3" s="1"/>
  <c r="A27" i="3" a="1"/>
  <c r="A27" i="3" s="1"/>
  <c r="A28" i="3" a="1"/>
  <c r="A28" i="3" s="1"/>
  <c r="A29" i="3" a="1"/>
  <c r="A29" i="3" s="1"/>
  <c r="A30" i="3" a="1"/>
  <c r="A30" i="3" s="1"/>
  <c r="A31" i="3" a="1"/>
  <c r="A31" i="3" s="1"/>
  <c r="A32" i="3" a="1"/>
  <c r="A32" i="3" s="1"/>
  <c r="A33" i="3" a="1"/>
  <c r="A33" i="3" s="1"/>
  <c r="A34" i="3" a="1"/>
  <c r="A34" i="3" s="1"/>
  <c r="A35" i="3" a="1"/>
  <c r="A35" i="3" s="1"/>
  <c r="A36" i="3" a="1"/>
  <c r="A36" i="3" s="1"/>
  <c r="A37" i="3" a="1"/>
  <c r="A37" i="3" s="1"/>
  <c r="A38" i="3" a="1"/>
  <c r="A38" i="3" s="1"/>
  <c r="A39" i="3" a="1"/>
  <c r="A39" i="3" s="1"/>
  <c r="A40" i="3" a="1"/>
  <c r="A40" i="3" s="1"/>
  <c r="A41" i="3" a="1"/>
  <c r="A41" i="3" s="1"/>
  <c r="A42" i="3" a="1"/>
  <c r="A42" i="3" s="1"/>
  <c r="A43" i="3" a="1"/>
  <c r="A43" i="3" s="1"/>
  <c r="A44" i="3" a="1"/>
  <c r="A44" i="3" s="1"/>
  <c r="A45" i="3" a="1"/>
  <c r="A45" i="3" s="1"/>
  <c r="A46" i="3" a="1"/>
  <c r="A46" i="3" s="1"/>
  <c r="A47" i="3" a="1"/>
  <c r="A47" i="3" s="1"/>
  <c r="A48" i="3" a="1"/>
  <c r="A48" i="3" s="1"/>
  <c r="A49" i="3" a="1"/>
  <c r="A49" i="3" s="1"/>
  <c r="A50" i="3" a="1"/>
  <c r="A50" i="3" s="1"/>
  <c r="A51" i="3" a="1"/>
  <c r="A51" i="3" s="1"/>
  <c r="A52" i="3" a="1"/>
  <c r="A52" i="3" s="1"/>
  <c r="A53" i="3" a="1"/>
  <c r="A53" i="3" s="1"/>
  <c r="A54" i="3" a="1"/>
  <c r="A54" i="3" s="1"/>
  <c r="A55" i="3" a="1"/>
  <c r="A55" i="3" s="1"/>
  <c r="A56" i="3" a="1"/>
  <c r="A56" i="3" s="1"/>
  <c r="A57" i="3" a="1"/>
  <c r="A57" i="3" s="1"/>
  <c r="A58" i="3" a="1"/>
  <c r="A58" i="3" s="1"/>
  <c r="A59" i="3" a="1"/>
  <c r="A59" i="3" s="1"/>
  <c r="A60" i="3" a="1"/>
  <c r="A60" i="3" s="1"/>
  <c r="A61" i="3" a="1"/>
  <c r="A61" i="3" s="1"/>
  <c r="A62" i="3" a="1"/>
  <c r="A62" i="3" s="1"/>
  <c r="A63" i="3" a="1"/>
  <c r="A63" i="3" s="1"/>
  <c r="A64" i="3" a="1"/>
  <c r="A64" i="3" s="1"/>
  <c r="A65" i="3" a="1"/>
  <c r="A65" i="3" s="1"/>
  <c r="A66" i="3" a="1"/>
  <c r="A66" i="3" s="1"/>
  <c r="A67" i="3" a="1"/>
  <c r="A67" i="3" s="1"/>
  <c r="A68" i="3" a="1"/>
  <c r="A68" i="3" s="1"/>
  <c r="A69" i="3" a="1"/>
  <c r="A69" i="3" s="1"/>
  <c r="A70" i="3" a="1"/>
  <c r="A70" i="3" s="1"/>
  <c r="A71" i="3" a="1"/>
  <c r="A71" i="3" s="1"/>
  <c r="A72" i="3" a="1"/>
  <c r="A72" i="3" s="1"/>
  <c r="A73" i="3" a="1"/>
  <c r="A73" i="3" s="1"/>
  <c r="A74" i="3" a="1"/>
  <c r="A74" i="3" s="1"/>
  <c r="A75" i="3" a="1"/>
  <c r="A75" i="3" s="1"/>
  <c r="A76" i="3" a="1"/>
  <c r="A76" i="3" s="1"/>
  <c r="A77" i="3" a="1"/>
  <c r="A77" i="3" s="1"/>
  <c r="A78" i="3" a="1"/>
  <c r="A78" i="3" s="1"/>
  <c r="A79" i="3" a="1"/>
  <c r="A79" i="3" s="1"/>
  <c r="A80" i="3" a="1"/>
  <c r="A80" i="3" s="1"/>
  <c r="A81" i="3" a="1"/>
  <c r="A81" i="3" s="1"/>
  <c r="A82" i="3" a="1"/>
  <c r="A82" i="3" s="1"/>
  <c r="A83" i="3" a="1"/>
  <c r="A83" i="3" s="1"/>
  <c r="A84" i="3" a="1"/>
  <c r="A84" i="3" s="1"/>
  <c r="A85" i="3" a="1"/>
  <c r="A85" i="3" s="1"/>
  <c r="A86" i="3" a="1"/>
  <c r="A86" i="3" s="1"/>
  <c r="A87" i="3" a="1"/>
  <c r="A87" i="3" s="1"/>
  <c r="A88" i="3" a="1"/>
  <c r="A88" i="3" s="1"/>
  <c r="A89" i="3" a="1"/>
  <c r="A89" i="3" s="1"/>
  <c r="A90" i="3" a="1"/>
  <c r="A90" i="3" s="1"/>
  <c r="A91" i="3" a="1"/>
  <c r="A91" i="3" s="1"/>
  <c r="A92" i="3" a="1"/>
  <c r="A92" i="3" s="1"/>
  <c r="A93" i="3" a="1"/>
  <c r="A93" i="3" s="1"/>
  <c r="A94" i="3" a="1"/>
  <c r="A94" i="3" s="1"/>
  <c r="A95" i="3" a="1"/>
  <c r="A95" i="3" s="1"/>
  <c r="A96" i="3" a="1"/>
  <c r="A96" i="3" s="1"/>
  <c r="A97" i="3" a="1"/>
  <c r="A97" i="3" s="1"/>
  <c r="A98" i="3" a="1"/>
  <c r="A98" i="3" s="1"/>
  <c r="A99" i="3" a="1"/>
  <c r="A99" i="3" s="1"/>
  <c r="A100" i="3" a="1"/>
  <c r="A100" i="3" s="1"/>
  <c r="A101" i="3" a="1"/>
  <c r="A101" i="3" s="1"/>
  <c r="A102" i="3" a="1"/>
  <c r="A102" i="3" s="1"/>
  <c r="A103" i="3" a="1"/>
  <c r="A103" i="3" s="1"/>
  <c r="A104" i="3" a="1"/>
  <c r="A104" i="3" s="1"/>
  <c r="A105" i="3" a="1"/>
  <c r="A105" i="3" s="1"/>
  <c r="A106" i="3" a="1"/>
  <c r="A106" i="3" s="1"/>
  <c r="A107" i="3" a="1"/>
  <c r="A107" i="3" s="1"/>
  <c r="A108" i="3" a="1"/>
  <c r="A108" i="3" s="1"/>
  <c r="A109" i="3" a="1"/>
  <c r="A109" i="3" s="1"/>
  <c r="A110" i="3" a="1"/>
  <c r="A110" i="3" s="1"/>
  <c r="A111" i="3" a="1"/>
  <c r="A111" i="3" s="1"/>
  <c r="A112" i="3" a="1"/>
  <c r="A112" i="3" s="1"/>
  <c r="A113" i="3" a="1"/>
  <c r="A113" i="3" s="1"/>
  <c r="A114" i="3" a="1"/>
  <c r="A114" i="3" s="1"/>
  <c r="A115" i="3" a="1"/>
  <c r="A115" i="3" s="1"/>
  <c r="A116" i="3" a="1"/>
  <c r="A116" i="3" s="1"/>
  <c r="A117" i="3" a="1"/>
  <c r="A117" i="3" s="1"/>
  <c r="A118" i="3" a="1"/>
  <c r="A118" i="3" s="1"/>
  <c r="A119" i="3" a="1"/>
  <c r="A119" i="3" s="1"/>
  <c r="A120" i="3" a="1"/>
  <c r="A120" i="3" s="1"/>
  <c r="A121" i="3" a="1"/>
  <c r="A121" i="3" s="1"/>
  <c r="A122" i="3" a="1"/>
  <c r="A122" i="3" s="1"/>
  <c r="A123" i="3" a="1"/>
  <c r="A123" i="3" s="1"/>
  <c r="A124" i="3" a="1"/>
  <c r="A124" i="3" s="1"/>
  <c r="A125" i="3" a="1"/>
  <c r="A125" i="3" s="1"/>
  <c r="A126" i="3" a="1"/>
  <c r="A126" i="3" s="1"/>
  <c r="A127" i="3" a="1"/>
  <c r="A127" i="3" s="1"/>
  <c r="A128" i="3" a="1"/>
  <c r="A128" i="3" s="1"/>
  <c r="A129" i="3" a="1"/>
  <c r="A129" i="3" s="1"/>
  <c r="A130" i="3" a="1"/>
  <c r="A130" i="3" s="1"/>
  <c r="A131" i="3" a="1"/>
  <c r="A131" i="3" s="1"/>
  <c r="A132" i="3" a="1"/>
  <c r="A132" i="3" s="1"/>
  <c r="A133" i="3" a="1"/>
  <c r="A133" i="3" s="1"/>
  <c r="A134" i="3" a="1"/>
  <c r="A134" i="3" s="1"/>
  <c r="A135" i="3" a="1"/>
  <c r="A135" i="3" s="1"/>
  <c r="A136" i="3" a="1"/>
  <c r="A136" i="3" s="1"/>
  <c r="A137" i="3" a="1"/>
  <c r="A137" i="3" s="1"/>
  <c r="A138" i="3" a="1"/>
  <c r="A138" i="3" s="1"/>
  <c r="A139" i="3" a="1"/>
  <c r="A139" i="3" s="1"/>
  <c r="A140" i="3" a="1"/>
  <c r="A140" i="3" s="1"/>
  <c r="A141" i="3" a="1"/>
  <c r="A141" i="3" s="1"/>
  <c r="A142" i="3" a="1"/>
  <c r="A142" i="3" s="1"/>
  <c r="A143" i="3" a="1"/>
  <c r="A143" i="3" s="1"/>
  <c r="A144" i="3" a="1"/>
  <c r="A144" i="3" s="1"/>
  <c r="A145" i="3" a="1"/>
  <c r="A145" i="3" s="1"/>
  <c r="A146" i="3" a="1"/>
  <c r="A146" i="3" s="1"/>
  <c r="A147" i="3" a="1"/>
  <c r="A147" i="3" s="1"/>
  <c r="A148" i="3" a="1"/>
  <c r="A148" i="3" s="1"/>
  <c r="A149" i="3" a="1"/>
  <c r="A149" i="3" s="1"/>
  <c r="A150" i="3" a="1"/>
  <c r="A150" i="3" s="1"/>
  <c r="A151" i="3" a="1"/>
  <c r="A151" i="3" s="1"/>
  <c r="A152" i="3" a="1"/>
  <c r="A152" i="3" s="1"/>
  <c r="A153" i="3" a="1"/>
  <c r="A153" i="3" s="1"/>
  <c r="A154" i="3" a="1"/>
  <c r="A154" i="3" s="1"/>
  <c r="A155" i="3" a="1"/>
  <c r="A155" i="3" s="1"/>
  <c r="A156" i="3" a="1"/>
  <c r="A156" i="3" s="1"/>
  <c r="A157" i="3" a="1"/>
  <c r="A157" i="3" s="1"/>
  <c r="A158" i="3" a="1"/>
  <c r="A158" i="3" s="1"/>
  <c r="A159" i="3" a="1"/>
  <c r="A159" i="3" s="1"/>
  <c r="A160" i="3" a="1"/>
  <c r="A160" i="3" s="1"/>
  <c r="A161" i="3" a="1"/>
  <c r="A161" i="3" s="1"/>
  <c r="A162" i="3" a="1"/>
  <c r="A162" i="3" s="1"/>
  <c r="A163" i="3" a="1"/>
  <c r="A163" i="3" s="1"/>
  <c r="A164" i="3" a="1"/>
  <c r="A164" i="3" s="1"/>
  <c r="A165" i="3" a="1"/>
  <c r="A165" i="3" s="1"/>
  <c r="A166" i="3" a="1"/>
  <c r="A166" i="3" s="1"/>
  <c r="A167" i="3" a="1"/>
  <c r="A167" i="3" s="1"/>
  <c r="A168" i="3" a="1"/>
  <c r="A168" i="3" s="1"/>
  <c r="A169" i="3" a="1"/>
  <c r="A169" i="3" s="1"/>
  <c r="A170" i="3" a="1"/>
  <c r="A170" i="3" s="1"/>
  <c r="A171" i="3" a="1"/>
  <c r="A171" i="3" s="1"/>
  <c r="A172" i="3" a="1"/>
  <c r="A172" i="3" s="1"/>
  <c r="A173" i="3" a="1"/>
  <c r="A173" i="3" s="1"/>
  <c r="A174" i="3" a="1"/>
  <c r="A174" i="3" s="1"/>
  <c r="A175" i="3" a="1"/>
  <c r="A175" i="3" s="1"/>
  <c r="A176" i="3" a="1"/>
  <c r="A176" i="3" s="1"/>
  <c r="A177" i="3" a="1"/>
  <c r="A177" i="3" s="1"/>
  <c r="A178" i="3" a="1"/>
  <c r="A178" i="3" s="1"/>
  <c r="A179" i="3" a="1"/>
  <c r="A179" i="3" s="1"/>
  <c r="A180" i="3" a="1"/>
  <c r="A180" i="3" s="1"/>
  <c r="A181" i="3" a="1"/>
  <c r="A181" i="3" s="1"/>
  <c r="A182" i="3" a="1"/>
  <c r="A182" i="3" s="1"/>
  <c r="A183" i="3" a="1"/>
  <c r="A183" i="3" s="1"/>
  <c r="A184" i="3" a="1"/>
  <c r="A184" i="3" s="1"/>
  <c r="A185" i="3" a="1"/>
  <c r="A185" i="3" s="1"/>
  <c r="A186" i="3" a="1"/>
  <c r="A186" i="3" s="1"/>
  <c r="A187" i="3" a="1"/>
  <c r="A187" i="3" s="1"/>
  <c r="A188" i="3" a="1"/>
  <c r="A188" i="3" s="1"/>
  <c r="A189" i="3" a="1"/>
  <c r="A189" i="3" s="1"/>
  <c r="A190" i="3" a="1"/>
  <c r="A190" i="3" s="1"/>
  <c r="A191" i="3" a="1"/>
  <c r="A191" i="3" s="1"/>
  <c r="A192" i="3" a="1"/>
  <c r="A192" i="3" s="1"/>
  <c r="A193" i="3" a="1"/>
  <c r="A193" i="3" s="1"/>
  <c r="A194" i="3" a="1"/>
  <c r="A194" i="3" s="1"/>
  <c r="A195" i="3" a="1"/>
  <c r="A195" i="3" s="1"/>
  <c r="A196" i="3" a="1"/>
  <c r="A196" i="3" s="1"/>
  <c r="A197" i="3" a="1"/>
  <c r="A197" i="3" s="1"/>
  <c r="A198" i="3" a="1"/>
  <c r="A198" i="3" s="1"/>
  <c r="A199" i="3" a="1"/>
  <c r="A199" i="3" s="1"/>
  <c r="A200" i="3" a="1"/>
  <c r="A200" i="3" s="1"/>
  <c r="A201" i="3" a="1"/>
  <c r="A201" i="3" s="1"/>
  <c r="A202" i="3" a="1"/>
  <c r="A202" i="3" s="1"/>
  <c r="A203" i="3" a="1"/>
  <c r="A203" i="3" s="1"/>
  <c r="A204" i="3" a="1"/>
  <c r="A204" i="3" s="1"/>
  <c r="A205" i="3" a="1"/>
  <c r="A205" i="3" s="1"/>
  <c r="A206" i="3" a="1"/>
  <c r="A206" i="3" s="1"/>
  <c r="A207" i="3" a="1"/>
  <c r="A207" i="3" s="1"/>
  <c r="A208" i="3" a="1"/>
  <c r="A208" i="3" s="1"/>
  <c r="A209" i="3" a="1"/>
  <c r="A209" i="3" s="1"/>
  <c r="A210" i="3" a="1"/>
  <c r="A210" i="3" s="1"/>
  <c r="A211" i="3" a="1"/>
  <c r="A211" i="3" s="1"/>
  <c r="A212" i="3" a="1"/>
  <c r="A212" i="3" s="1"/>
  <c r="A213" i="3" a="1"/>
  <c r="A213" i="3" s="1"/>
  <c r="A214" i="3" a="1"/>
  <c r="A214" i="3" s="1"/>
  <c r="A215" i="3" a="1"/>
  <c r="A215" i="3" s="1"/>
  <c r="A216" i="3" a="1"/>
  <c r="A216" i="3" s="1"/>
  <c r="A217" i="3" a="1"/>
  <c r="A217" i="3" s="1"/>
  <c r="A218" i="3" a="1"/>
  <c r="A218" i="3" s="1"/>
  <c r="A219" i="3" a="1"/>
  <c r="A219" i="3" s="1"/>
  <c r="A220" i="3" a="1"/>
  <c r="A220" i="3" s="1"/>
  <c r="A221" i="3" a="1"/>
  <c r="A221" i="3" s="1"/>
  <c r="A222" i="3" a="1"/>
  <c r="A222" i="3" s="1"/>
  <c r="A223" i="3" a="1"/>
  <c r="A223" i="3" s="1"/>
  <c r="A224" i="3" a="1"/>
  <c r="A224" i="3" s="1"/>
  <c r="A225" i="3" a="1"/>
  <c r="A225" i="3" s="1"/>
  <c r="A226" i="3" a="1"/>
  <c r="A226" i="3" s="1"/>
  <c r="A227" i="3" a="1"/>
  <c r="A227" i="3" s="1"/>
  <c r="A228" i="3" a="1"/>
  <c r="A228" i="3" s="1"/>
  <c r="A229" i="3" a="1"/>
  <c r="A229" i="3" s="1"/>
  <c r="A230" i="3" a="1"/>
  <c r="A230" i="3" s="1"/>
  <c r="A231" i="3" a="1"/>
  <c r="A231" i="3" s="1"/>
  <c r="A232" i="3" a="1"/>
  <c r="A232" i="3" s="1"/>
  <c r="A233" i="3" a="1"/>
  <c r="A233" i="3" s="1"/>
  <c r="A234" i="3" a="1"/>
  <c r="A234" i="3" s="1"/>
  <c r="A235" i="3" a="1"/>
  <c r="A235" i="3" s="1"/>
  <c r="A236" i="3" a="1"/>
  <c r="A236" i="3" s="1"/>
  <c r="A237" i="3" a="1"/>
  <c r="A237" i="3" s="1"/>
  <c r="A238" i="3" a="1"/>
  <c r="A238" i="3" s="1"/>
  <c r="A239" i="3" a="1"/>
  <c r="A239" i="3" s="1"/>
  <c r="A240" i="3" a="1"/>
  <c r="A240" i="3" s="1"/>
  <c r="A241" i="3" a="1"/>
  <c r="A241" i="3" s="1"/>
  <c r="A242" i="3" a="1"/>
  <c r="A242" i="3" s="1"/>
  <c r="A243" i="3" a="1"/>
  <c r="A243" i="3" s="1"/>
  <c r="A244" i="3" a="1"/>
  <c r="A244" i="3" s="1"/>
  <c r="A245" i="3" a="1"/>
  <c r="A245" i="3" s="1"/>
  <c r="A246" i="3" a="1"/>
  <c r="A246" i="3" s="1"/>
  <c r="A247" i="3" a="1"/>
  <c r="A247" i="3" s="1"/>
  <c r="A248" i="3" a="1"/>
  <c r="A248" i="3" s="1"/>
  <c r="A249" i="3" a="1"/>
  <c r="A249" i="3" s="1"/>
  <c r="A250" i="3" a="1"/>
  <c r="A250" i="3" s="1"/>
  <c r="A251" i="3" a="1"/>
  <c r="A251" i="3" s="1"/>
  <c r="A252" i="3" a="1"/>
  <c r="A252" i="3" s="1"/>
  <c r="A253" i="3" a="1"/>
  <c r="A253" i="3" s="1"/>
  <c r="A254" i="3" a="1"/>
  <c r="A254" i="3" s="1"/>
  <c r="A255" i="3" a="1"/>
  <c r="A255" i="3" s="1"/>
  <c r="A256" i="3" a="1"/>
  <c r="A256" i="3" s="1"/>
  <c r="A257" i="3" a="1"/>
  <c r="A257" i="3" s="1"/>
  <c r="A258" i="3" a="1"/>
  <c r="A258" i="3" s="1"/>
  <c r="A259" i="3" a="1"/>
  <c r="A259" i="3" s="1"/>
  <c r="A260" i="3" a="1"/>
  <c r="A260" i="3" s="1"/>
  <c r="A261" i="3" a="1"/>
  <c r="A261" i="3" s="1"/>
  <c r="A262" i="3" a="1"/>
  <c r="A262" i="3" s="1"/>
  <c r="A263" i="3" a="1"/>
  <c r="A263" i="3" s="1"/>
  <c r="A264" i="3" a="1"/>
  <c r="A264" i="3" s="1"/>
  <c r="A265" i="3" a="1"/>
  <c r="A265" i="3" s="1"/>
  <c r="A266" i="3" a="1"/>
  <c r="A266" i="3" s="1"/>
  <c r="A267" i="3" a="1"/>
  <c r="A267" i="3" s="1"/>
  <c r="A268" i="3" a="1"/>
  <c r="A268" i="3" s="1"/>
  <c r="A269" i="3" a="1"/>
  <c r="A269" i="3" s="1"/>
  <c r="A270" i="3" a="1"/>
  <c r="A270" i="3" s="1"/>
  <c r="A271" i="3" a="1"/>
  <c r="A271" i="3" s="1"/>
  <c r="A272" i="3" a="1"/>
  <c r="A272" i="3" s="1"/>
  <c r="A273" i="3" a="1"/>
  <c r="A273" i="3" s="1"/>
  <c r="A274" i="3" a="1"/>
  <c r="A274" i="3" s="1"/>
  <c r="A275" i="3" a="1"/>
  <c r="A275" i="3" s="1"/>
  <c r="A276" i="3" a="1"/>
  <c r="A276" i="3" s="1"/>
  <c r="A277" i="3" a="1"/>
  <c r="A277" i="3" s="1"/>
  <c r="A278" i="3" a="1"/>
  <c r="A278" i="3" s="1"/>
  <c r="A279" i="3" a="1"/>
  <c r="A279" i="3" s="1"/>
  <c r="A280" i="3" a="1"/>
  <c r="A280" i="3" s="1"/>
  <c r="A281" i="3" a="1"/>
  <c r="A281" i="3" s="1"/>
  <c r="A282" i="3" a="1"/>
  <c r="A282" i="3" s="1"/>
  <c r="A283" i="3" a="1"/>
  <c r="A283" i="3" s="1"/>
  <c r="A284" i="3" a="1"/>
  <c r="A284" i="3" s="1"/>
  <c r="A285" i="3" a="1"/>
  <c r="A285" i="3" s="1"/>
  <c r="A286" i="3" a="1"/>
  <c r="A286" i="3" s="1"/>
  <c r="A287" i="3" a="1"/>
  <c r="A287" i="3" s="1"/>
  <c r="A288" i="3" a="1"/>
  <c r="A288" i="3" s="1"/>
  <c r="A289" i="3" a="1"/>
  <c r="A289" i="3" s="1"/>
  <c r="A290" i="3" a="1"/>
  <c r="A290" i="3" s="1"/>
  <c r="A291" i="3" a="1"/>
  <c r="A291" i="3" s="1"/>
  <c r="A292" i="3" a="1"/>
  <c r="A292" i="3" s="1"/>
  <c r="A293" i="3" a="1"/>
  <c r="A293" i="3" s="1"/>
  <c r="A294" i="3" a="1"/>
  <c r="A294" i="3" s="1"/>
  <c r="A295" i="3" a="1"/>
  <c r="A295" i="3" s="1"/>
  <c r="A296" i="3" a="1"/>
  <c r="A296" i="3" s="1"/>
  <c r="A297" i="3" a="1"/>
  <c r="A297" i="3" s="1"/>
  <c r="A298" i="3" a="1"/>
  <c r="A298" i="3" s="1"/>
  <c r="A299" i="3" a="1"/>
  <c r="A299" i="3" s="1"/>
  <c r="A300" i="3" a="1"/>
  <c r="A300" i="3" s="1"/>
  <c r="A301" i="3" a="1"/>
  <c r="A301" i="3" s="1"/>
  <c r="A302" i="3" a="1"/>
  <c r="A302" i="3" s="1"/>
  <c r="A303" i="3" a="1"/>
  <c r="A303" i="3" s="1"/>
  <c r="A304" i="3" a="1"/>
  <c r="A304" i="3" s="1"/>
  <c r="A305" i="3" a="1"/>
  <c r="A305" i="3" s="1"/>
  <c r="A306" i="3" a="1"/>
  <c r="A306" i="3" s="1"/>
  <c r="A307" i="3" a="1"/>
  <c r="A307" i="3" s="1"/>
  <c r="A308" i="3" a="1"/>
  <c r="A308" i="3" s="1"/>
  <c r="A309" i="3" a="1"/>
  <c r="A309" i="3" s="1"/>
  <c r="A310" i="3" a="1"/>
  <c r="A310" i="3" s="1"/>
  <c r="A311" i="3" a="1"/>
  <c r="A311" i="3" s="1"/>
  <c r="A312" i="3" a="1"/>
  <c r="A312" i="3" s="1"/>
  <c r="A313" i="3" a="1"/>
  <c r="A313" i="3" s="1"/>
  <c r="A314" i="3" a="1"/>
  <c r="A314" i="3" s="1"/>
  <c r="A315" i="3" a="1"/>
  <c r="A315" i="3" s="1"/>
  <c r="A316" i="3" a="1"/>
  <c r="A316" i="3" s="1"/>
  <c r="A317" i="3" a="1"/>
  <c r="A317" i="3" s="1"/>
  <c r="A318" i="3" a="1"/>
  <c r="A318" i="3" s="1"/>
  <c r="A319" i="3" a="1"/>
  <c r="A319" i="3" s="1"/>
  <c r="A320" i="3" a="1"/>
  <c r="A320" i="3" s="1"/>
  <c r="A321" i="3" a="1"/>
  <c r="A321" i="3" s="1"/>
  <c r="A322" i="3" a="1"/>
  <c r="A322" i="3" s="1"/>
  <c r="A323" i="3" a="1"/>
  <c r="A323" i="3" s="1"/>
  <c r="A324" i="3" a="1"/>
  <c r="A324" i="3" s="1"/>
  <c r="A325" i="3" a="1"/>
  <c r="A325" i="3" s="1"/>
  <c r="A326" i="3" a="1"/>
  <c r="A326" i="3" s="1"/>
  <c r="A327" i="3" a="1"/>
  <c r="A327" i="3" s="1"/>
  <c r="A328" i="3" a="1"/>
  <c r="A328" i="3" s="1"/>
  <c r="A329" i="3" a="1"/>
  <c r="A329" i="3" s="1"/>
  <c r="A330" i="3" a="1"/>
  <c r="A330" i="3" s="1"/>
  <c r="A331" i="3" a="1"/>
  <c r="A331" i="3" s="1"/>
  <c r="A332" i="3" a="1"/>
  <c r="A332" i="3" s="1"/>
  <c r="A333" i="3" a="1"/>
  <c r="A333" i="3" s="1"/>
  <c r="A334" i="3" a="1"/>
  <c r="A334" i="3" s="1"/>
  <c r="A335" i="3" a="1"/>
  <c r="A335" i="3" s="1"/>
  <c r="A336" i="3" a="1"/>
  <c r="A336" i="3" s="1"/>
  <c r="A337" i="3" a="1"/>
  <c r="A337" i="3" s="1"/>
  <c r="A338" i="3" a="1"/>
  <c r="A338" i="3" s="1"/>
  <c r="A339" i="3" a="1"/>
  <c r="A339" i="3" s="1"/>
  <c r="A340" i="3" a="1"/>
  <c r="A340" i="3" s="1"/>
  <c r="A341" i="3" a="1"/>
  <c r="A341" i="3" s="1"/>
  <c r="A342" i="3" a="1"/>
  <c r="A342" i="3" s="1"/>
  <c r="A343" i="3" a="1"/>
  <c r="A343" i="3" s="1"/>
  <c r="A344" i="3" a="1"/>
  <c r="A344" i="3" s="1"/>
  <c r="A345" i="3" a="1"/>
  <c r="A345" i="3" s="1"/>
  <c r="A346" i="3" a="1"/>
  <c r="A346" i="3" s="1"/>
  <c r="A347" i="3" a="1"/>
  <c r="A347" i="3" s="1"/>
  <c r="A348" i="3" a="1"/>
  <c r="A348" i="3" s="1"/>
  <c r="A349" i="3" a="1"/>
  <c r="A349" i="3" s="1"/>
  <c r="A350" i="3" a="1"/>
  <c r="A350" i="3" s="1"/>
  <c r="A351" i="3" a="1"/>
  <c r="A351" i="3" s="1"/>
  <c r="A352" i="3" a="1"/>
  <c r="A352" i="3" s="1"/>
  <c r="A353" i="3" a="1"/>
  <c r="A353" i="3" s="1"/>
  <c r="A354" i="3" a="1"/>
  <c r="A354" i="3" s="1"/>
  <c r="A355" i="3" a="1"/>
  <c r="A355" i="3" s="1"/>
  <c r="A356" i="3" a="1"/>
  <c r="A356" i="3" s="1"/>
  <c r="A357" i="3" a="1"/>
  <c r="A357" i="3" s="1"/>
  <c r="A358" i="3" a="1"/>
  <c r="A358" i="3" s="1"/>
  <c r="A359" i="3" a="1"/>
  <c r="A359" i="3" s="1"/>
  <c r="A360" i="3" a="1"/>
  <c r="A360" i="3" s="1"/>
  <c r="A361" i="3" a="1"/>
  <c r="A361" i="3" s="1"/>
  <c r="A362" i="3" a="1"/>
  <c r="A362" i="3" s="1"/>
  <c r="A363" i="3" a="1"/>
  <c r="A363" i="3" s="1"/>
  <c r="A364" i="3" a="1"/>
  <c r="A364" i="3" s="1"/>
  <c r="A365" i="3" a="1"/>
  <c r="A365" i="3" s="1"/>
  <c r="A366" i="3" a="1"/>
  <c r="A366" i="3" s="1"/>
  <c r="A367" i="3" a="1"/>
  <c r="A367" i="3" s="1"/>
  <c r="A368" i="3" a="1"/>
  <c r="A368" i="3" s="1"/>
  <c r="A369" i="3" a="1"/>
  <c r="A369" i="3" s="1"/>
  <c r="A370" i="3" a="1"/>
  <c r="A370" i="3" s="1"/>
  <c r="A371" i="3" a="1"/>
  <c r="A371" i="3" s="1"/>
  <c r="A372" i="3" a="1"/>
  <c r="A372" i="3" s="1"/>
  <c r="A373" i="3" a="1"/>
  <c r="A373" i="3" s="1"/>
  <c r="A374" i="3" a="1"/>
  <c r="A374" i="3" s="1"/>
  <c r="A375" i="3" a="1"/>
  <c r="A375" i="3" s="1"/>
  <c r="A376" i="3" a="1"/>
  <c r="A376" i="3" s="1"/>
  <c r="A377" i="3" a="1"/>
  <c r="A377" i="3" s="1"/>
  <c r="A378" i="3" a="1"/>
  <c r="A378" i="3" s="1"/>
  <c r="A379" i="3" a="1"/>
  <c r="A379" i="3" s="1"/>
  <c r="A380" i="3" a="1"/>
  <c r="A380" i="3" s="1"/>
  <c r="A381" i="3" a="1"/>
  <c r="A381" i="3" s="1"/>
  <c r="A382" i="3" a="1"/>
  <c r="A382" i="3" s="1"/>
  <c r="A383" i="3" a="1"/>
  <c r="A383" i="3" s="1"/>
  <c r="A384" i="3" a="1"/>
  <c r="A384" i="3" s="1"/>
  <c r="A385" i="3" a="1"/>
  <c r="A385" i="3" s="1"/>
  <c r="A386" i="3" a="1"/>
  <c r="A386" i="3" s="1"/>
  <c r="A387" i="3" a="1"/>
  <c r="A387" i="3" s="1"/>
  <c r="A388" i="3" a="1"/>
  <c r="A388" i="3" s="1"/>
  <c r="A389" i="3" a="1"/>
  <c r="A389" i="3" s="1"/>
  <c r="A390" i="3" a="1"/>
  <c r="A390" i="3" s="1"/>
  <c r="A391" i="3" a="1"/>
  <c r="A391" i="3" s="1"/>
  <c r="A392" i="3" a="1"/>
  <c r="A392" i="3" s="1"/>
  <c r="A393" i="3" a="1"/>
  <c r="A393" i="3" s="1"/>
  <c r="A394" i="3" a="1"/>
  <c r="A394" i="3" s="1"/>
  <c r="A395" i="3" a="1"/>
  <c r="A395" i="3" s="1"/>
  <c r="A396" i="3" a="1"/>
  <c r="A396" i="3" s="1"/>
  <c r="A397" i="3" a="1"/>
  <c r="A397" i="3" s="1"/>
  <c r="A398" i="3" a="1"/>
  <c r="A398" i="3" s="1"/>
  <c r="A399" i="3" a="1"/>
  <c r="A399" i="3" s="1"/>
  <c r="A400" i="3" a="1"/>
  <c r="A400" i="3" s="1"/>
  <c r="A401" i="3" a="1"/>
  <c r="A401" i="3" s="1"/>
  <c r="A402" i="3" a="1"/>
  <c r="A402" i="3" s="1"/>
  <c r="A403" i="3" a="1"/>
  <c r="A403" i="3" s="1"/>
  <c r="A404" i="3" a="1"/>
  <c r="A404" i="3" s="1"/>
  <c r="A405" i="3" a="1"/>
  <c r="A405" i="3" s="1"/>
  <c r="A406" i="3" a="1"/>
  <c r="A406" i="3" s="1"/>
  <c r="A407" i="3" a="1"/>
  <c r="A407" i="3" s="1"/>
  <c r="A408" i="3" a="1"/>
  <c r="A408" i="3" s="1"/>
  <c r="A409" i="3" a="1"/>
  <c r="A409" i="3" s="1"/>
  <c r="A410" i="3" a="1"/>
  <c r="A410" i="3" s="1"/>
  <c r="A411" i="3" a="1"/>
  <c r="A411" i="3" s="1"/>
  <c r="A412" i="3" a="1"/>
  <c r="A412" i="3" s="1"/>
  <c r="A413" i="3" a="1"/>
  <c r="A413" i="3" s="1"/>
  <c r="A414" i="3" a="1"/>
  <c r="A414" i="3" s="1"/>
  <c r="A415" i="3" a="1"/>
  <c r="A415" i="3" s="1"/>
  <c r="A416" i="3" a="1"/>
  <c r="A416" i="3" s="1"/>
  <c r="A417" i="3" a="1"/>
  <c r="A417" i="3" s="1"/>
  <c r="A418" i="3" a="1"/>
  <c r="A418" i="3" s="1"/>
  <c r="A419" i="3" a="1"/>
  <c r="A419" i="3" s="1"/>
  <c r="A420" i="3" a="1"/>
  <c r="A420" i="3" s="1"/>
  <c r="A421" i="3" a="1"/>
  <c r="A421" i="3" s="1"/>
  <c r="A422" i="3" a="1"/>
  <c r="A422" i="3" s="1"/>
  <c r="A423" i="3" a="1"/>
  <c r="A423" i="3" s="1"/>
  <c r="A424" i="3" a="1"/>
  <c r="A424" i="3" s="1"/>
  <c r="A425" i="3" a="1"/>
  <c r="A425" i="3" s="1"/>
  <c r="A426" i="3" a="1"/>
  <c r="A426" i="3" s="1"/>
  <c r="A427" i="3" a="1"/>
  <c r="A427" i="3" s="1"/>
  <c r="A428" i="3" a="1"/>
  <c r="A428" i="3" s="1"/>
  <c r="A429" i="3" a="1"/>
  <c r="A429" i="3" s="1"/>
  <c r="A430" i="3" a="1"/>
  <c r="A430" i="3" s="1"/>
  <c r="A431" i="3" a="1"/>
  <c r="A431" i="3" s="1"/>
  <c r="A432" i="3" a="1"/>
  <c r="A432" i="3" s="1"/>
  <c r="A433" i="3" a="1"/>
  <c r="A433" i="3" s="1"/>
  <c r="A434" i="3" a="1"/>
  <c r="A434" i="3" s="1"/>
  <c r="A435" i="3" a="1"/>
  <c r="A435" i="3" s="1"/>
  <c r="A436" i="3" a="1"/>
  <c r="A436" i="3" s="1"/>
  <c r="A437" i="3" a="1"/>
  <c r="A437" i="3" s="1"/>
  <c r="A438" i="3" a="1"/>
  <c r="A438" i="3" s="1"/>
  <c r="A439" i="3" a="1"/>
  <c r="A439" i="3" s="1"/>
  <c r="A440" i="3" a="1"/>
  <c r="A440" i="3" s="1"/>
  <c r="A441" i="3" a="1"/>
  <c r="A441" i="3" s="1"/>
  <c r="A442" i="3" a="1"/>
  <c r="A442" i="3" s="1"/>
  <c r="A443" i="3" a="1"/>
  <c r="A443" i="3" s="1"/>
  <c r="A444" i="3" a="1"/>
  <c r="A444" i="3" s="1"/>
  <c r="A445" i="3" a="1"/>
  <c r="A445" i="3" s="1"/>
  <c r="A446" i="3" a="1"/>
  <c r="A446" i="3" s="1"/>
  <c r="A447" i="3" a="1"/>
  <c r="A447" i="3" s="1"/>
  <c r="A448" i="3" a="1"/>
  <c r="A448" i="3" s="1"/>
  <c r="A449" i="3" a="1"/>
  <c r="A449" i="3" s="1"/>
  <c r="A450" i="3" a="1"/>
  <c r="A450" i="3" s="1"/>
  <c r="A451" i="3" a="1"/>
  <c r="A451" i="3" s="1"/>
  <c r="A452" i="3" a="1"/>
  <c r="A452" i="3" s="1"/>
  <c r="A453" i="3" a="1"/>
  <c r="A453" i="3" s="1"/>
  <c r="A454" i="3" a="1"/>
  <c r="A454" i="3" s="1"/>
  <c r="A455" i="3" a="1"/>
  <c r="A455" i="3" s="1"/>
  <c r="A456" i="3" a="1"/>
  <c r="A456" i="3" s="1"/>
  <c r="A457" i="3" a="1"/>
  <c r="A457" i="3" s="1"/>
  <c r="A458" i="3" a="1"/>
  <c r="A458" i="3" s="1"/>
  <c r="A459" i="3" a="1"/>
  <c r="A459" i="3" s="1"/>
  <c r="A460" i="3" a="1"/>
  <c r="A460" i="3" s="1"/>
  <c r="A461" i="3" a="1"/>
  <c r="A461" i="3" s="1"/>
  <c r="A462" i="3" a="1"/>
  <c r="A462" i="3" s="1"/>
  <c r="A463" i="3" a="1"/>
  <c r="A463" i="3" s="1"/>
  <c r="A464" i="3" a="1"/>
  <c r="A464" i="3" s="1"/>
  <c r="A465" i="3" a="1"/>
  <c r="A465" i="3" s="1"/>
  <c r="A466" i="3" a="1"/>
  <c r="A466" i="3" s="1"/>
  <c r="A467" i="3" a="1"/>
  <c r="A467" i="3" s="1"/>
  <c r="A468" i="3" a="1"/>
  <c r="A468" i="3" s="1"/>
  <c r="A469" i="3" a="1"/>
  <c r="A469" i="3" s="1"/>
  <c r="A470" i="3" a="1"/>
  <c r="A470" i="3" s="1"/>
  <c r="A471" i="3" a="1"/>
  <c r="A471" i="3" s="1"/>
  <c r="A472" i="3" a="1"/>
  <c r="A472" i="3" s="1"/>
  <c r="A473" i="3" a="1"/>
  <c r="A473" i="3" s="1"/>
  <c r="A474" i="3" a="1"/>
  <c r="A474" i="3" s="1"/>
  <c r="A475" i="3" a="1"/>
  <c r="A475" i="3" s="1"/>
  <c r="A476" i="3" a="1"/>
  <c r="A476" i="3" s="1"/>
  <c r="A477" i="3" a="1"/>
  <c r="A477" i="3" s="1"/>
  <c r="A478" i="3" a="1"/>
  <c r="A478" i="3" s="1"/>
  <c r="A479" i="3" a="1"/>
  <c r="A479" i="3" s="1"/>
  <c r="A480" i="3" a="1"/>
  <c r="A480" i="3" s="1"/>
  <c r="A481" i="3" a="1"/>
  <c r="A481" i="3" s="1"/>
  <c r="A482" i="3" a="1"/>
  <c r="A482" i="3" s="1"/>
  <c r="A483" i="3" a="1"/>
  <c r="A483" i="3" s="1"/>
  <c r="A484" i="3" a="1"/>
  <c r="A484" i="3" s="1"/>
  <c r="A485" i="3" a="1"/>
  <c r="A485" i="3" s="1"/>
  <c r="A486" i="3" a="1"/>
  <c r="A486" i="3" s="1"/>
  <c r="A487" i="3" a="1"/>
  <c r="A487" i="3" s="1"/>
  <c r="A488" i="3" a="1"/>
  <c r="A488" i="3" s="1"/>
  <c r="A489" i="3" a="1"/>
  <c r="A489" i="3" s="1"/>
  <c r="A490" i="3" a="1"/>
  <c r="A490" i="3" s="1"/>
  <c r="A491" i="3" a="1"/>
  <c r="A491" i="3" s="1"/>
  <c r="A492" i="3" a="1"/>
  <c r="A492" i="3" s="1"/>
  <c r="A493" i="3" a="1"/>
  <c r="A493" i="3" s="1"/>
  <c r="A494" i="3" a="1"/>
  <c r="A494" i="3" s="1"/>
  <c r="A495" i="3" a="1"/>
  <c r="A495" i="3" s="1"/>
  <c r="A496" i="3" a="1"/>
  <c r="A496" i="3" s="1"/>
  <c r="A497" i="3" a="1"/>
  <c r="A497" i="3" s="1"/>
  <c r="A498" i="3" a="1"/>
  <c r="A498" i="3" s="1"/>
  <c r="A499" i="3" a="1"/>
  <c r="A499" i="3" s="1"/>
  <c r="A500" i="3" a="1"/>
  <c r="A500" i="3" s="1"/>
  <c r="A501" i="3" a="1"/>
  <c r="A501" i="3" s="1"/>
  <c r="A502" i="3" a="1"/>
  <c r="A502" i="3" s="1"/>
  <c r="A503" i="3" a="1"/>
  <c r="A503" i="3" s="1"/>
  <c r="A504" i="3" a="1"/>
  <c r="A504" i="3" s="1"/>
  <c r="A505" i="3" a="1"/>
  <c r="A505" i="3" s="1"/>
  <c r="A506" i="3" a="1"/>
  <c r="A506" i="3" s="1"/>
  <c r="A507" i="3" a="1"/>
  <c r="A507" i="3" s="1"/>
  <c r="A508" i="3" a="1"/>
  <c r="A508" i="3" s="1"/>
  <c r="A509" i="3" a="1"/>
  <c r="A509" i="3" s="1"/>
  <c r="A510" i="3" a="1"/>
  <c r="A510" i="3" s="1"/>
  <c r="A511" i="3" a="1"/>
  <c r="A511" i="3" s="1"/>
  <c r="A512" i="3" a="1"/>
  <c r="A512" i="3" s="1"/>
  <c r="A513" i="3" a="1"/>
  <c r="A513" i="3" s="1"/>
  <c r="A514" i="3" a="1"/>
  <c r="A514" i="3" s="1"/>
  <c r="A515" i="3" a="1"/>
  <c r="A515" i="3" s="1"/>
  <c r="A516" i="3" a="1"/>
  <c r="A516" i="3" s="1"/>
  <c r="A517" i="3" a="1"/>
  <c r="A517" i="3" s="1"/>
  <c r="A518" i="3" a="1"/>
  <c r="A518" i="3" s="1"/>
  <c r="A519" i="3" a="1"/>
  <c r="A519" i="3" s="1"/>
  <c r="A520" i="3" a="1"/>
  <c r="A520" i="3" s="1"/>
  <c r="A521" i="3" a="1"/>
  <c r="A521" i="3" s="1"/>
  <c r="A522" i="3" a="1"/>
  <c r="A522" i="3" s="1"/>
  <c r="A523" i="3" a="1"/>
  <c r="A523" i="3" s="1"/>
  <c r="A524" i="3" a="1"/>
  <c r="A524" i="3" s="1"/>
  <c r="A525" i="3" a="1"/>
  <c r="A525" i="3" s="1"/>
  <c r="A526" i="3" a="1"/>
  <c r="A526" i="3" s="1"/>
  <c r="A527" i="3" a="1"/>
  <c r="A527" i="3" s="1"/>
  <c r="A528" i="3" a="1"/>
  <c r="A528" i="3" s="1"/>
  <c r="A529" i="3" a="1"/>
  <c r="A529" i="3" s="1"/>
  <c r="A530" i="3" a="1"/>
  <c r="A530" i="3" s="1"/>
  <c r="A531" i="3" a="1"/>
  <c r="A531" i="3" s="1"/>
  <c r="A532" i="3" a="1"/>
  <c r="A532" i="3" s="1"/>
  <c r="A533" i="3" a="1"/>
  <c r="A533" i="3" s="1"/>
  <c r="A534" i="3" a="1"/>
  <c r="A534" i="3" s="1"/>
  <c r="A535" i="3" a="1"/>
  <c r="A535" i="3" s="1"/>
  <c r="A536" i="3" a="1"/>
  <c r="A536" i="3" s="1"/>
  <c r="A537" i="3" a="1"/>
  <c r="A537" i="3" s="1"/>
  <c r="A538" i="3" a="1"/>
  <c r="A538" i="3" s="1"/>
  <c r="A539" i="3" a="1"/>
  <c r="A539" i="3" s="1"/>
  <c r="A540" i="3" a="1"/>
  <c r="A540" i="3" s="1"/>
  <c r="A541" i="3" a="1"/>
  <c r="A541" i="3" s="1"/>
  <c r="A542" i="3" a="1"/>
  <c r="A542" i="3" s="1"/>
  <c r="A543" i="3" a="1"/>
  <c r="A543" i="3" s="1"/>
  <c r="A544" i="3" a="1"/>
  <c r="A544" i="3" s="1"/>
  <c r="A545" i="3" a="1"/>
  <c r="A545" i="3" s="1"/>
  <c r="A546" i="3" a="1"/>
  <c r="A546" i="3" s="1"/>
  <c r="A547" i="3" a="1"/>
  <c r="A547" i="3" s="1"/>
  <c r="A548" i="3" a="1"/>
  <c r="A548" i="3" s="1"/>
  <c r="A549" i="3" a="1"/>
  <c r="A549" i="3" s="1"/>
  <c r="A550" i="3" a="1"/>
  <c r="A550" i="3" s="1"/>
  <c r="A551" i="3" a="1"/>
  <c r="A551" i="3" s="1"/>
  <c r="A552" i="3" a="1"/>
  <c r="A552" i="3" s="1"/>
  <c r="A553" i="3" a="1"/>
  <c r="A553" i="3" s="1"/>
  <c r="A554" i="3" a="1"/>
  <c r="A554" i="3" s="1"/>
  <c r="A555" i="3" a="1"/>
  <c r="A555" i="3" s="1"/>
  <c r="A556" i="3" a="1"/>
  <c r="A556" i="3" s="1"/>
  <c r="A557" i="3" a="1"/>
  <c r="A557" i="3" s="1"/>
  <c r="A558" i="3" a="1"/>
  <c r="A558" i="3" s="1"/>
  <c r="A559" i="3" a="1"/>
  <c r="A559" i="3" s="1"/>
  <c r="A560" i="3" a="1"/>
  <c r="A560" i="3" s="1"/>
  <c r="A561" i="3" a="1"/>
  <c r="A561" i="3" s="1"/>
  <c r="A562" i="3" a="1"/>
  <c r="A562" i="3" s="1"/>
  <c r="A563" i="3" a="1"/>
  <c r="A563" i="3" s="1"/>
  <c r="A564" i="3" a="1"/>
  <c r="A564" i="3" s="1"/>
  <c r="A565" i="3" a="1"/>
  <c r="A565" i="3" s="1"/>
  <c r="A566" i="3" a="1"/>
  <c r="A566" i="3" s="1"/>
  <c r="A567" i="3" a="1"/>
  <c r="A567" i="3" s="1"/>
  <c r="A568" i="3" a="1"/>
  <c r="A568" i="3" s="1"/>
  <c r="A569" i="3" a="1"/>
  <c r="A569" i="3" s="1"/>
  <c r="A570" i="3" a="1"/>
  <c r="A570" i="3" s="1"/>
  <c r="A571" i="3" a="1"/>
  <c r="A571" i="3" s="1"/>
  <c r="A572" i="3" a="1"/>
  <c r="A572" i="3" s="1"/>
  <c r="A573" i="3" a="1"/>
  <c r="A573" i="3" s="1"/>
  <c r="A574" i="3" a="1"/>
  <c r="A574" i="3" s="1"/>
  <c r="A575" i="3" a="1"/>
  <c r="A575" i="3" s="1"/>
  <c r="A576" i="3" a="1"/>
  <c r="A576" i="3" s="1"/>
  <c r="A577" i="3" a="1"/>
  <c r="A577" i="3" s="1"/>
  <c r="A578" i="3" a="1"/>
  <c r="A578" i="3" s="1"/>
  <c r="A579" i="3" a="1"/>
  <c r="A579" i="3" s="1"/>
  <c r="A580" i="3" a="1"/>
  <c r="A580" i="3" s="1"/>
  <c r="A581" i="3" a="1"/>
  <c r="A581" i="3" s="1"/>
  <c r="A582" i="3" a="1"/>
  <c r="A582" i="3" s="1"/>
  <c r="A583" i="3" a="1"/>
  <c r="A583" i="3" s="1"/>
  <c r="A584" i="3" a="1"/>
  <c r="A584" i="3" s="1"/>
  <c r="A585" i="3" a="1"/>
  <c r="A585" i="3" s="1"/>
  <c r="A586" i="3" a="1"/>
  <c r="A586" i="3" s="1"/>
  <c r="A587" i="3" a="1"/>
  <c r="A587" i="3" s="1"/>
  <c r="A588" i="3" a="1"/>
  <c r="A588" i="3" s="1"/>
  <c r="A589" i="3" a="1"/>
  <c r="A589" i="3" s="1"/>
  <c r="A590" i="3" a="1"/>
  <c r="A590" i="3" s="1"/>
  <c r="A591" i="3" a="1"/>
  <c r="A591" i="3" s="1"/>
  <c r="A592" i="3" a="1"/>
  <c r="A592" i="3" s="1"/>
  <c r="A593" i="3" a="1"/>
  <c r="A593" i="3" s="1"/>
  <c r="A594" i="3" a="1"/>
  <c r="A594" i="3" s="1"/>
  <c r="A595" i="3" a="1"/>
  <c r="A595" i="3" s="1"/>
  <c r="A596" i="3" a="1"/>
  <c r="A596" i="3" s="1"/>
  <c r="A597" i="3" a="1"/>
  <c r="A597" i="3" s="1"/>
  <c r="A598" i="3" a="1"/>
  <c r="A598" i="3" s="1"/>
  <c r="A599" i="3" a="1"/>
  <c r="A599" i="3" s="1"/>
  <c r="A600" i="3" a="1"/>
  <c r="A600" i="3" s="1"/>
  <c r="A601" i="3" a="1"/>
  <c r="A601" i="3" s="1"/>
  <c r="A602" i="3" a="1"/>
  <c r="A602" i="3" s="1"/>
  <c r="A603" i="3" a="1"/>
  <c r="A603" i="3" s="1"/>
  <c r="A604" i="3" a="1"/>
  <c r="A604" i="3" s="1"/>
  <c r="A605" i="3" a="1"/>
  <c r="A605" i="3" s="1"/>
  <c r="A606" i="3" a="1"/>
  <c r="A606" i="3" s="1"/>
  <c r="A607" i="3" a="1"/>
  <c r="A607" i="3" s="1"/>
  <c r="A608" i="3" a="1"/>
  <c r="A608" i="3" s="1"/>
  <c r="A609" i="3" a="1"/>
  <c r="A609" i="3" s="1"/>
  <c r="A610" i="3" a="1"/>
  <c r="A610" i="3" s="1"/>
  <c r="A611" i="3" a="1"/>
  <c r="A611" i="3" s="1"/>
  <c r="A612" i="3" a="1"/>
  <c r="A612" i="3" s="1"/>
  <c r="A613" i="3" a="1"/>
  <c r="A613" i="3" s="1"/>
  <c r="A614" i="3" a="1"/>
  <c r="A614" i="3" s="1"/>
  <c r="A615" i="3" a="1"/>
  <c r="A615" i="3" s="1"/>
  <c r="A616" i="3" a="1"/>
  <c r="A616" i="3" s="1"/>
  <c r="A617" i="3" a="1"/>
  <c r="A617" i="3" s="1"/>
  <c r="A618" i="3" a="1"/>
  <c r="A618" i="3" s="1"/>
  <c r="A619" i="3" a="1"/>
  <c r="A619" i="3" s="1"/>
  <c r="A620" i="3" a="1"/>
  <c r="A620" i="3" s="1"/>
  <c r="A621" i="3" a="1"/>
  <c r="A621" i="3" s="1"/>
  <c r="A622" i="3" a="1"/>
  <c r="A622" i="3" s="1"/>
  <c r="A623" i="3" a="1"/>
  <c r="A623" i="3" s="1"/>
  <c r="A624" i="3" a="1"/>
  <c r="A624" i="3" s="1"/>
  <c r="A625" i="3" a="1"/>
  <c r="A625" i="3" s="1"/>
  <c r="A626" i="3" a="1"/>
  <c r="A626" i="3" s="1"/>
  <c r="A627" i="3" a="1"/>
  <c r="A627" i="3" s="1"/>
  <c r="A628" i="3" a="1"/>
  <c r="A628" i="3" s="1"/>
  <c r="A629" i="3" a="1"/>
  <c r="A629" i="3" s="1"/>
  <c r="A630" i="3" a="1"/>
  <c r="A630" i="3" s="1"/>
  <c r="A631" i="3" a="1"/>
  <c r="A631" i="3" s="1"/>
  <c r="A632" i="3" a="1"/>
  <c r="A632" i="3" s="1"/>
  <c r="A633" i="3" a="1"/>
  <c r="A633" i="3" s="1"/>
  <c r="A634" i="3" a="1"/>
  <c r="A634" i="3" s="1"/>
  <c r="A635" i="3" a="1"/>
  <c r="A635" i="3" s="1"/>
  <c r="A636" i="3" a="1"/>
  <c r="A636" i="3" s="1"/>
  <c r="A637" i="3" a="1"/>
  <c r="A637" i="3" s="1"/>
  <c r="A638" i="3" a="1"/>
  <c r="A638" i="3" s="1"/>
  <c r="A639" i="3" a="1"/>
  <c r="A639" i="3" s="1"/>
  <c r="A640" i="3" a="1"/>
  <c r="A640" i="3" s="1"/>
  <c r="A641" i="3" a="1"/>
  <c r="A641" i="3" s="1"/>
  <c r="A642" i="3" a="1"/>
  <c r="A642" i="3" s="1"/>
  <c r="A643" i="3" a="1"/>
  <c r="A643" i="3" s="1"/>
  <c r="A644" i="3" a="1"/>
  <c r="A644" i="3" s="1"/>
  <c r="A645" i="3" a="1"/>
  <c r="A645" i="3" s="1"/>
  <c r="A646" i="3" a="1"/>
  <c r="A646" i="3" s="1"/>
  <c r="A647" i="3" a="1"/>
  <c r="A647" i="3" s="1"/>
  <c r="A648" i="3" a="1"/>
  <c r="A648" i="3" s="1"/>
  <c r="A649" i="3" a="1"/>
  <c r="A649" i="3" s="1"/>
  <c r="A650" i="3" a="1"/>
  <c r="A650" i="3" s="1"/>
  <c r="A651" i="3" a="1"/>
  <c r="A651" i="3" s="1"/>
  <c r="A652" i="3" a="1"/>
  <c r="A652" i="3" s="1"/>
  <c r="A653" i="3" a="1"/>
  <c r="A653" i="3" s="1"/>
  <c r="A654" i="3" a="1"/>
  <c r="A654" i="3" s="1"/>
  <c r="A655" i="3" a="1"/>
  <c r="A655" i="3" s="1"/>
  <c r="A656" i="3" a="1"/>
  <c r="A656" i="3" s="1"/>
  <c r="A657" i="3" a="1"/>
  <c r="A657" i="3" s="1"/>
  <c r="A658" i="3" a="1"/>
  <c r="A658" i="3" s="1"/>
  <c r="A659" i="3" a="1"/>
  <c r="A659" i="3" s="1"/>
  <c r="A660" i="3" a="1"/>
  <c r="A660" i="3" s="1"/>
  <c r="A661" i="3" a="1"/>
  <c r="A661" i="3" s="1"/>
  <c r="A662" i="3" a="1"/>
  <c r="A662" i="3" s="1"/>
  <c r="A663" i="3" a="1"/>
  <c r="A663" i="3" s="1"/>
  <c r="A664" i="3" a="1"/>
  <c r="A664" i="3" s="1"/>
  <c r="A665" i="3" a="1"/>
  <c r="A665" i="3" s="1"/>
  <c r="A666" i="3" a="1"/>
  <c r="A666" i="3" s="1"/>
  <c r="A667" i="3" a="1"/>
  <c r="A667" i="3" s="1"/>
  <c r="A668" i="3" a="1"/>
  <c r="A668" i="3" s="1"/>
  <c r="A669" i="3" a="1"/>
  <c r="A669" i="3" s="1"/>
  <c r="A670" i="3" a="1"/>
  <c r="A670" i="3" s="1"/>
  <c r="A671" i="3" a="1"/>
  <c r="A671" i="3" s="1"/>
  <c r="A672" i="3" a="1"/>
  <c r="A672" i="3" s="1"/>
  <c r="A673" i="3" a="1"/>
  <c r="A673" i="3" s="1"/>
  <c r="A674" i="3" a="1"/>
  <c r="A674" i="3" s="1"/>
  <c r="A675" i="3" a="1"/>
  <c r="A675" i="3" s="1"/>
  <c r="A676" i="3" a="1"/>
  <c r="A676" i="3" s="1"/>
  <c r="A677" i="3" a="1"/>
  <c r="A677" i="3" s="1"/>
  <c r="A678" i="3" a="1"/>
  <c r="A678" i="3" s="1"/>
  <c r="A679" i="3" a="1"/>
  <c r="A679" i="3" s="1"/>
  <c r="A680" i="3" a="1"/>
  <c r="A680" i="3" s="1"/>
  <c r="A681" i="3" a="1"/>
  <c r="A681" i="3" s="1"/>
  <c r="A682" i="3" a="1"/>
  <c r="A682" i="3" s="1"/>
  <c r="A683" i="3" a="1"/>
  <c r="A683" i="3" s="1"/>
  <c r="A684" i="3" a="1"/>
  <c r="A684" i="3" s="1"/>
  <c r="A685" i="3" a="1"/>
  <c r="A685" i="3" s="1"/>
  <c r="A686" i="3" a="1"/>
  <c r="A686" i="3" s="1"/>
  <c r="A687" i="3" a="1"/>
  <c r="A687" i="3" s="1"/>
  <c r="A688" i="3" a="1"/>
  <c r="A688" i="3" s="1"/>
  <c r="A689" i="3" a="1"/>
  <c r="A689" i="3" s="1"/>
  <c r="A690" i="3" a="1"/>
  <c r="A690" i="3" s="1"/>
  <c r="A691" i="3" a="1"/>
  <c r="A691" i="3" s="1"/>
  <c r="A692" i="3" a="1"/>
  <c r="A692" i="3" s="1"/>
  <c r="A693" i="3" a="1"/>
  <c r="A693" i="3" s="1"/>
  <c r="A694" i="3" a="1"/>
  <c r="A694" i="3" s="1"/>
  <c r="A695" i="3" a="1"/>
  <c r="A695" i="3" s="1"/>
  <c r="A696" i="3" a="1"/>
  <c r="A696" i="3" s="1"/>
  <c r="A697" i="3" a="1"/>
  <c r="A697" i="3" s="1"/>
  <c r="A698" i="3" a="1"/>
  <c r="A698" i="3" s="1"/>
  <c r="A699" i="3" a="1"/>
  <c r="A699" i="3" s="1"/>
  <c r="A700" i="3" a="1"/>
  <c r="A700" i="3" s="1"/>
  <c r="A701" i="3" a="1"/>
  <c r="A701" i="3" s="1"/>
  <c r="A702" i="3" a="1"/>
  <c r="A702" i="3" s="1"/>
  <c r="A703" i="3" a="1"/>
  <c r="A703" i="3" s="1"/>
  <c r="A704" i="3" a="1"/>
  <c r="A704" i="3" s="1"/>
  <c r="A705" i="3" a="1"/>
  <c r="A705" i="3" s="1"/>
  <c r="A706" i="3" a="1"/>
  <c r="A706" i="3" s="1"/>
  <c r="A707" i="3" a="1"/>
  <c r="A707" i="3" s="1"/>
  <c r="A708" i="3" a="1"/>
  <c r="A708" i="3" s="1"/>
  <c r="A709" i="3" a="1"/>
  <c r="A709" i="3" s="1"/>
  <c r="A710" i="3" a="1"/>
  <c r="A710" i="3" s="1"/>
  <c r="A711" i="3" a="1"/>
  <c r="A711" i="3" s="1"/>
  <c r="A712" i="3" a="1"/>
  <c r="A712" i="3" s="1"/>
  <c r="A713" i="3" a="1"/>
  <c r="A713" i="3" s="1"/>
  <c r="A714" i="3" a="1"/>
  <c r="A714" i="3" s="1"/>
  <c r="A715" i="3" a="1"/>
  <c r="A715" i="3" s="1"/>
  <c r="A716" i="3" a="1"/>
  <c r="A716" i="3" s="1"/>
  <c r="A717" i="3" a="1"/>
  <c r="A717" i="3" s="1"/>
  <c r="A718" i="3" a="1"/>
  <c r="A718" i="3" s="1"/>
  <c r="A719" i="3" a="1"/>
  <c r="A719" i="3" s="1"/>
  <c r="A720" i="3" a="1"/>
  <c r="A720" i="3" s="1"/>
  <c r="A721" i="3" a="1"/>
  <c r="A721" i="3" s="1"/>
  <c r="A722" i="3" a="1"/>
  <c r="A722" i="3" s="1"/>
  <c r="A723" i="3" a="1"/>
  <c r="A723" i="3" s="1"/>
  <c r="A724" i="3" a="1"/>
  <c r="A724" i="3" s="1"/>
  <c r="A725" i="3" a="1"/>
  <c r="A725" i="3" s="1"/>
  <c r="A726" i="3" a="1"/>
  <c r="A726" i="3" s="1"/>
  <c r="A727" i="3" a="1"/>
  <c r="A727" i="3" s="1"/>
  <c r="A728" i="3" a="1"/>
  <c r="A728" i="3" s="1"/>
  <c r="A729" i="3" a="1"/>
  <c r="A729" i="3" s="1"/>
  <c r="A730" i="3" a="1"/>
  <c r="A730" i="3" s="1"/>
  <c r="A731" i="3" a="1"/>
  <c r="A731" i="3" s="1"/>
  <c r="A732" i="3" a="1"/>
  <c r="A732" i="3" s="1"/>
  <c r="A733" i="3" a="1"/>
  <c r="A733" i="3" s="1"/>
  <c r="A734" i="3" a="1"/>
  <c r="A734" i="3" s="1"/>
  <c r="A735" i="3" a="1"/>
  <c r="A735" i="3" s="1"/>
  <c r="A736" i="3" a="1"/>
  <c r="A736" i="3" s="1"/>
  <c r="A737" i="3" a="1"/>
  <c r="A737" i="3" s="1"/>
  <c r="A738" i="3" a="1"/>
  <c r="A738" i="3" s="1"/>
  <c r="A739" i="3" a="1"/>
  <c r="A739" i="3" s="1"/>
  <c r="A740" i="3" a="1"/>
  <c r="A740" i="3" s="1"/>
  <c r="A741" i="3" a="1"/>
  <c r="A741" i="3" s="1"/>
  <c r="A742" i="3" a="1"/>
  <c r="A742" i="3" s="1"/>
  <c r="A743" i="3" a="1"/>
  <c r="A743" i="3" s="1"/>
  <c r="A744" i="3" a="1"/>
  <c r="A744" i="3" s="1"/>
  <c r="A745" i="3" a="1"/>
  <c r="A745" i="3" s="1"/>
  <c r="A746" i="3" a="1"/>
  <c r="A746" i="3" s="1"/>
  <c r="A747" i="3" a="1"/>
  <c r="A747" i="3" s="1"/>
  <c r="A748" i="3" a="1"/>
  <c r="A748" i="3" s="1"/>
  <c r="A749" i="3" a="1"/>
  <c r="A749" i="3" s="1"/>
  <c r="A750" i="3" a="1"/>
  <c r="A750" i="3" s="1"/>
  <c r="A751" i="3" a="1"/>
  <c r="A751" i="3" s="1"/>
  <c r="A752" i="3" a="1"/>
  <c r="A752" i="3" s="1"/>
  <c r="A753" i="3" a="1"/>
  <c r="A753" i="3" s="1"/>
  <c r="A754" i="3" a="1"/>
  <c r="A754" i="3" s="1"/>
  <c r="A755" i="3" a="1"/>
  <c r="A755" i="3" s="1"/>
  <c r="A756" i="3" a="1"/>
  <c r="A756" i="3" s="1"/>
  <c r="A757" i="3" a="1"/>
  <c r="A757" i="3" s="1"/>
  <c r="A758" i="3" a="1"/>
  <c r="A758" i="3" s="1"/>
  <c r="A759" i="3" a="1"/>
  <c r="A759" i="3" s="1"/>
  <c r="A760" i="3" a="1"/>
  <c r="A760" i="3" s="1"/>
  <c r="A761" i="3" a="1"/>
  <c r="A761" i="3" s="1"/>
  <c r="A762" i="3" a="1"/>
  <c r="A762" i="3" s="1"/>
  <c r="A763" i="3" a="1"/>
  <c r="A763" i="3" s="1"/>
  <c r="A764" i="3" a="1"/>
  <c r="A764" i="3" s="1"/>
  <c r="A765" i="3" a="1"/>
  <c r="A765" i="3" s="1"/>
  <c r="A766" i="3" a="1"/>
  <c r="A766" i="3" s="1"/>
  <c r="A767" i="3" a="1"/>
  <c r="A767" i="3" s="1"/>
  <c r="A768" i="3" a="1"/>
  <c r="A768" i="3" s="1"/>
  <c r="A769" i="3" a="1"/>
  <c r="A769" i="3" s="1"/>
  <c r="A770" i="3" a="1"/>
  <c r="A770" i="3" s="1"/>
  <c r="A771" i="3" a="1"/>
  <c r="A771" i="3" s="1"/>
  <c r="A772" i="3" a="1"/>
  <c r="A772" i="3" s="1"/>
  <c r="A773" i="3" a="1"/>
  <c r="A773" i="3" s="1"/>
  <c r="A774" i="3" a="1"/>
  <c r="A774" i="3" s="1"/>
  <c r="A775" i="3" a="1"/>
  <c r="A775" i="3" s="1"/>
  <c r="A776" i="3" a="1"/>
  <c r="A776" i="3" s="1"/>
  <c r="A777" i="3" a="1"/>
  <c r="A777" i="3" s="1"/>
  <c r="A778" i="3" a="1"/>
  <c r="A778" i="3" s="1"/>
  <c r="A779" i="3" a="1"/>
  <c r="A779" i="3" s="1"/>
  <c r="A780" i="3" a="1"/>
  <c r="A780" i="3" s="1"/>
  <c r="A781" i="3" a="1"/>
  <c r="A781" i="3" s="1"/>
  <c r="A782" i="3" a="1"/>
  <c r="A782" i="3" s="1"/>
  <c r="A783" i="3" a="1"/>
  <c r="A783" i="3" s="1"/>
  <c r="A784" i="3" a="1"/>
  <c r="A784" i="3" s="1"/>
  <c r="A785" i="3" a="1"/>
  <c r="A785" i="3" s="1"/>
  <c r="A786" i="3" a="1"/>
  <c r="A786" i="3" s="1"/>
  <c r="A787" i="3" a="1"/>
  <c r="A787" i="3" s="1"/>
  <c r="A788" i="3" a="1"/>
  <c r="A788" i="3" s="1"/>
  <c r="A789" i="3" a="1"/>
  <c r="A789" i="3" s="1"/>
  <c r="A790" i="3" a="1"/>
  <c r="A790" i="3" s="1"/>
  <c r="A791" i="3" a="1"/>
  <c r="A791" i="3" s="1"/>
  <c r="A792" i="3" a="1"/>
  <c r="A792" i="3" s="1"/>
  <c r="A793" i="3" a="1"/>
  <c r="A793" i="3" s="1"/>
  <c r="A794" i="3" a="1"/>
  <c r="A794" i="3" s="1"/>
  <c r="A795" i="3" a="1"/>
  <c r="A795" i="3" s="1"/>
  <c r="A796" i="3" a="1"/>
  <c r="A796" i="3" s="1"/>
  <c r="A797" i="3" a="1"/>
  <c r="A797" i="3" s="1"/>
  <c r="A798" i="3" a="1"/>
  <c r="A798" i="3" s="1"/>
  <c r="A799" i="3" a="1"/>
  <c r="A799" i="3" s="1"/>
  <c r="A800" i="3" a="1"/>
  <c r="A800" i="3" s="1"/>
  <c r="A801" i="3" a="1"/>
  <c r="A801" i="3" s="1"/>
  <c r="A802" i="3" a="1"/>
  <c r="A802" i="3" s="1"/>
  <c r="A803" i="3" a="1"/>
  <c r="A803" i="3" s="1"/>
  <c r="A804" i="3" a="1"/>
  <c r="A804" i="3" s="1"/>
  <c r="A805" i="3" a="1"/>
  <c r="A805" i="3" s="1"/>
  <c r="A806" i="3" a="1"/>
  <c r="A806" i="3" s="1"/>
  <c r="A807" i="3" a="1"/>
  <c r="A807" i="3" s="1"/>
  <c r="A808" i="3" a="1"/>
  <c r="A808" i="3" s="1"/>
  <c r="A809" i="3" a="1"/>
  <c r="A809" i="3" s="1"/>
  <c r="A810" i="3" a="1"/>
  <c r="A810" i="3" s="1"/>
  <c r="A811" i="3" a="1"/>
  <c r="A811" i="3" s="1"/>
  <c r="A812" i="3" a="1"/>
  <c r="A812" i="3" s="1"/>
  <c r="A813" i="3" a="1"/>
  <c r="A813" i="3" s="1"/>
  <c r="A814" i="3" a="1"/>
  <c r="A814" i="3" s="1"/>
  <c r="A815" i="3" a="1"/>
  <c r="A815" i="3" s="1"/>
  <c r="A816" i="3" a="1"/>
  <c r="A816" i="3" s="1"/>
  <c r="A817" i="3" a="1"/>
  <c r="A817" i="3" s="1"/>
  <c r="A818" i="3" a="1"/>
  <c r="A818" i="3" s="1"/>
  <c r="A819" i="3" a="1"/>
  <c r="A819" i="3" s="1"/>
  <c r="A820" i="3" a="1"/>
  <c r="A820" i="3" s="1"/>
  <c r="A821" i="3" a="1"/>
  <c r="A821" i="3" s="1"/>
  <c r="A822" i="3" a="1"/>
  <c r="A822" i="3" s="1"/>
  <c r="A823" i="3" a="1"/>
  <c r="A823" i="3" s="1"/>
  <c r="A824" i="3" a="1"/>
  <c r="A824" i="3" s="1"/>
  <c r="A825" i="3" a="1"/>
  <c r="A825" i="3" s="1"/>
  <c r="A826" i="3" a="1"/>
  <c r="A826" i="3" s="1"/>
  <c r="A827" i="3" a="1"/>
  <c r="A827" i="3" s="1"/>
  <c r="A828" i="3" a="1"/>
  <c r="A828" i="3" s="1"/>
  <c r="A829" i="3" a="1"/>
  <c r="A829" i="3" s="1"/>
  <c r="A830" i="3" a="1"/>
  <c r="A830" i="3" s="1"/>
  <c r="A831" i="3" a="1"/>
  <c r="A831" i="3" s="1"/>
  <c r="A832" i="3" a="1"/>
  <c r="A832" i="3" s="1"/>
  <c r="A833" i="3" a="1"/>
  <c r="A833" i="3" s="1"/>
  <c r="A834" i="3" a="1"/>
  <c r="A834" i="3" s="1"/>
  <c r="A835" i="3" a="1"/>
  <c r="A835" i="3" s="1"/>
  <c r="A836" i="3" a="1"/>
  <c r="A836" i="3" s="1"/>
  <c r="A837" i="3" a="1"/>
  <c r="A837" i="3" s="1"/>
  <c r="A838" i="3" a="1"/>
  <c r="A838" i="3" s="1"/>
  <c r="A839" i="3" a="1"/>
  <c r="A839" i="3" s="1"/>
  <c r="A840" i="3" a="1"/>
  <c r="A840" i="3" s="1"/>
  <c r="A841" i="3" a="1"/>
  <c r="A841" i="3" s="1"/>
  <c r="A842" i="3" a="1"/>
  <c r="A842" i="3" s="1"/>
  <c r="A843" i="3" a="1"/>
  <c r="A843" i="3" s="1"/>
  <c r="A844" i="3" a="1"/>
  <c r="A844" i="3" s="1"/>
  <c r="A845" i="3" a="1"/>
  <c r="A845" i="3" s="1"/>
  <c r="A846" i="3" a="1"/>
  <c r="A846" i="3" s="1"/>
  <c r="A847" i="3" a="1"/>
  <c r="A847" i="3" s="1"/>
  <c r="A848" i="3" a="1"/>
  <c r="A848" i="3" s="1"/>
  <c r="A849" i="3" a="1"/>
  <c r="A849" i="3" s="1"/>
  <c r="A850" i="3" a="1"/>
  <c r="A850" i="3" s="1"/>
  <c r="A851" i="3" a="1"/>
  <c r="A851" i="3" s="1"/>
  <c r="A852" i="3" a="1"/>
  <c r="A852" i="3" s="1"/>
  <c r="A853" i="3" a="1"/>
  <c r="A853" i="3" s="1"/>
  <c r="A854" i="3" a="1"/>
  <c r="A854" i="3" s="1"/>
  <c r="A855" i="3" a="1"/>
  <c r="A855" i="3" s="1"/>
  <c r="A856" i="3" a="1"/>
  <c r="A856" i="3" s="1"/>
  <c r="A857" i="3" a="1"/>
  <c r="A857" i="3" s="1"/>
  <c r="A858" i="3" a="1"/>
  <c r="A858" i="3" s="1"/>
  <c r="A859" i="3" a="1"/>
  <c r="A859" i="3" s="1"/>
  <c r="A860" i="3" a="1"/>
  <c r="A860" i="3" s="1"/>
  <c r="A861" i="3" a="1"/>
  <c r="A861" i="3" s="1"/>
  <c r="A862" i="3" a="1"/>
  <c r="A862" i="3" s="1"/>
  <c r="A863" i="3" a="1"/>
  <c r="A863" i="3" s="1"/>
  <c r="A864" i="3" a="1"/>
  <c r="A864" i="3" s="1"/>
  <c r="A865" i="3" a="1"/>
  <c r="A865" i="3" s="1"/>
  <c r="A866" i="3" a="1"/>
  <c r="A866" i="3" s="1"/>
  <c r="A867" i="3" a="1"/>
  <c r="A867" i="3" s="1"/>
  <c r="A868" i="3" a="1"/>
  <c r="A868" i="3" s="1"/>
  <c r="A869" i="3" a="1"/>
  <c r="A869" i="3" s="1"/>
  <c r="A870" i="3" a="1"/>
  <c r="A870" i="3" s="1"/>
  <c r="A871" i="3" a="1"/>
  <c r="A871" i="3" s="1"/>
  <c r="A872" i="3" a="1"/>
  <c r="A872" i="3" s="1"/>
  <c r="A873" i="3" a="1"/>
  <c r="A873" i="3" s="1"/>
  <c r="A874" i="3" a="1"/>
  <c r="A874" i="3" s="1"/>
  <c r="A875" i="3" a="1"/>
  <c r="A875" i="3" s="1"/>
  <c r="A876" i="3" a="1"/>
  <c r="A876" i="3" s="1"/>
  <c r="A877" i="3" a="1"/>
  <c r="A877" i="3" s="1"/>
  <c r="A878" i="3" a="1"/>
  <c r="A878" i="3" s="1"/>
  <c r="A879" i="3" a="1"/>
  <c r="A879" i="3" s="1"/>
  <c r="A880" i="3" a="1"/>
  <c r="A880" i="3" s="1"/>
  <c r="A881" i="3" a="1"/>
  <c r="A881" i="3" s="1"/>
  <c r="A882" i="3" a="1"/>
  <c r="A882" i="3" s="1"/>
  <c r="A883" i="3" a="1"/>
  <c r="A883" i="3" s="1"/>
  <c r="A884" i="3" a="1"/>
  <c r="A884" i="3" s="1"/>
  <c r="A885" i="3" a="1"/>
  <c r="A885" i="3" s="1"/>
  <c r="A886" i="3" a="1"/>
  <c r="A886" i="3" s="1"/>
  <c r="A887" i="3" a="1"/>
  <c r="A887" i="3" s="1"/>
  <c r="A888" i="3" a="1"/>
  <c r="A888" i="3" s="1"/>
  <c r="A889" i="3" a="1"/>
  <c r="A889" i="3" s="1"/>
  <c r="A890" i="3" a="1"/>
  <c r="A890" i="3" s="1"/>
  <c r="A891" i="3" a="1"/>
  <c r="A891" i="3" s="1"/>
  <c r="A892" i="3" a="1"/>
  <c r="A892" i="3" s="1"/>
  <c r="A893" i="3" a="1"/>
  <c r="A893" i="3" s="1"/>
  <c r="A894" i="3" a="1"/>
  <c r="A894" i="3" s="1"/>
  <c r="A895" i="3" a="1"/>
  <c r="A895" i="3" s="1"/>
  <c r="A896" i="3" a="1"/>
  <c r="A896" i="3" s="1"/>
  <c r="A897" i="3" a="1"/>
  <c r="A897" i="3" s="1"/>
  <c r="A898" i="3" a="1"/>
  <c r="A898" i="3" s="1"/>
  <c r="A899" i="3" a="1"/>
  <c r="A899" i="3" s="1"/>
  <c r="A900" i="3" a="1"/>
  <c r="A900" i="3" s="1"/>
  <c r="A901" i="3" a="1"/>
  <c r="A901" i="3" s="1"/>
  <c r="A902" i="3" a="1"/>
  <c r="A902" i="3" s="1"/>
  <c r="A903" i="3" a="1"/>
  <c r="A903" i="3" s="1"/>
  <c r="A904" i="3" a="1"/>
  <c r="A904" i="3" s="1"/>
  <c r="A905" i="3" a="1"/>
  <c r="A905" i="3" s="1"/>
  <c r="A906" i="3" a="1"/>
  <c r="A906" i="3" s="1"/>
  <c r="A907" i="3" a="1"/>
  <c r="A907" i="3" s="1"/>
  <c r="A908" i="3" a="1"/>
  <c r="A908" i="3" s="1"/>
  <c r="A909" i="3" a="1"/>
  <c r="A909" i="3" s="1"/>
  <c r="A910" i="3" a="1"/>
  <c r="A910" i="3" s="1"/>
  <c r="A911" i="3" a="1"/>
  <c r="A911" i="3" s="1"/>
  <c r="A912" i="3" a="1"/>
  <c r="A912" i="3" s="1"/>
  <c r="A913" i="3" a="1"/>
  <c r="A913" i="3" s="1"/>
  <c r="A914" i="3" a="1"/>
  <c r="A914" i="3" s="1"/>
  <c r="A915" i="3" a="1"/>
  <c r="A915" i="3" s="1"/>
  <c r="A916" i="3" a="1"/>
  <c r="A916" i="3" s="1"/>
  <c r="A917" i="3" a="1"/>
  <c r="A917" i="3" s="1"/>
  <c r="A918" i="3" a="1"/>
  <c r="A918" i="3" s="1"/>
  <c r="A919" i="3" a="1"/>
  <c r="A919" i="3" s="1"/>
  <c r="A920" i="3" a="1"/>
  <c r="A920" i="3" s="1"/>
  <c r="A921" i="3" a="1"/>
  <c r="A921" i="3" s="1"/>
  <c r="A922" i="3" a="1"/>
  <c r="A922" i="3" s="1"/>
  <c r="A923" i="3" a="1"/>
  <c r="A923" i="3" s="1"/>
  <c r="A924" i="3" a="1"/>
  <c r="A924" i="3" s="1"/>
  <c r="A925" i="3" a="1"/>
  <c r="A925" i="3" s="1"/>
  <c r="A926" i="3" a="1"/>
  <c r="A926" i="3" s="1"/>
  <c r="A927" i="3" a="1"/>
  <c r="A927" i="3" s="1"/>
  <c r="A928" i="3" a="1"/>
  <c r="A928" i="3" s="1"/>
  <c r="A929" i="3" a="1"/>
  <c r="A929" i="3" s="1"/>
  <c r="A930" i="3" a="1"/>
  <c r="A930" i="3" s="1"/>
  <c r="A931" i="3" a="1"/>
  <c r="A931" i="3" s="1"/>
  <c r="A932" i="3" a="1"/>
  <c r="A932" i="3" s="1"/>
  <c r="A933" i="3" a="1"/>
  <c r="A933" i="3" s="1"/>
  <c r="A934" i="3" a="1"/>
  <c r="A934" i="3" s="1"/>
  <c r="A935" i="3" a="1"/>
  <c r="A935" i="3" s="1"/>
  <c r="A936" i="3" a="1"/>
  <c r="A936" i="3" s="1"/>
  <c r="A937" i="3" a="1"/>
  <c r="A937" i="3" s="1"/>
  <c r="A938" i="3" a="1"/>
  <c r="A938" i="3" s="1"/>
  <c r="A939" i="3" a="1"/>
  <c r="A939" i="3" s="1"/>
  <c r="A940" i="3" a="1"/>
  <c r="A940" i="3" s="1"/>
  <c r="A941" i="3" a="1"/>
  <c r="A941" i="3" s="1"/>
  <c r="A942" i="3" a="1"/>
  <c r="A942" i="3" s="1"/>
  <c r="A943" i="3" a="1"/>
  <c r="A943" i="3" s="1"/>
  <c r="A944" i="3" a="1"/>
  <c r="A944" i="3" s="1"/>
  <c r="A945" i="3" a="1"/>
  <c r="A945" i="3" s="1"/>
  <c r="A946" i="3" a="1"/>
  <c r="A946" i="3" s="1"/>
  <c r="A947" i="3" a="1"/>
  <c r="A947" i="3" s="1"/>
  <c r="A948" i="3" a="1"/>
  <c r="A948" i="3" s="1"/>
  <c r="A949" i="3" a="1"/>
  <c r="A949" i="3" s="1"/>
  <c r="A950" i="3" a="1"/>
  <c r="A950" i="3" s="1"/>
  <c r="A951" i="3" a="1"/>
  <c r="A951" i="3" s="1"/>
  <c r="A952" i="3" a="1"/>
  <c r="A952" i="3" s="1"/>
  <c r="A953" i="3" a="1"/>
  <c r="A953" i="3" s="1"/>
  <c r="A954" i="3" a="1"/>
  <c r="A954" i="3" s="1"/>
  <c r="A955" i="3" a="1"/>
  <c r="A955" i="3" s="1"/>
  <c r="A956" i="3" a="1"/>
  <c r="A956" i="3" s="1"/>
  <c r="A957" i="3" a="1"/>
  <c r="A957" i="3" s="1"/>
  <c r="A958" i="3" a="1"/>
  <c r="A958" i="3" s="1"/>
  <c r="A959" i="3" a="1"/>
  <c r="A959" i="3" s="1"/>
  <c r="A960" i="3" a="1"/>
  <c r="A960" i="3" s="1"/>
  <c r="A961" i="3" a="1"/>
  <c r="A961" i="3" s="1"/>
  <c r="A962" i="3" a="1"/>
  <c r="A962" i="3" s="1"/>
  <c r="A963" i="3" a="1"/>
  <c r="A963" i="3" s="1"/>
  <c r="A964" i="3" a="1"/>
  <c r="A964" i="3" s="1"/>
  <c r="A965" i="3" a="1"/>
  <c r="A965" i="3" s="1"/>
  <c r="A966" i="3" a="1"/>
  <c r="A966" i="3" s="1"/>
  <c r="A967" i="3" a="1"/>
  <c r="A967" i="3" s="1"/>
  <c r="A968" i="3" a="1"/>
  <c r="A968" i="3" s="1"/>
  <c r="A969" i="3" a="1"/>
  <c r="A969" i="3" s="1"/>
  <c r="A970" i="3" a="1"/>
  <c r="A970" i="3" s="1"/>
  <c r="A971" i="3" a="1"/>
  <c r="A971" i="3" s="1"/>
  <c r="A972" i="3" a="1"/>
  <c r="A972" i="3" s="1"/>
  <c r="A973" i="3" a="1"/>
  <c r="A973" i="3" s="1"/>
  <c r="A974" i="3" a="1"/>
  <c r="A974" i="3" s="1"/>
  <c r="A975" i="3" a="1"/>
  <c r="A975" i="3" s="1"/>
  <c r="A976" i="3" a="1"/>
  <c r="A976" i="3" s="1"/>
  <c r="A977" i="3" a="1"/>
  <c r="A977" i="3" s="1"/>
  <c r="A978" i="3" a="1"/>
  <c r="A978" i="3" s="1"/>
  <c r="A979" i="3" a="1"/>
  <c r="A979" i="3" s="1"/>
  <c r="A980" i="3" a="1"/>
  <c r="A980" i="3" s="1"/>
  <c r="A981" i="3" a="1"/>
  <c r="A981" i="3" s="1"/>
  <c r="A982" i="3" a="1"/>
  <c r="A982" i="3" s="1"/>
  <c r="A983" i="3" a="1"/>
  <c r="A983" i="3" s="1"/>
  <c r="A984" i="3" a="1"/>
  <c r="A984" i="3" s="1"/>
  <c r="A985" i="3" a="1"/>
  <c r="A985" i="3" s="1"/>
  <c r="A986" i="3" a="1"/>
  <c r="A986" i="3" s="1"/>
  <c r="A987" i="3" a="1"/>
  <c r="A987" i="3" s="1"/>
  <c r="A988" i="3" a="1"/>
  <c r="A988" i="3" s="1"/>
  <c r="A989" i="3" a="1"/>
  <c r="A989" i="3" s="1"/>
  <c r="A990" i="3" a="1"/>
  <c r="A990" i="3" s="1"/>
  <c r="A991" i="3" a="1"/>
  <c r="A991" i="3" s="1"/>
  <c r="A992" i="3" a="1"/>
  <c r="A992" i="3" s="1"/>
  <c r="A993" i="3" a="1"/>
  <c r="A993" i="3" s="1"/>
  <c r="A994" i="3" a="1"/>
  <c r="A994" i="3" s="1"/>
  <c r="A995" i="3" a="1"/>
  <c r="A995" i="3" s="1"/>
  <c r="A996" i="3" a="1"/>
  <c r="A996" i="3" s="1"/>
  <c r="A997" i="3" a="1"/>
  <c r="A997" i="3" s="1"/>
  <c r="A998" i="3" a="1"/>
  <c r="A998" i="3" s="1"/>
  <c r="A999" i="3" a="1"/>
  <c r="A999" i="3" s="1"/>
  <c r="A1000" i="3" a="1"/>
  <c r="A1000" i="3" s="1"/>
  <c r="A1001" i="3" a="1"/>
  <c r="A1001" i="3" s="1"/>
  <c r="D15" i="4" l="1" a="1"/>
  <c r="D15" i="4" s="1"/>
  <c r="D14" i="4" a="1"/>
  <c r="D14" i="4" s="1"/>
  <c r="D11" i="4" a="1"/>
  <c r="D11" i="4" s="1"/>
  <c r="F11" i="4" l="1"/>
  <c r="F15" i="4"/>
  <c r="G15" i="4" s="1"/>
  <c r="F14" i="4"/>
  <c r="G14" i="4" s="1"/>
  <c r="H14" i="4" l="1"/>
  <c r="I14" i="4" s="1"/>
  <c r="G11" i="4"/>
  <c r="H11" i="4" s="1"/>
  <c r="I11" i="4" s="1"/>
  <c r="H15" i="4"/>
  <c r="I15" i="4" s="1"/>
  <c r="D3" i="4" l="1" a="1"/>
  <c r="D3" i="4" s="1"/>
  <c r="F3" i="4" s="1"/>
  <c r="G3" i="4" s="1"/>
  <c r="D48" i="4" a="1"/>
  <c r="D48" i="4" s="1"/>
  <c r="D23" i="4" a="1"/>
  <c r="D23" i="4" s="1"/>
  <c r="D55" i="4" a="1"/>
  <c r="D55" i="4"/>
  <c r="F55" i="4"/>
  <c r="D46" i="4" a="1"/>
  <c r="D46" i="4" s="1"/>
  <c r="F46" i="4" s="1"/>
  <c r="G46" i="4" s="1"/>
  <c r="H46" i="4" s="1"/>
  <c r="D10" i="4" a="1"/>
  <c r="D10" i="4" s="1"/>
  <c r="D4" i="4" a="1"/>
  <c r="D4" i="4" s="1"/>
  <c r="F4" i="4" s="1"/>
  <c r="D9" i="4" a="1"/>
  <c r="D9" i="4" s="1"/>
  <c r="F9" i="4" s="1"/>
  <c r="D45" i="4" a="1"/>
  <c r="D45" i="4" s="1"/>
  <c r="D27" i="4" a="1"/>
  <c r="D27" i="4" s="1"/>
  <c r="F27" i="4" s="1"/>
  <c r="D100" i="4" a="1"/>
  <c r="D100" i="4" s="1"/>
  <c r="D12" i="4" a="1"/>
  <c r="D12" i="4" s="1"/>
  <c r="F12" i="4" s="1"/>
  <c r="G12" i="4" s="1"/>
  <c r="D37" i="4" a="1"/>
  <c r="D37" i="4" s="1"/>
  <c r="D59" i="4" a="1"/>
  <c r="D59" i="4"/>
  <c r="F59" i="4"/>
  <c r="D6" i="4" a="1"/>
  <c r="D6" i="4"/>
  <c r="D81" i="4" a="1"/>
  <c r="D81" i="4" s="1"/>
  <c r="D33" i="4" a="1"/>
  <c r="D33" i="4" s="1"/>
  <c r="D51" i="4" a="1"/>
  <c r="D51" i="4" s="1"/>
  <c r="D53" i="4" a="1"/>
  <c r="D53" i="4" s="1"/>
  <c r="D78" i="4" a="1"/>
  <c r="D78" i="4" s="1"/>
  <c r="D20" i="4" a="1"/>
  <c r="D20" i="4" s="1"/>
  <c r="D89" i="4" a="1"/>
  <c r="D89" i="4" s="1"/>
  <c r="F89" i="4" s="1"/>
  <c r="G89" i="4" s="1"/>
  <c r="D32" i="4" a="1"/>
  <c r="D32" i="4" s="1"/>
  <c r="F32" i="4" s="1"/>
  <c r="D129" i="4" a="1"/>
  <c r="D129" i="4" s="1"/>
  <c r="F129" i="4" s="1"/>
  <c r="D96" i="4" a="1"/>
  <c r="D96" i="4"/>
  <c r="F96" i="4"/>
  <c r="D123" i="4" a="1"/>
  <c r="D123" i="4" s="1"/>
  <c r="D54" i="4" a="1"/>
  <c r="D54" i="4"/>
  <c r="F54" i="4"/>
  <c r="D19" i="4" a="1"/>
  <c r="D19" i="4" s="1"/>
  <c r="D24" i="4" a="1"/>
  <c r="D24" i="4" s="1"/>
  <c r="D22" i="4" a="1"/>
  <c r="D22" i="4" s="1"/>
  <c r="D40" i="4" a="1"/>
  <c r="D40" i="4" s="1"/>
  <c r="F40" i="4" s="1"/>
  <c r="D39" i="4" a="1"/>
  <c r="D39" i="4" s="1"/>
  <c r="D56" i="4" a="1"/>
  <c r="D56" i="4" s="1"/>
  <c r="D8" i="4" a="1"/>
  <c r="D8" i="4" s="1"/>
  <c r="D17" i="4" a="1"/>
  <c r="D17" i="4"/>
  <c r="F17" i="4"/>
  <c r="D29" i="4" a="1"/>
  <c r="D29" i="4" s="1"/>
  <c r="D64" i="4" a="1"/>
  <c r="D64" i="4" s="1"/>
  <c r="F64" i="4" s="1"/>
  <c r="D5" i="4" a="1"/>
  <c r="D5" i="4"/>
  <c r="F5" i="4"/>
  <c r="G5" i="4" s="1"/>
  <c r="D184" i="4" a="1"/>
  <c r="D184" i="4" s="1"/>
  <c r="D16" i="4" a="1"/>
  <c r="D16" i="4" s="1"/>
  <c r="D13" i="4" a="1"/>
  <c r="D13" i="4" s="1"/>
  <c r="D18" i="4" a="1"/>
  <c r="D18" i="4" s="1"/>
  <c r="D99" i="4" a="1"/>
  <c r="D99" i="4" s="1"/>
  <c r="F99" i="4" s="1"/>
  <c r="D42" i="4" a="1"/>
  <c r="D42" i="4" s="1"/>
  <c r="F42" i="4" s="1"/>
  <c r="F100" i="4" l="1"/>
  <c r="G100" i="4" s="1"/>
  <c r="G40" i="4"/>
  <c r="H40" i="4" s="1"/>
  <c r="I40" i="4" s="1"/>
  <c r="D97" i="4" s="1" a="1"/>
  <c r="D97" i="4" s="1"/>
  <c r="F29" i="4"/>
  <c r="G29" i="4" s="1"/>
  <c r="H29" i="4" s="1"/>
  <c r="I29" i="4" s="1"/>
  <c r="D80" i="4" s="1" a="1"/>
  <c r="D80" i="4" s="1"/>
  <c r="F80" i="4" s="1"/>
  <c r="F23" i="4"/>
  <c r="G23" i="4" s="1"/>
  <c r="H5" i="4"/>
  <c r="G54" i="4"/>
  <c r="H54" i="4" s="1"/>
  <c r="G17" i="4"/>
  <c r="I5" i="4"/>
  <c r="D7" i="4" s="1" a="1"/>
  <c r="D7" i="4" s="1"/>
  <c r="F7" i="4" s="1"/>
  <c r="F22" i="4"/>
  <c r="F19" i="4"/>
  <c r="F39" i="4"/>
  <c r="G39" i="4"/>
  <c r="F16" i="4"/>
  <c r="G16" i="4"/>
  <c r="H16" i="4"/>
  <c r="F24" i="4"/>
  <c r="F13" i="4"/>
  <c r="G129" i="4"/>
  <c r="H129" i="4" s="1"/>
  <c r="I129" i="4" s="1"/>
  <c r="D152" i="4" s="1" a="1"/>
  <c r="D152" i="4" s="1"/>
  <c r="G32" i="4"/>
  <c r="H32" i="4" s="1"/>
  <c r="I32" i="4" s="1"/>
  <c r="D67" i="4" s="1" a="1"/>
  <c r="D67" i="4" s="1"/>
  <c r="F8" i="4"/>
  <c r="G8" i="4"/>
  <c r="F123" i="4"/>
  <c r="G123" i="4" s="1"/>
  <c r="G42" i="4"/>
  <c r="G99" i="4"/>
  <c r="H99" i="4" s="1"/>
  <c r="I99" i="4" s="1"/>
  <c r="D112" i="4" s="1" a="1"/>
  <c r="D112" i="4" s="1"/>
  <c r="F184" i="4"/>
  <c r="G184" i="4" s="1"/>
  <c r="F51" i="4"/>
  <c r="G64" i="4"/>
  <c r="H64" i="4"/>
  <c r="F10" i="4"/>
  <c r="G10" i="4" s="1"/>
  <c r="H10" i="4" s="1"/>
  <c r="I10" i="4" s="1"/>
  <c r="D21" i="4" s="1" a="1"/>
  <c r="D21" i="4" s="1"/>
  <c r="G96" i="4"/>
  <c r="F20" i="4"/>
  <c r="G20" i="4" s="1"/>
  <c r="F18" i="4"/>
  <c r="F78" i="4"/>
  <c r="G78" i="4" s="1"/>
  <c r="H78" i="4" s="1"/>
  <c r="F53" i="4"/>
  <c r="G53" i="4" s="1"/>
  <c r="F37" i="4"/>
  <c r="G37" i="4"/>
  <c r="G59" i="4"/>
  <c r="H59" i="4"/>
  <c r="I59" i="4" s="1"/>
  <c r="D85" i="4" s="1" a="1"/>
  <c r="D85" i="4" s="1"/>
  <c r="F48" i="4"/>
  <c r="G48" i="4" s="1"/>
  <c r="H48" i="4" s="1"/>
  <c r="I48" i="4" s="1"/>
  <c r="D60" i="4" s="1" a="1"/>
  <c r="D60" i="4" s="1"/>
  <c r="F56" i="4"/>
  <c r="G56" i="4" s="1"/>
  <c r="F33" i="4"/>
  <c r="G33" i="4" s="1"/>
  <c r="H33" i="4" s="1"/>
  <c r="I33" i="4" s="1"/>
  <c r="D145" i="4" s="1" a="1"/>
  <c r="D145" i="4" s="1"/>
  <c r="H89" i="4"/>
  <c r="I89" i="4" s="1"/>
  <c r="D196" i="4" s="1" a="1"/>
  <c r="D196" i="4" s="1"/>
  <c r="G9" i="4"/>
  <c r="H12" i="4"/>
  <c r="I12" i="4"/>
  <c r="D26" i="4" s="1" a="1"/>
  <c r="D26" i="4" s="1"/>
  <c r="F81" i="4"/>
  <c r="F6" i="4"/>
  <c r="G6" i="4" s="1"/>
  <c r="F45" i="4"/>
  <c r="G45" i="4" s="1"/>
  <c r="H45" i="4" s="1"/>
  <c r="G4" i="4"/>
  <c r="H4" i="4" s="1"/>
  <c r="G27" i="4"/>
  <c r="H27" i="4" s="1"/>
  <c r="G55" i="4"/>
  <c r="H55" i="4"/>
  <c r="H3" i="4"/>
  <c r="I3" i="4" s="1"/>
  <c r="D25" i="4" s="1" a="1"/>
  <c r="D25" i="4" s="1"/>
  <c r="I46" i="4"/>
  <c r="D52" i="4" s="1" a="1"/>
  <c r="D52" i="4" s="1"/>
  <c r="H20" i="4" l="1"/>
  <c r="I64" i="4"/>
  <c r="D227" i="4" s="1" a="1"/>
  <c r="D227" i="4" s="1"/>
  <c r="F227" i="4" s="1"/>
  <c r="H100" i="4"/>
  <c r="I100" i="4" s="1"/>
  <c r="D118" i="4" s="1" a="1"/>
  <c r="D118" i="4" s="1"/>
  <c r="I54" i="4"/>
  <c r="D150" i="4" s="1" a="1"/>
  <c r="D150" i="4" s="1"/>
  <c r="F150" i="4" s="1"/>
  <c r="G150" i="4" s="1"/>
  <c r="H53" i="4"/>
  <c r="I53" i="4" s="1"/>
  <c r="D107" i="4" s="1" a="1"/>
  <c r="D107" i="4" s="1"/>
  <c r="F107" i="4" s="1"/>
  <c r="F97" i="4"/>
  <c r="H39" i="4"/>
  <c r="I39" i="4" s="1"/>
  <c r="D147" i="4" s="1" a="1"/>
  <c r="D147" i="4" s="1"/>
  <c r="F147" i="4" s="1"/>
  <c r="H8" i="4"/>
  <c r="I8" i="4" s="1"/>
  <c r="D72" i="4" s="1" a="1"/>
  <c r="D72" i="4" s="1"/>
  <c r="F72" i="4" s="1"/>
  <c r="H37" i="4"/>
  <c r="I37" i="4" s="1"/>
  <c r="D71" i="4" s="1" a="1"/>
  <c r="D71" i="4" s="1"/>
  <c r="F71" i="4" s="1"/>
  <c r="H23" i="4"/>
  <c r="I23" i="4" s="1"/>
  <c r="D35" i="4" s="1" a="1"/>
  <c r="D35" i="4" s="1"/>
  <c r="I20" i="4"/>
  <c r="D105" i="4" s="1" a="1"/>
  <c r="D105" i="4" s="1"/>
  <c r="F105" i="4" s="1"/>
  <c r="G7" i="4"/>
  <c r="H7" i="4" s="1"/>
  <c r="I7" i="4" s="1"/>
  <c r="D44" i="4" s="1" a="1"/>
  <c r="D44" i="4" s="1"/>
  <c r="G13" i="4"/>
  <c r="H13" i="4" s="1"/>
  <c r="I13" i="4" s="1"/>
  <c r="D272" i="4" s="1" a="1"/>
  <c r="D272" i="4" s="1"/>
  <c r="H184" i="4"/>
  <c r="I184" i="4" s="1"/>
  <c r="D191" i="4" s="1" a="1"/>
  <c r="D191" i="4" s="1"/>
  <c r="F191" i="4" s="1"/>
  <c r="G191" i="4" s="1"/>
  <c r="I55" i="4"/>
  <c r="D63" i="4" s="1" a="1"/>
  <c r="D63" i="4" s="1"/>
  <c r="F63" i="4" s="1"/>
  <c r="H17" i="4"/>
  <c r="I17" i="4" s="1"/>
  <c r="D34" i="4" s="1" a="1"/>
  <c r="D34" i="4" s="1"/>
  <c r="I27" i="4"/>
  <c r="D86" i="4" s="1" a="1"/>
  <c r="D86" i="4" s="1"/>
  <c r="F86" i="4" s="1"/>
  <c r="G80" i="4"/>
  <c r="H80" i="4" s="1"/>
  <c r="I80" i="4" s="1"/>
  <c r="D165" i="4" s="1" a="1"/>
  <c r="D165" i="4" s="1"/>
  <c r="F21" i="4"/>
  <c r="G21" i="4" s="1"/>
  <c r="F67" i="4"/>
  <c r="G67" i="4" s="1"/>
  <c r="H67" i="4" s="1"/>
  <c r="F60" i="4"/>
  <c r="F152" i="4"/>
  <c r="G152" i="4" s="1"/>
  <c r="F145" i="4"/>
  <c r="G145" i="4" s="1"/>
  <c r="I16" i="4"/>
  <c r="D236" i="4" s="1" a="1"/>
  <c r="D236" i="4" s="1"/>
  <c r="I45" i="4"/>
  <c r="D65" i="4" s="1" a="1"/>
  <c r="D65" i="4" s="1"/>
  <c r="F196" i="4"/>
  <c r="H9" i="4"/>
  <c r="I9" i="4" s="1"/>
  <c r="D143" i="4" s="1" a="1"/>
  <c r="D143" i="4" s="1"/>
  <c r="G51" i="4"/>
  <c r="H51" i="4" s="1"/>
  <c r="I78" i="4"/>
  <c r="D82" i="4" s="1" a="1"/>
  <c r="D82" i="4" s="1"/>
  <c r="G19" i="4"/>
  <c r="H19" i="4" s="1"/>
  <c r="F112" i="4"/>
  <c r="G112" i="4" s="1"/>
  <c r="F118" i="4"/>
  <c r="G24" i="4"/>
  <c r="H24" i="4" s="1"/>
  <c r="I24" i="4" s="1"/>
  <c r="D31" i="4" s="1" a="1"/>
  <c r="D31" i="4" s="1"/>
  <c r="H6" i="4"/>
  <c r="I6" i="4" s="1"/>
  <c r="D28" i="4" s="1" a="1"/>
  <c r="D28" i="4" s="1"/>
  <c r="H42" i="4"/>
  <c r="I42" i="4" s="1"/>
  <c r="D69" i="4" s="1" a="1"/>
  <c r="D69" i="4" s="1"/>
  <c r="G22" i="4"/>
  <c r="F25" i="4"/>
  <c r="H123" i="4"/>
  <c r="I123" i="4" s="1"/>
  <c r="D200" i="4" s="1" a="1"/>
  <c r="D200" i="4" s="1"/>
  <c r="F52" i="4"/>
  <c r="G52" i="4" s="1"/>
  <c r="H52" i="4" s="1"/>
  <c r="I52" i="4" s="1"/>
  <c r="D66" i="4" s="1" a="1"/>
  <c r="D66" i="4" s="1"/>
  <c r="F26" i="4"/>
  <c r="G26" i="4" s="1"/>
  <c r="I4" i="4"/>
  <c r="D87" i="4" s="1" a="1"/>
  <c r="D87" i="4" s="1"/>
  <c r="H56" i="4"/>
  <c r="I56" i="4" s="1"/>
  <c r="D95" i="4" s="1" a="1"/>
  <c r="D95" i="4" s="1"/>
  <c r="G18" i="4"/>
  <c r="H18" i="4" s="1"/>
  <c r="F85" i="4"/>
  <c r="G85" i="4" s="1"/>
  <c r="H85" i="4" s="1"/>
  <c r="H96" i="4"/>
  <c r="I96" i="4" s="1"/>
  <c r="D111" i="4" s="1" a="1"/>
  <c r="D111" i="4" s="1"/>
  <c r="G81" i="4"/>
  <c r="H81" i="4" s="1"/>
  <c r="G227" i="4" l="1"/>
  <c r="F44" i="4"/>
  <c r="G44" i="4" s="1"/>
  <c r="G147" i="4"/>
  <c r="G97" i="4"/>
  <c r="H97" i="4" s="1"/>
  <c r="G86" i="4"/>
  <c r="I67" i="4"/>
  <c r="D77" i="4" s="1" a="1"/>
  <c r="D77" i="4" s="1"/>
  <c r="F77" i="4" s="1"/>
  <c r="G77" i="4" s="1"/>
  <c r="H227" i="4"/>
  <c r="I227" i="4" s="1"/>
  <c r="D290" i="4" s="1" a="1"/>
  <c r="D290" i="4" s="1"/>
  <c r="F290" i="4" s="1"/>
  <c r="F35" i="4"/>
  <c r="G35" i="4"/>
  <c r="G71" i="4"/>
  <c r="H71" i="4" s="1"/>
  <c r="I71" i="4" s="1"/>
  <c r="D176" i="4" s="1" a="1"/>
  <c r="D176" i="4" s="1"/>
  <c r="F176" i="4" s="1"/>
  <c r="H112" i="4"/>
  <c r="I112" i="4" s="1"/>
  <c r="D142" i="4" s="1" a="1"/>
  <c r="D142" i="4" s="1"/>
  <c r="F142" i="4" s="1"/>
  <c r="I18" i="4"/>
  <c r="D94" i="4" s="1" a="1"/>
  <c r="D94" i="4" s="1"/>
  <c r="F94" i="4" s="1"/>
  <c r="G63" i="4"/>
  <c r="H63" i="4" s="1"/>
  <c r="I63" i="4" s="1"/>
  <c r="D113" i="4" s="1" a="1"/>
  <c r="D113" i="4" s="1"/>
  <c r="F113" i="4" s="1"/>
  <c r="G118" i="4"/>
  <c r="H118" i="4" s="1"/>
  <c r="I118" i="4" s="1"/>
  <c r="D131" i="4" s="1" a="1"/>
  <c r="D131" i="4" s="1"/>
  <c r="F165" i="4"/>
  <c r="G165" i="4"/>
  <c r="F34" i="4"/>
  <c r="G34" i="4" s="1"/>
  <c r="H34" i="4" s="1"/>
  <c r="I34" i="4" s="1"/>
  <c r="D68" i="4" s="1" a="1"/>
  <c r="D68" i="4" s="1"/>
  <c r="F68" i="4" s="1"/>
  <c r="G68" i="4" s="1"/>
  <c r="F272" i="4"/>
  <c r="G272" i="4" s="1"/>
  <c r="H147" i="4"/>
  <c r="I147" i="4" s="1"/>
  <c r="D210" i="4" s="1" a="1"/>
  <c r="D210" i="4" s="1"/>
  <c r="H26" i="4"/>
  <c r="I26" i="4" s="1"/>
  <c r="D47" i="4" s="1" a="1"/>
  <c r="D47" i="4" s="1"/>
  <c r="I19" i="4"/>
  <c r="D119" i="4" s="1" a="1"/>
  <c r="D119" i="4" s="1"/>
  <c r="F119" i="4" s="1"/>
  <c r="F143" i="4"/>
  <c r="G143" i="4" s="1"/>
  <c r="F31" i="4"/>
  <c r="G31" i="4" s="1"/>
  <c r="F28" i="4"/>
  <c r="G28" i="4" s="1"/>
  <c r="H152" i="4"/>
  <c r="I152" i="4" s="1"/>
  <c r="D169" i="4" s="1" a="1"/>
  <c r="D169" i="4" s="1"/>
  <c r="F95" i="4"/>
  <c r="G95" i="4" s="1"/>
  <c r="F66" i="4"/>
  <c r="G66" i="4"/>
  <c r="H150" i="4"/>
  <c r="I150" i="4" s="1"/>
  <c r="D172" i="4" s="1" a="1"/>
  <c r="D172" i="4" s="1"/>
  <c r="H191" i="4"/>
  <c r="I191" i="4" s="1"/>
  <c r="D253" i="4" s="1" a="1"/>
  <c r="D253" i="4" s="1"/>
  <c r="F69" i="4"/>
  <c r="G69" i="4" s="1"/>
  <c r="G107" i="4"/>
  <c r="H107" i="4" s="1"/>
  <c r="G60" i="4"/>
  <c r="H60" i="4" s="1"/>
  <c r="F65" i="4"/>
  <c r="G72" i="4"/>
  <c r="H72" i="4" s="1"/>
  <c r="H22" i="4"/>
  <c r="I22" i="4" s="1"/>
  <c r="D43" i="4" s="1" a="1"/>
  <c r="D43" i="4" s="1"/>
  <c r="F87" i="4"/>
  <c r="G105" i="4"/>
  <c r="H145" i="4"/>
  <c r="I145" i="4" s="1"/>
  <c r="D156" i="4" s="1" a="1"/>
  <c r="D156" i="4" s="1"/>
  <c r="I81" i="4"/>
  <c r="D126" i="4" s="1" a="1"/>
  <c r="D126" i="4" s="1"/>
  <c r="G196" i="4"/>
  <c r="H21" i="4"/>
  <c r="I21" i="4" s="1"/>
  <c r="D62" i="4" s="1" a="1"/>
  <c r="D62" i="4" s="1"/>
  <c r="F200" i="4"/>
  <c r="G200" i="4" s="1"/>
  <c r="F82" i="4"/>
  <c r="G25" i="4"/>
  <c r="H25" i="4" s="1"/>
  <c r="F236" i="4"/>
  <c r="G236" i="4"/>
  <c r="F111" i="4"/>
  <c r="G111" i="4" s="1"/>
  <c r="I85" i="4"/>
  <c r="D125" i="4" s="1" a="1"/>
  <c r="D125" i="4" s="1"/>
  <c r="I51" i="4"/>
  <c r="D102" i="4" s="1" a="1"/>
  <c r="D102" i="4" s="1"/>
  <c r="H66" i="4" l="1"/>
  <c r="I66" i="4" s="1"/>
  <c r="D117" i="4" s="1" a="1"/>
  <c r="D117" i="4" s="1"/>
  <c r="F117" i="4" s="1"/>
  <c r="G117" i="4" s="1"/>
  <c r="H117" i="4" s="1"/>
  <c r="H86" i="4"/>
  <c r="I86" i="4" s="1"/>
  <c r="D121" i="4" s="1" a="1"/>
  <c r="D121" i="4" s="1"/>
  <c r="H35" i="4"/>
  <c r="H165" i="4"/>
  <c r="I165" i="4" s="1"/>
  <c r="D204" i="4" s="1" a="1"/>
  <c r="D204" i="4" s="1"/>
  <c r="F204" i="4" s="1"/>
  <c r="H236" i="4"/>
  <c r="I236" i="4"/>
  <c r="D247" i="4" s="1" a="1"/>
  <c r="D247" i="4" s="1"/>
  <c r="F247" i="4" s="1"/>
  <c r="G247" i="4" s="1"/>
  <c r="H44" i="4"/>
  <c r="I44" i="4" s="1"/>
  <c r="D234" i="4" s="1" a="1"/>
  <c r="D234" i="4" s="1"/>
  <c r="F234" i="4" s="1"/>
  <c r="G234" i="4" s="1"/>
  <c r="I35" i="4"/>
  <c r="D38" i="4" s="1" a="1"/>
  <c r="D38" i="4" s="1"/>
  <c r="I97" i="4"/>
  <c r="D132" i="4" s="1" a="1"/>
  <c r="D132" i="4" s="1"/>
  <c r="F131" i="4"/>
  <c r="G176" i="4"/>
  <c r="H176" i="4" s="1"/>
  <c r="G94" i="4"/>
  <c r="H94" i="4" s="1"/>
  <c r="I94" i="4" s="1"/>
  <c r="D151" i="4" s="1" a="1"/>
  <c r="D151" i="4" s="1"/>
  <c r="F151" i="4" s="1"/>
  <c r="G151" i="4" s="1"/>
  <c r="H28" i="4"/>
  <c r="I28" i="4" s="1"/>
  <c r="D36" i="4" s="1" a="1"/>
  <c r="D36" i="4" s="1"/>
  <c r="F36" i="4" s="1"/>
  <c r="G36" i="4" s="1"/>
  <c r="G113" i="4"/>
  <c r="H113" i="4" s="1"/>
  <c r="I113" i="4" s="1"/>
  <c r="D130" i="4" s="1" a="1"/>
  <c r="D130" i="4" s="1"/>
  <c r="F130" i="4" s="1"/>
  <c r="H143" i="4"/>
  <c r="I143" i="4" s="1"/>
  <c r="D157" i="4" s="1" a="1"/>
  <c r="D157" i="4" s="1"/>
  <c r="F157" i="4" s="1"/>
  <c r="H95" i="4"/>
  <c r="I95" i="4" s="1"/>
  <c r="D116" i="4" s="1" a="1"/>
  <c r="D116" i="4" s="1"/>
  <c r="G119" i="4"/>
  <c r="H119" i="4" s="1"/>
  <c r="I119" i="4" s="1"/>
  <c r="D141" i="4" s="1" a="1"/>
  <c r="D141" i="4" s="1"/>
  <c r="H200" i="4"/>
  <c r="I200" i="4" s="1"/>
  <c r="D206" i="4" s="1" a="1"/>
  <c r="D206" i="4" s="1"/>
  <c r="G290" i="4"/>
  <c r="H290" i="4" s="1"/>
  <c r="H272" i="4"/>
  <c r="I272" i="4" s="1"/>
  <c r="D287" i="4" s="1" a="1"/>
  <c r="D287" i="4" s="1"/>
  <c r="H31" i="4"/>
  <c r="I31" i="4" s="1"/>
  <c r="D73" i="4" s="1" a="1"/>
  <c r="D73" i="4" s="1"/>
  <c r="F73" i="4" s="1"/>
  <c r="F156" i="4"/>
  <c r="G156" i="4" s="1"/>
  <c r="H156" i="4" s="1"/>
  <c r="F62" i="4"/>
  <c r="G62" i="4" s="1"/>
  <c r="F43" i="4"/>
  <c r="G43" i="4" s="1"/>
  <c r="F169" i="4"/>
  <c r="G169" i="4" s="1"/>
  <c r="H169" i="4" s="1"/>
  <c r="F253" i="4"/>
  <c r="G253" i="4"/>
  <c r="H253" i="4" s="1"/>
  <c r="F172" i="4"/>
  <c r="G172" i="4" s="1"/>
  <c r="H69" i="4"/>
  <c r="I69" i="4" s="1"/>
  <c r="D127" i="4" s="1" a="1"/>
  <c r="D127" i="4" s="1"/>
  <c r="I72" i="4"/>
  <c r="D148" i="4" s="1" a="1"/>
  <c r="D148" i="4" s="1"/>
  <c r="H196" i="4"/>
  <c r="I196" i="4" s="1"/>
  <c r="D199" i="4" s="1" a="1"/>
  <c r="D199" i="4" s="1"/>
  <c r="I25" i="4"/>
  <c r="D30" i="4" s="1" a="1"/>
  <c r="D30" i="4" s="1"/>
  <c r="G65" i="4"/>
  <c r="H65" i="4" s="1"/>
  <c r="H77" i="4"/>
  <c r="I77" i="4" s="1"/>
  <c r="D79" i="4" s="1" a="1"/>
  <c r="D79" i="4" s="1"/>
  <c r="H105" i="4"/>
  <c r="I105" i="4" s="1"/>
  <c r="D158" i="4" s="1" a="1"/>
  <c r="D158" i="4" s="1"/>
  <c r="F47" i="4"/>
  <c r="G87" i="4"/>
  <c r="F126" i="4"/>
  <c r="G126" i="4" s="1"/>
  <c r="F102" i="4"/>
  <c r="G102" i="4" s="1"/>
  <c r="G142" i="4"/>
  <c r="H142" i="4" s="1"/>
  <c r="I107" i="4"/>
  <c r="D109" i="4" s="1" a="1"/>
  <c r="D109" i="4" s="1"/>
  <c r="F210" i="4"/>
  <c r="G210" i="4" s="1"/>
  <c r="F125" i="4"/>
  <c r="G125" i="4" s="1"/>
  <c r="H125" i="4" s="1"/>
  <c r="I125" i="4" s="1"/>
  <c r="D135" i="4" s="1" a="1"/>
  <c r="D135" i="4" s="1"/>
  <c r="I60" i="4"/>
  <c r="D110" i="4" s="1" a="1"/>
  <c r="D110" i="4" s="1"/>
  <c r="G82" i="4"/>
  <c r="H68" i="4"/>
  <c r="I68" i="4" s="1"/>
  <c r="D144" i="4" s="1" a="1"/>
  <c r="D144" i="4" s="1"/>
  <c r="H111" i="4"/>
  <c r="I111" i="4" s="1"/>
  <c r="D114" i="4" s="1" a="1"/>
  <c r="D114" i="4" s="1"/>
  <c r="F121" i="4" l="1"/>
  <c r="G121" i="4" s="1"/>
  <c r="H121" i="4" s="1"/>
  <c r="I121" i="4" s="1"/>
  <c r="D138" i="4" s="1" a="1"/>
  <c r="D138" i="4" s="1"/>
  <c r="G204" i="4"/>
  <c r="H204" i="4" s="1"/>
  <c r="G131" i="4"/>
  <c r="H131" i="4" s="1"/>
  <c r="H247" i="4"/>
  <c r="I247" i="4" s="1"/>
  <c r="D259" i="4" s="1" a="1"/>
  <c r="D259" i="4" s="1"/>
  <c r="F259" i="4" s="1"/>
  <c r="F132" i="4"/>
  <c r="G132" i="4" s="1"/>
  <c r="F38" i="4"/>
  <c r="G38" i="4" s="1"/>
  <c r="H38" i="4" s="1"/>
  <c r="I176" i="4"/>
  <c r="D180" i="4" s="1" a="1"/>
  <c r="D180" i="4" s="1"/>
  <c r="F180" i="4" s="1"/>
  <c r="G180" i="4" s="1"/>
  <c r="H43" i="4"/>
  <c r="I43" i="4" s="1"/>
  <c r="D83" i="4" s="1" a="1"/>
  <c r="D83" i="4" s="1"/>
  <c r="F83" i="4" s="1"/>
  <c r="G83" i="4" s="1"/>
  <c r="F141" i="4"/>
  <c r="H210" i="4"/>
  <c r="I210" i="4" s="1"/>
  <c r="D219" i="4" s="1" a="1"/>
  <c r="D219" i="4" s="1"/>
  <c r="H36" i="4"/>
  <c r="I36" i="4" s="1"/>
  <c r="D57" i="4" s="1" a="1"/>
  <c r="D57" i="4" s="1"/>
  <c r="I169" i="4"/>
  <c r="D230" i="4" s="1" a="1"/>
  <c r="D230" i="4" s="1"/>
  <c r="F230" i="4" s="1"/>
  <c r="I290" i="4"/>
  <c r="D414" i="4" s="1" a="1"/>
  <c r="D414" i="4" s="1"/>
  <c r="F414" i="4" s="1"/>
  <c r="G414" i="4" s="1"/>
  <c r="H172" i="4"/>
  <c r="I172" i="4" s="1"/>
  <c r="D213" i="4" s="1" a="1"/>
  <c r="D213" i="4" s="1"/>
  <c r="G73" i="4"/>
  <c r="H73" i="4" s="1"/>
  <c r="G130" i="4"/>
  <c r="H130" i="4" s="1"/>
  <c r="F287" i="4"/>
  <c r="G287" i="4" s="1"/>
  <c r="H287" i="4" s="1"/>
  <c r="H87" i="4"/>
  <c r="I87" i="4" s="1"/>
  <c r="D88" i="4" s="1" a="1"/>
  <c r="D88" i="4" s="1"/>
  <c r="F88" i="4" s="1"/>
  <c r="G88" i="4" s="1"/>
  <c r="H102" i="4"/>
  <c r="I102" i="4" s="1"/>
  <c r="D108" i="4" s="1" a="1"/>
  <c r="D108" i="4" s="1"/>
  <c r="F114" i="4"/>
  <c r="G114" i="4" s="1"/>
  <c r="H126" i="4"/>
  <c r="I126" i="4" s="1"/>
  <c r="D128" i="4" s="1" a="1"/>
  <c r="D128" i="4" s="1"/>
  <c r="I156" i="4"/>
  <c r="D222" i="4" s="1" a="1"/>
  <c r="D222" i="4" s="1"/>
  <c r="F158" i="4"/>
  <c r="G158" i="4" s="1"/>
  <c r="F135" i="4"/>
  <c r="G135" i="4" s="1"/>
  <c r="F79" i="4"/>
  <c r="G79" i="4"/>
  <c r="F30" i="4"/>
  <c r="G30" i="4"/>
  <c r="H30" i="4" s="1"/>
  <c r="H234" i="4"/>
  <c r="I234" i="4" s="1"/>
  <c r="D340" i="4" s="1" a="1"/>
  <c r="D340" i="4" s="1"/>
  <c r="F199" i="4"/>
  <c r="G199" i="4" s="1"/>
  <c r="I253" i="4"/>
  <c r="D317" i="4" s="1" a="1"/>
  <c r="D317" i="4" s="1"/>
  <c r="H151" i="4"/>
  <c r="I151" i="4" s="1"/>
  <c r="D193" i="4" s="1" a="1"/>
  <c r="D193" i="4" s="1"/>
  <c r="I142" i="4"/>
  <c r="D146" i="4" s="1" a="1"/>
  <c r="D146" i="4" s="1"/>
  <c r="G157" i="4"/>
  <c r="H157" i="4" s="1"/>
  <c r="I117" i="4"/>
  <c r="D223" i="4" s="1" a="1"/>
  <c r="D223" i="4" s="1"/>
  <c r="F144" i="4"/>
  <c r="G144" i="4" s="1"/>
  <c r="H144" i="4" s="1"/>
  <c r="I65" i="4"/>
  <c r="D74" i="4" s="1" a="1"/>
  <c r="D74" i="4" s="1"/>
  <c r="H62" i="4"/>
  <c r="I62" i="4" s="1"/>
  <c r="D91" i="4" s="1" a="1"/>
  <c r="D91" i="4" s="1"/>
  <c r="F206" i="4"/>
  <c r="G206" i="4" s="1"/>
  <c r="G47" i="4"/>
  <c r="H47" i="4" s="1"/>
  <c r="F127" i="4"/>
  <c r="G127" i="4" s="1"/>
  <c r="F110" i="4"/>
  <c r="G110" i="4" s="1"/>
  <c r="H110" i="4" s="1"/>
  <c r="F148" i="4"/>
  <c r="H82" i="4"/>
  <c r="I82" i="4" s="1"/>
  <c r="D124" i="4" s="1" a="1"/>
  <c r="D124" i="4" s="1"/>
  <c r="F109" i="4"/>
  <c r="G109" i="4" s="1"/>
  <c r="F116" i="4"/>
  <c r="G116" i="4"/>
  <c r="H127" i="4" l="1"/>
  <c r="I127" i="4" s="1"/>
  <c r="D186" i="4" s="1" a="1"/>
  <c r="D186" i="4" s="1"/>
  <c r="F186" i="4" s="1"/>
  <c r="G186" i="4" s="1"/>
  <c r="F138" i="4"/>
  <c r="G138" i="4"/>
  <c r="H138" i="4" s="1"/>
  <c r="I138" i="4" s="1"/>
  <c r="D170" i="4" s="1" a="1"/>
  <c r="D170" i="4" s="1"/>
  <c r="F170" i="4" s="1"/>
  <c r="G170" i="4" s="1"/>
  <c r="I204" i="4"/>
  <c r="D235" i="4" s="1" a="1"/>
  <c r="D235" i="4" s="1"/>
  <c r="F235" i="4" s="1"/>
  <c r="G235" i="4" s="1"/>
  <c r="I144" i="4"/>
  <c r="D179" i="4" s="1" a="1"/>
  <c r="D179" i="4" s="1"/>
  <c r="I38" i="4"/>
  <c r="D41" i="4" s="1" a="1"/>
  <c r="D41" i="4" s="1"/>
  <c r="H132" i="4"/>
  <c r="I132" i="4" s="1"/>
  <c r="D164" i="4" s="1" a="1"/>
  <c r="D164" i="4" s="1"/>
  <c r="G141" i="4"/>
  <c r="H141" i="4" s="1"/>
  <c r="I131" i="4"/>
  <c r="D187" i="4" s="1" a="1"/>
  <c r="D187" i="4" s="1"/>
  <c r="H79" i="4"/>
  <c r="I79" i="4" s="1"/>
  <c r="D93" i="4" s="1" a="1"/>
  <c r="D93" i="4" s="1"/>
  <c r="F93" i="4" s="1"/>
  <c r="I73" i="4"/>
  <c r="D90" i="4" s="1" a="1"/>
  <c r="D90" i="4" s="1"/>
  <c r="F90" i="4" s="1"/>
  <c r="G90" i="4" s="1"/>
  <c r="I287" i="4"/>
  <c r="D300" i="4" s="1" a="1"/>
  <c r="D300" i="4" s="1"/>
  <c r="F300" i="4" s="1"/>
  <c r="G300" i="4" s="1"/>
  <c r="G230" i="4"/>
  <c r="H414" i="4"/>
  <c r="I414" i="4" s="1"/>
  <c r="D469" i="4" s="1" a="1"/>
  <c r="D469" i="4" s="1"/>
  <c r="F469" i="4" s="1"/>
  <c r="G469" i="4" s="1"/>
  <c r="F57" i="4"/>
  <c r="G57" i="4"/>
  <c r="H57" i="4"/>
  <c r="G259" i="4"/>
  <c r="H259" i="4" s="1"/>
  <c r="I259" i="4" s="1"/>
  <c r="D348" i="4" s="1" a="1"/>
  <c r="D348" i="4" s="1"/>
  <c r="F348" i="4" s="1"/>
  <c r="G348" i="4" s="1"/>
  <c r="H199" i="4"/>
  <c r="I199" i="4" s="1"/>
  <c r="D205" i="4" s="1" a="1"/>
  <c r="D205" i="4" s="1"/>
  <c r="I130" i="4"/>
  <c r="D159" i="4" s="1" a="1"/>
  <c r="D159" i="4" s="1"/>
  <c r="I47" i="4"/>
  <c r="D50" i="4" s="1" a="1"/>
  <c r="D50" i="4" s="1"/>
  <c r="F50" i="4" s="1"/>
  <c r="G148" i="4"/>
  <c r="H135" i="4"/>
  <c r="I135" i="4" s="1"/>
  <c r="D177" i="4" s="1" a="1"/>
  <c r="D177" i="4" s="1"/>
  <c r="F177" i="4" s="1"/>
  <c r="F340" i="4"/>
  <c r="G340" i="4" s="1"/>
  <c r="F91" i="4"/>
  <c r="G91" i="4" s="1"/>
  <c r="F128" i="4"/>
  <c r="G128" i="4" s="1"/>
  <c r="H88" i="4"/>
  <c r="I88" i="4" s="1"/>
  <c r="D189" i="4" s="1" a="1"/>
  <c r="D189" i="4" s="1"/>
  <c r="F193" i="4"/>
  <c r="G193" i="4" s="1"/>
  <c r="I30" i="4"/>
  <c r="D49" i="4" s="1" a="1"/>
  <c r="D49" i="4" s="1"/>
  <c r="H206" i="4"/>
  <c r="I206" i="4" s="1"/>
  <c r="D208" i="4" s="1" a="1"/>
  <c r="D208" i="4" s="1"/>
  <c r="F108" i="4"/>
  <c r="G108" i="4" s="1"/>
  <c r="H108" i="4" s="1"/>
  <c r="I108" i="4" s="1"/>
  <c r="D154" i="4" s="1" a="1"/>
  <c r="D154" i="4" s="1"/>
  <c r="F179" i="4"/>
  <c r="H158" i="4"/>
  <c r="I158" i="4" s="1"/>
  <c r="D188" i="4" s="1" a="1"/>
  <c r="D188" i="4" s="1"/>
  <c r="F317" i="4"/>
  <c r="G317" i="4" s="1"/>
  <c r="H317" i="4" s="1"/>
  <c r="I110" i="4"/>
  <c r="D181" i="4" s="1" a="1"/>
  <c r="D181" i="4" s="1"/>
  <c r="H109" i="4"/>
  <c r="I109" i="4" s="1"/>
  <c r="D133" i="4" s="1" a="1"/>
  <c r="D133" i="4" s="1"/>
  <c r="I157" i="4"/>
  <c r="D282" i="4" s="1" a="1"/>
  <c r="D282" i="4" s="1"/>
  <c r="F222" i="4"/>
  <c r="F146" i="4"/>
  <c r="H114" i="4"/>
  <c r="I114" i="4" s="1"/>
  <c r="D153" i="4" s="1" a="1"/>
  <c r="D153" i="4" s="1"/>
  <c r="F74" i="4"/>
  <c r="G74" i="4" s="1"/>
  <c r="H74" i="4" s="1"/>
  <c r="H83" i="4"/>
  <c r="I83" i="4" s="1"/>
  <c r="D134" i="4" s="1" a="1"/>
  <c r="D134" i="4" s="1"/>
  <c r="F124" i="4"/>
  <c r="G124" i="4" s="1"/>
  <c r="F219" i="4"/>
  <c r="G219" i="4" s="1"/>
  <c r="H116" i="4"/>
  <c r="I116" i="4" s="1"/>
  <c r="D285" i="4" s="1" a="1"/>
  <c r="D285" i="4" s="1"/>
  <c r="H180" i="4"/>
  <c r="I180" i="4" s="1"/>
  <c r="D257" i="4" s="1" a="1"/>
  <c r="D257" i="4" s="1"/>
  <c r="F223" i="4"/>
  <c r="G223" i="4" s="1"/>
  <c r="F213" i="4"/>
  <c r="G213" i="4" s="1"/>
  <c r="H124" i="4" l="1"/>
  <c r="G93" i="4"/>
  <c r="H93" i="4" s="1"/>
  <c r="F187" i="4"/>
  <c r="F164" i="4"/>
  <c r="F41" i="4"/>
  <c r="G41" i="4"/>
  <c r="H41" i="4" s="1"/>
  <c r="I141" i="4"/>
  <c r="D167" i="4" s="1" a="1"/>
  <c r="D167" i="4" s="1"/>
  <c r="F167" i="4" s="1"/>
  <c r="G167" i="4" s="1"/>
  <c r="H230" i="4"/>
  <c r="I230" i="4" s="1"/>
  <c r="D277" i="4" s="1" a="1"/>
  <c r="D277" i="4" s="1"/>
  <c r="H213" i="4"/>
  <c r="I213" i="4" s="1"/>
  <c r="D214" i="4" s="1" a="1"/>
  <c r="D214" i="4" s="1"/>
  <c r="H235" i="4"/>
  <c r="I235" i="4" s="1"/>
  <c r="D341" i="4" s="1" a="1"/>
  <c r="D341" i="4" s="1"/>
  <c r="H300" i="4"/>
  <c r="I300" i="4" s="1"/>
  <c r="D308" i="4" s="1" a="1"/>
  <c r="D308" i="4" s="1"/>
  <c r="F308" i="4" s="1"/>
  <c r="G308" i="4" s="1"/>
  <c r="H308" i="4" s="1"/>
  <c r="I124" i="4"/>
  <c r="D162" i="4" s="1" a="1"/>
  <c r="D162" i="4" s="1"/>
  <c r="F162" i="4" s="1"/>
  <c r="G162" i="4" s="1"/>
  <c r="H91" i="4"/>
  <c r="I91" i="4" s="1"/>
  <c r="D122" i="4" s="1" a="1"/>
  <c r="D122" i="4" s="1"/>
  <c r="F122" i="4" s="1"/>
  <c r="G122" i="4" s="1"/>
  <c r="H340" i="4"/>
  <c r="I340" i="4" s="1"/>
  <c r="D359" i="4" s="1" a="1"/>
  <c r="D359" i="4" s="1"/>
  <c r="F359" i="4" s="1"/>
  <c r="G359" i="4" s="1"/>
  <c r="H359" i="4" s="1"/>
  <c r="H148" i="4"/>
  <c r="I148" i="4" s="1"/>
  <c r="D166" i="4" s="1" a="1"/>
  <c r="D166" i="4" s="1"/>
  <c r="F159" i="4"/>
  <c r="G159" i="4" s="1"/>
  <c r="H159" i="4" s="1"/>
  <c r="I159" i="4" s="1"/>
  <c r="D175" i="4" s="1" a="1"/>
  <c r="D175" i="4" s="1"/>
  <c r="G146" i="4"/>
  <c r="H146" i="4" s="1"/>
  <c r="G50" i="4"/>
  <c r="H50" i="4" s="1"/>
  <c r="H170" i="4"/>
  <c r="I170" i="4" s="1"/>
  <c r="D197" i="4" s="1" a="1"/>
  <c r="D197" i="4" s="1"/>
  <c r="F197" i="4" s="1"/>
  <c r="G177" i="4"/>
  <c r="I317" i="4"/>
  <c r="D334" i="4" s="1" a="1"/>
  <c r="D334" i="4" s="1"/>
  <c r="F334" i="4" s="1"/>
  <c r="H219" i="4"/>
  <c r="I219" i="4" s="1"/>
  <c r="D237" i="4" s="1" a="1"/>
  <c r="D237" i="4" s="1"/>
  <c r="I57" i="4"/>
  <c r="D61" i="4" s="1" a="1"/>
  <c r="D61" i="4" s="1"/>
  <c r="F61" i="4" s="1"/>
  <c r="G61" i="4" s="1"/>
  <c r="F208" i="4"/>
  <c r="G208" i="4" s="1"/>
  <c r="H208" i="4" s="1"/>
  <c r="I208" i="4" s="1"/>
  <c r="D270" i="4" s="1" a="1"/>
  <c r="D270" i="4" s="1"/>
  <c r="H128" i="4"/>
  <c r="I128" i="4" s="1"/>
  <c r="D149" i="4" s="1" a="1"/>
  <c r="D149" i="4" s="1"/>
  <c r="F153" i="4"/>
  <c r="G153" i="4" s="1"/>
  <c r="F154" i="4"/>
  <c r="F188" i="4"/>
  <c r="G188" i="4" s="1"/>
  <c r="H348" i="4"/>
  <c r="I348" i="4"/>
  <c r="D436" i="4" s="1" a="1"/>
  <c r="D436" i="4" s="1"/>
  <c r="H90" i="4"/>
  <c r="I90" i="4" s="1"/>
  <c r="D137" i="4" s="1" a="1"/>
  <c r="D137" i="4" s="1"/>
  <c r="F285" i="4"/>
  <c r="G285" i="4" s="1"/>
  <c r="F189" i="4"/>
  <c r="G189" i="4"/>
  <c r="I74" i="4"/>
  <c r="D84" i="4" s="1" a="1"/>
  <c r="D84" i="4" s="1"/>
  <c r="F257" i="4"/>
  <c r="F133" i="4"/>
  <c r="G133" i="4" s="1"/>
  <c r="F134" i="4"/>
  <c r="G134" i="4" s="1"/>
  <c r="H469" i="4"/>
  <c r="I469" i="4" s="1"/>
  <c r="D511" i="4" s="1" a="1"/>
  <c r="D511" i="4" s="1"/>
  <c r="F282" i="4"/>
  <c r="G282" i="4" s="1"/>
  <c r="F205" i="4"/>
  <c r="G205" i="4" s="1"/>
  <c r="F49" i="4"/>
  <c r="G49" i="4" s="1"/>
  <c r="H49" i="4" s="1"/>
  <c r="I49" i="4" s="1"/>
  <c r="D70" i="4" s="1" a="1"/>
  <c r="D70" i="4" s="1"/>
  <c r="H193" i="4"/>
  <c r="I193" i="4" s="1"/>
  <c r="D220" i="4" s="1" a="1"/>
  <c r="D220" i="4" s="1"/>
  <c r="G222" i="4"/>
  <c r="H222" i="4" s="1"/>
  <c r="I222" i="4" s="1"/>
  <c r="D312" i="4" s="1" a="1"/>
  <c r="D312" i="4" s="1"/>
  <c r="H186" i="4"/>
  <c r="I186" i="4" s="1"/>
  <c r="D231" i="4" s="1" a="1"/>
  <c r="D231" i="4" s="1"/>
  <c r="F181" i="4"/>
  <c r="G181" i="4" s="1"/>
  <c r="G179" i="4"/>
  <c r="H179" i="4" s="1"/>
  <c r="I179" i="4" s="1"/>
  <c r="D302" i="4" s="1" a="1"/>
  <c r="D302" i="4" s="1"/>
  <c r="H223" i="4"/>
  <c r="I223" i="4" s="1"/>
  <c r="D292" i="4" s="1" a="1"/>
  <c r="D292" i="4" s="1"/>
  <c r="I93" i="4" l="1"/>
  <c r="D106" i="4" s="1" a="1"/>
  <c r="D106" i="4" s="1"/>
  <c r="I41" i="4"/>
  <c r="D103" i="4" s="1" a="1"/>
  <c r="D103" i="4" s="1"/>
  <c r="F103" i="4" s="1"/>
  <c r="G164" i="4"/>
  <c r="H164" i="4" s="1"/>
  <c r="I164" i="4" s="1"/>
  <c r="D202" i="4" s="1" a="1"/>
  <c r="D202" i="4" s="1"/>
  <c r="G187" i="4"/>
  <c r="H187" i="4" s="1"/>
  <c r="I187" i="4" s="1"/>
  <c r="D252" i="4" s="1" a="1"/>
  <c r="D252" i="4" s="1"/>
  <c r="H167" i="4"/>
  <c r="I167" i="4" s="1"/>
  <c r="D171" i="4" s="1" a="1"/>
  <c r="D171" i="4" s="1"/>
  <c r="G334" i="4"/>
  <c r="H334" i="4" s="1"/>
  <c r="I334" i="4" s="1"/>
  <c r="D379" i="4" s="1" a="1"/>
  <c r="D379" i="4" s="1"/>
  <c r="F379" i="4" s="1"/>
  <c r="G379" i="4" s="1"/>
  <c r="H61" i="4"/>
  <c r="I61" i="4" s="1"/>
  <c r="D155" i="4" s="1" a="1"/>
  <c r="D155" i="4" s="1"/>
  <c r="F155" i="4" s="1"/>
  <c r="H134" i="4"/>
  <c r="I134" i="4" s="1"/>
  <c r="D182" i="4" s="1" a="1"/>
  <c r="D182" i="4" s="1"/>
  <c r="F182" i="4" s="1"/>
  <c r="F341" i="4"/>
  <c r="G341" i="4" s="1"/>
  <c r="H341" i="4" s="1"/>
  <c r="I341" i="4" s="1"/>
  <c r="D362" i="4" s="1" a="1"/>
  <c r="D362" i="4" s="1"/>
  <c r="F214" i="4"/>
  <c r="G214" i="4" s="1"/>
  <c r="F277" i="4"/>
  <c r="G277" i="4" s="1"/>
  <c r="H189" i="4"/>
  <c r="I189" i="4" s="1"/>
  <c r="D209" i="4" s="1" a="1"/>
  <c r="D209" i="4" s="1"/>
  <c r="F209" i="4" s="1"/>
  <c r="F106" i="4"/>
  <c r="G106" i="4" s="1"/>
  <c r="F175" i="4"/>
  <c r="G175" i="4" s="1"/>
  <c r="F166" i="4"/>
  <c r="G166" i="4" s="1"/>
  <c r="I50" i="4"/>
  <c r="D101" i="4" s="1" a="1"/>
  <c r="D101" i="4" s="1"/>
  <c r="F101" i="4" s="1"/>
  <c r="F237" i="4"/>
  <c r="G237" i="4" s="1"/>
  <c r="H177" i="4"/>
  <c r="I177" i="4" s="1"/>
  <c r="D296" i="4" s="1" a="1"/>
  <c r="D296" i="4" s="1"/>
  <c r="H205" i="4"/>
  <c r="I205" i="4" s="1"/>
  <c r="D221" i="4" s="1" a="1"/>
  <c r="D221" i="4" s="1"/>
  <c r="I146" i="4"/>
  <c r="D161" i="4" s="1" a="1"/>
  <c r="D161" i="4" s="1"/>
  <c r="G197" i="4"/>
  <c r="H197" i="4" s="1"/>
  <c r="I308" i="4"/>
  <c r="D322" i="4" s="1" a="1"/>
  <c r="D322" i="4" s="1"/>
  <c r="H133" i="4"/>
  <c r="I133" i="4" s="1"/>
  <c r="D201" i="4" s="1" a="1"/>
  <c r="D201" i="4" s="1"/>
  <c r="H153" i="4"/>
  <c r="I153" i="4" s="1"/>
  <c r="D183" i="4" s="1" a="1"/>
  <c r="D183" i="4" s="1"/>
  <c r="F70" i="4"/>
  <c r="G70" i="4" s="1"/>
  <c r="H70" i="4" s="1"/>
  <c r="F312" i="4"/>
  <c r="G312" i="4" s="1"/>
  <c r="F149" i="4"/>
  <c r="G149" i="4" s="1"/>
  <c r="F270" i="4"/>
  <c r="G270" i="4" s="1"/>
  <c r="F511" i="4"/>
  <c r="G511" i="4" s="1"/>
  <c r="H162" i="4"/>
  <c r="I162" i="4" s="1"/>
  <c r="D261" i="4" s="1" a="1"/>
  <c r="D261" i="4" s="1"/>
  <c r="H181" i="4"/>
  <c r="I181" i="4"/>
  <c r="D215" i="4" s="1" a="1"/>
  <c r="D215" i="4" s="1"/>
  <c r="F302" i="4"/>
  <c r="F231" i="4"/>
  <c r="G231" i="4" s="1"/>
  <c r="F84" i="4"/>
  <c r="G84" i="4" s="1"/>
  <c r="H122" i="4"/>
  <c r="I122" i="4" s="1"/>
  <c r="D207" i="4" s="1" a="1"/>
  <c r="D207" i="4" s="1"/>
  <c r="F220" i="4"/>
  <c r="G257" i="4"/>
  <c r="H188" i="4"/>
  <c r="I188" i="4" s="1"/>
  <c r="D288" i="4" s="1" a="1"/>
  <c r="D288" i="4" s="1"/>
  <c r="F137" i="4"/>
  <c r="G137" i="4" s="1"/>
  <c r="H137" i="4" s="1"/>
  <c r="I137" i="4" s="1"/>
  <c r="D139" i="4" s="1" a="1"/>
  <c r="D139" i="4" s="1"/>
  <c r="F292" i="4"/>
  <c r="G292" i="4" s="1"/>
  <c r="H292" i="4" s="1"/>
  <c r="I292" i="4" s="1"/>
  <c r="D316" i="4" s="1" a="1"/>
  <c r="D316" i="4" s="1"/>
  <c r="H282" i="4"/>
  <c r="I282" i="4" s="1"/>
  <c r="D293" i="4" s="1" a="1"/>
  <c r="D293" i="4" s="1"/>
  <c r="H285" i="4"/>
  <c r="I285" i="4" s="1"/>
  <c r="D286" i="4" s="1" a="1"/>
  <c r="D286" i="4" s="1"/>
  <c r="G154" i="4"/>
  <c r="H154" i="4" s="1"/>
  <c r="F436" i="4"/>
  <c r="G436" i="4" s="1"/>
  <c r="H436" i="4" s="1"/>
  <c r="I359" i="4"/>
  <c r="D383" i="4" s="1" a="1"/>
  <c r="D383" i="4" s="1"/>
  <c r="H175" i="4" l="1"/>
  <c r="I175" i="4" s="1"/>
  <c r="D217" i="4" s="1" a="1"/>
  <c r="D217" i="4" s="1"/>
  <c r="F217" i="4" s="1"/>
  <c r="H149" i="4"/>
  <c r="I149" i="4" s="1"/>
  <c r="D168" i="4" s="1" a="1"/>
  <c r="D168" i="4" s="1"/>
  <c r="F168" i="4" s="1"/>
  <c r="H277" i="4"/>
  <c r="I277" i="4" s="1"/>
  <c r="D438" i="4" s="1" a="1"/>
  <c r="D438" i="4" s="1"/>
  <c r="F438" i="4" s="1"/>
  <c r="G438" i="4" s="1"/>
  <c r="G103" i="4"/>
  <c r="H103" i="4" s="1"/>
  <c r="F252" i="4"/>
  <c r="G252" i="4" s="1"/>
  <c r="H252" i="4" s="1"/>
  <c r="I252" i="4" s="1"/>
  <c r="D255" i="4" s="1" a="1"/>
  <c r="D255" i="4" s="1"/>
  <c r="F202" i="4"/>
  <c r="G202" i="4" s="1"/>
  <c r="F171" i="4"/>
  <c r="G171" i="4" s="1"/>
  <c r="H166" i="4"/>
  <c r="I166" i="4" s="1"/>
  <c r="D244" i="4" s="1" a="1"/>
  <c r="D244" i="4" s="1"/>
  <c r="I197" i="4"/>
  <c r="D232" i="4" s="1" a="1"/>
  <c r="D232" i="4" s="1"/>
  <c r="F232" i="4" s="1"/>
  <c r="I70" i="4"/>
  <c r="D75" i="4" s="1" a="1"/>
  <c r="D75" i="4" s="1"/>
  <c r="F75" i="4" s="1"/>
  <c r="G75" i="4" s="1"/>
  <c r="F362" i="4"/>
  <c r="G362" i="4"/>
  <c r="H106" i="4"/>
  <c r="I106" i="4" s="1"/>
  <c r="D136" i="4" s="1" a="1"/>
  <c r="D136" i="4" s="1"/>
  <c r="H214" i="4"/>
  <c r="I214" i="4" s="1"/>
  <c r="D271" i="4" s="1" a="1"/>
  <c r="D271" i="4" s="1"/>
  <c r="F296" i="4"/>
  <c r="G296" i="4"/>
  <c r="H296" i="4" s="1"/>
  <c r="I296" i="4" s="1"/>
  <c r="D425" i="4" s="1" a="1"/>
  <c r="D425" i="4" s="1"/>
  <c r="F161" i="4"/>
  <c r="G161" i="4" s="1"/>
  <c r="H161" i="4" s="1"/>
  <c r="H312" i="4"/>
  <c r="I312" i="4" s="1"/>
  <c r="D450" i="4" s="1" a="1"/>
  <c r="D450" i="4" s="1"/>
  <c r="F450" i="4" s="1"/>
  <c r="G450" i="4" s="1"/>
  <c r="H511" i="4"/>
  <c r="I511" i="4" s="1"/>
  <c r="D537" i="4" s="1" a="1"/>
  <c r="D537" i="4" s="1"/>
  <c r="F537" i="4" s="1"/>
  <c r="H231" i="4"/>
  <c r="I231" i="4" s="1"/>
  <c r="D240" i="4" s="1" a="1"/>
  <c r="D240" i="4" s="1"/>
  <c r="F240" i="4" s="1"/>
  <c r="H237" i="4"/>
  <c r="I237" i="4" s="1"/>
  <c r="D245" i="4" s="1" a="1"/>
  <c r="D245" i="4" s="1"/>
  <c r="F286" i="4"/>
  <c r="G286" i="4" s="1"/>
  <c r="H286" i="4" s="1"/>
  <c r="H84" i="4"/>
  <c r="I84" i="4" s="1"/>
  <c r="D98" i="4" s="1" a="1"/>
  <c r="D98" i="4" s="1"/>
  <c r="F139" i="4"/>
  <c r="F261" i="4"/>
  <c r="G261" i="4"/>
  <c r="H261" i="4" s="1"/>
  <c r="F288" i="4"/>
  <c r="G288" i="4" s="1"/>
  <c r="H288" i="4" s="1"/>
  <c r="F183" i="4"/>
  <c r="F207" i="4"/>
  <c r="G207" i="4" s="1"/>
  <c r="F215" i="4"/>
  <c r="G215" i="4" s="1"/>
  <c r="F201" i="4"/>
  <c r="G201" i="4" s="1"/>
  <c r="G220" i="4"/>
  <c r="H220" i="4" s="1"/>
  <c r="I220" i="4" s="1"/>
  <c r="D251" i="4" s="1" a="1"/>
  <c r="D251" i="4" s="1"/>
  <c r="G182" i="4"/>
  <c r="F293" i="4"/>
  <c r="G293" i="4" s="1"/>
  <c r="G101" i="4"/>
  <c r="H101" i="4" s="1"/>
  <c r="F383" i="4"/>
  <c r="G383" i="4" s="1"/>
  <c r="I154" i="4"/>
  <c r="D178" i="4" s="1" a="1"/>
  <c r="D178" i="4" s="1"/>
  <c r="G155" i="4"/>
  <c r="H155" i="4" s="1"/>
  <c r="H257" i="4"/>
  <c r="I257" i="4" s="1"/>
  <c r="D266" i="4" s="1" a="1"/>
  <c r="D266" i="4" s="1"/>
  <c r="F221" i="4"/>
  <c r="H270" i="4"/>
  <c r="I270" i="4" s="1"/>
  <c r="D314" i="4" s="1" a="1"/>
  <c r="D314" i="4" s="1"/>
  <c r="H379" i="4"/>
  <c r="I379" i="4" s="1"/>
  <c r="D380" i="4" s="1" a="1"/>
  <c r="D380" i="4" s="1"/>
  <c r="G209" i="4"/>
  <c r="H209" i="4" s="1"/>
  <c r="I209" i="4" s="1"/>
  <c r="D258" i="4" s="1" a="1"/>
  <c r="D258" i="4" s="1"/>
  <c r="F316" i="4"/>
  <c r="F322" i="4"/>
  <c r="I436" i="4"/>
  <c r="D477" i="4" s="1" a="1"/>
  <c r="D477" i="4" s="1"/>
  <c r="G302" i="4"/>
  <c r="H302" i="4" s="1"/>
  <c r="I302" i="4" s="1"/>
  <c r="D306" i="4" s="1" a="1"/>
  <c r="D306" i="4" s="1"/>
  <c r="G217" i="4" l="1"/>
  <c r="H217" i="4" s="1"/>
  <c r="H171" i="4"/>
  <c r="I171" i="4" s="1"/>
  <c r="D238" i="4" s="1" a="1"/>
  <c r="D238" i="4" s="1"/>
  <c r="H202" i="4"/>
  <c r="I202" i="4" s="1"/>
  <c r="D299" i="4" s="1" a="1"/>
  <c r="D299" i="4" s="1"/>
  <c r="H362" i="4"/>
  <c r="I362" i="4" s="1"/>
  <c r="D442" i="4" s="1" a="1"/>
  <c r="D442" i="4" s="1"/>
  <c r="H207" i="4"/>
  <c r="I103" i="4"/>
  <c r="D140" i="4" s="1" a="1"/>
  <c r="D140" i="4" s="1"/>
  <c r="F140" i="4" s="1"/>
  <c r="G140" i="4" s="1"/>
  <c r="H140" i="4" s="1"/>
  <c r="I140" i="4" s="1"/>
  <c r="D192" i="4" s="1" a="1"/>
  <c r="D192" i="4" s="1"/>
  <c r="F192" i="4" s="1"/>
  <c r="F244" i="4"/>
  <c r="G244" i="4" s="1"/>
  <c r="H244" i="4" s="1"/>
  <c r="I244" i="4" s="1"/>
  <c r="D284" i="4" s="1" a="1"/>
  <c r="D284" i="4" s="1"/>
  <c r="F284" i="4" s="1"/>
  <c r="F255" i="4"/>
  <c r="G255" i="4" s="1"/>
  <c r="H255" i="4" s="1"/>
  <c r="I255" i="4" s="1"/>
  <c r="D262" i="4" s="1" a="1"/>
  <c r="D262" i="4" s="1"/>
  <c r="F262" i="4" s="1"/>
  <c r="G232" i="4"/>
  <c r="H232" i="4" s="1"/>
  <c r="H438" i="4"/>
  <c r="I438" i="4" s="1"/>
  <c r="D492" i="4" s="1" a="1"/>
  <c r="D492" i="4" s="1"/>
  <c r="F492" i="4" s="1"/>
  <c r="G492" i="4" s="1"/>
  <c r="I207" i="4"/>
  <c r="D241" i="4" s="1" a="1"/>
  <c r="D241" i="4" s="1"/>
  <c r="F241" i="4" s="1"/>
  <c r="F271" i="4"/>
  <c r="G271" i="4" s="1"/>
  <c r="H271" i="4" s="1"/>
  <c r="F136" i="4"/>
  <c r="G136" i="4"/>
  <c r="F425" i="4"/>
  <c r="G425" i="4" s="1"/>
  <c r="H425" i="4" s="1"/>
  <c r="F245" i="4"/>
  <c r="G245" i="4" s="1"/>
  <c r="H245" i="4" s="1"/>
  <c r="I245" i="4" s="1"/>
  <c r="D516" i="4" s="1" a="1"/>
  <c r="D516" i="4" s="1"/>
  <c r="G221" i="4"/>
  <c r="I288" i="4"/>
  <c r="D294" i="4" s="1" a="1"/>
  <c r="D294" i="4" s="1"/>
  <c r="F294" i="4" s="1"/>
  <c r="G168" i="4"/>
  <c r="H168" i="4" s="1"/>
  <c r="I161" i="4"/>
  <c r="D173" i="4" s="1" a="1"/>
  <c r="D173" i="4" s="1"/>
  <c r="F173" i="4" s="1"/>
  <c r="G173" i="4" s="1"/>
  <c r="I101" i="4"/>
  <c r="D104" i="4" s="1" a="1"/>
  <c r="D104" i="4" s="1"/>
  <c r="F104" i="4" s="1"/>
  <c r="G104" i="4" s="1"/>
  <c r="H215" i="4"/>
  <c r="I215" i="4" s="1"/>
  <c r="D248" i="4" s="1" a="1"/>
  <c r="D248" i="4" s="1"/>
  <c r="F248" i="4" s="1"/>
  <c r="H450" i="4"/>
  <c r="I450" i="4" s="1"/>
  <c r="D490" i="4" s="1" a="1"/>
  <c r="D490" i="4" s="1"/>
  <c r="F306" i="4"/>
  <c r="G306" i="4" s="1"/>
  <c r="F314" i="4"/>
  <c r="G314" i="4" s="1"/>
  <c r="F266" i="4"/>
  <c r="G266" i="4" s="1"/>
  <c r="F251" i="4"/>
  <c r="G251" i="4" s="1"/>
  <c r="F258" i="4"/>
  <c r="G258" i="4" s="1"/>
  <c r="F98" i="4"/>
  <c r="H293" i="4"/>
  <c r="I293" i="4"/>
  <c r="D355" i="4" s="1" a="1"/>
  <c r="D355" i="4" s="1"/>
  <c r="F178" i="4"/>
  <c r="H383" i="4"/>
  <c r="I383" i="4" s="1"/>
  <c r="D420" i="4" s="1" a="1"/>
  <c r="D420" i="4" s="1"/>
  <c r="H182" i="4"/>
  <c r="I182" i="4" s="1"/>
  <c r="D212" i="4" s="1" a="1"/>
  <c r="D212" i="4" s="1"/>
  <c r="I286" i="4"/>
  <c r="D543" i="4" s="1" a="1"/>
  <c r="D543" i="4" s="1"/>
  <c r="I261" i="4"/>
  <c r="D280" i="4" s="1" a="1"/>
  <c r="D280" i="4" s="1"/>
  <c r="G316" i="4"/>
  <c r="H316" i="4" s="1"/>
  <c r="H75" i="4"/>
  <c r="I75" i="4" s="1"/>
  <c r="D115" i="4" s="1" a="1"/>
  <c r="D115" i="4" s="1"/>
  <c r="I155" i="4"/>
  <c r="D273" i="4" s="1" a="1"/>
  <c r="D273" i="4" s="1"/>
  <c r="F442" i="4"/>
  <c r="G442" i="4" s="1"/>
  <c r="F380" i="4"/>
  <c r="G139" i="4"/>
  <c r="H139" i="4" s="1"/>
  <c r="I139" i="4" s="1"/>
  <c r="D297" i="4" s="1" a="1"/>
  <c r="D297" i="4" s="1"/>
  <c r="F477" i="4"/>
  <c r="G477" i="4" s="1"/>
  <c r="G537" i="4"/>
  <c r="H537" i="4" s="1"/>
  <c r="G240" i="4"/>
  <c r="H240" i="4" s="1"/>
  <c r="I240" i="4" s="1"/>
  <c r="D276" i="4" s="1" a="1"/>
  <c r="D276" i="4" s="1"/>
  <c r="G322" i="4"/>
  <c r="H322" i="4" s="1"/>
  <c r="G183" i="4"/>
  <c r="H201" i="4"/>
  <c r="I201" i="4" s="1"/>
  <c r="D218" i="4" s="1" a="1"/>
  <c r="D218" i="4" s="1"/>
  <c r="I217" i="4"/>
  <c r="D283" i="4" s="1" a="1"/>
  <c r="D283" i="4" s="1"/>
  <c r="H136" i="4" l="1"/>
  <c r="I136" i="4" s="1"/>
  <c r="D160" i="4" s="1" a="1"/>
  <c r="D160" i="4" s="1"/>
  <c r="F160" i="4" s="1"/>
  <c r="G160" i="4" s="1"/>
  <c r="F238" i="4"/>
  <c r="G238" i="4" s="1"/>
  <c r="H238" i="4" s="1"/>
  <c r="I238" i="4" s="1"/>
  <c r="D243" i="4" s="1" a="1"/>
  <c r="D243" i="4" s="1"/>
  <c r="F299" i="4"/>
  <c r="G299" i="4" s="1"/>
  <c r="H299" i="4" s="1"/>
  <c r="I299" i="4" s="1"/>
  <c r="D313" i="4" s="1" a="1"/>
  <c r="D313" i="4" s="1"/>
  <c r="G380" i="4"/>
  <c r="H380" i="4" s="1"/>
  <c r="I380" i="4" s="1"/>
  <c r="D512" i="4" s="1" a="1"/>
  <c r="D512" i="4" s="1"/>
  <c r="F512" i="4" s="1"/>
  <c r="G192" i="4"/>
  <c r="H192" i="4" s="1"/>
  <c r="I192" i="4" s="1"/>
  <c r="D298" i="4" s="1" a="1"/>
  <c r="D298" i="4" s="1"/>
  <c r="F298" i="4" s="1"/>
  <c r="G298" i="4" s="1"/>
  <c r="H298" i="4" s="1"/>
  <c r="I298" i="4" s="1"/>
  <c r="D347" i="4" s="1" a="1"/>
  <c r="D347" i="4" s="1"/>
  <c r="I271" i="4"/>
  <c r="D274" i="4" s="1" a="1"/>
  <c r="D274" i="4" s="1"/>
  <c r="F274" i="4" s="1"/>
  <c r="G274" i="4" s="1"/>
  <c r="H274" i="4" s="1"/>
  <c r="I274" i="4" s="1"/>
  <c r="D337" i="4" s="1" a="1"/>
  <c r="D337" i="4" s="1"/>
  <c r="I232" i="4"/>
  <c r="D349" i="4" s="1" a="1"/>
  <c r="D349" i="4" s="1"/>
  <c r="F349" i="4" s="1"/>
  <c r="G349" i="4" s="1"/>
  <c r="G284" i="4"/>
  <c r="G98" i="4"/>
  <c r="G262" i="4"/>
  <c r="H262" i="4" s="1"/>
  <c r="I262" i="4" s="1"/>
  <c r="D332" i="4" s="1" a="1"/>
  <c r="D332" i="4" s="1"/>
  <c r="F332" i="4" s="1"/>
  <c r="H314" i="4"/>
  <c r="I314" i="4" s="1"/>
  <c r="D368" i="4" s="1" a="1"/>
  <c r="D368" i="4" s="1"/>
  <c r="I322" i="4"/>
  <c r="D361" i="4" s="1" a="1"/>
  <c r="D361" i="4" s="1"/>
  <c r="F361" i="4" s="1"/>
  <c r="I168" i="4"/>
  <c r="D228" i="4" s="1" a="1"/>
  <c r="D228" i="4" s="1"/>
  <c r="H284" i="4"/>
  <c r="I284" i="4" s="1"/>
  <c r="D311" i="4" s="1" a="1"/>
  <c r="D311" i="4" s="1"/>
  <c r="H173" i="4"/>
  <c r="I173" i="4" s="1"/>
  <c r="D367" i="4" s="1" a="1"/>
  <c r="D367" i="4" s="1"/>
  <c r="F516" i="4"/>
  <c r="G516" i="4" s="1"/>
  <c r="G248" i="4"/>
  <c r="H248" i="4" s="1"/>
  <c r="I248" i="4" s="1"/>
  <c r="D249" i="4" s="1" a="1"/>
  <c r="D249" i="4" s="1"/>
  <c r="H221" i="4"/>
  <c r="I221" i="4" s="1"/>
  <c r="D281" i="4" s="1" a="1"/>
  <c r="D281" i="4" s="1"/>
  <c r="I425" i="4"/>
  <c r="D426" i="4" s="1" a="1"/>
  <c r="D426" i="4" s="1"/>
  <c r="H266" i="4"/>
  <c r="I266" i="4" s="1"/>
  <c r="D354" i="4" s="1" a="1"/>
  <c r="D354" i="4" s="1"/>
  <c r="F218" i="4"/>
  <c r="G218" i="4" s="1"/>
  <c r="H258" i="4"/>
  <c r="I258" i="4" s="1"/>
  <c r="D268" i="4" s="1" a="1"/>
  <c r="D268" i="4" s="1"/>
  <c r="F212" i="4"/>
  <c r="G212" i="4" s="1"/>
  <c r="H212" i="4" s="1"/>
  <c r="F297" i="4"/>
  <c r="G297" i="4" s="1"/>
  <c r="F276" i="4"/>
  <c r="G276" i="4" s="1"/>
  <c r="H276" i="4" s="1"/>
  <c r="F420" i="4"/>
  <c r="G294" i="4"/>
  <c r="H294" i="4" s="1"/>
  <c r="I294" i="4" s="1"/>
  <c r="D326" i="4" s="1" a="1"/>
  <c r="D326" i="4" s="1"/>
  <c r="F355" i="4"/>
  <c r="G355" i="4" s="1"/>
  <c r="H251" i="4"/>
  <c r="I251" i="4" s="1"/>
  <c r="D260" i="4" s="1" a="1"/>
  <c r="D260" i="4" s="1"/>
  <c r="H306" i="4"/>
  <c r="I306" i="4" s="1"/>
  <c r="D353" i="4" s="1" a="1"/>
  <c r="D353" i="4" s="1"/>
  <c r="F273" i="4"/>
  <c r="G273" i="4" s="1"/>
  <c r="G241" i="4"/>
  <c r="H241" i="4" s="1"/>
  <c r="I241" i="4" s="1"/>
  <c r="D267" i="4" s="1" a="1"/>
  <c r="D267" i="4" s="1"/>
  <c r="F543" i="4"/>
  <c r="G543" i="4" s="1"/>
  <c r="G178" i="4"/>
  <c r="H178" i="4" s="1"/>
  <c r="H442" i="4"/>
  <c r="I442" i="4" s="1"/>
  <c r="D447" i="4" s="1" a="1"/>
  <c r="D447" i="4" s="1"/>
  <c r="F115" i="4"/>
  <c r="F280" i="4"/>
  <c r="H477" i="4"/>
  <c r="I477" i="4" s="1"/>
  <c r="D503" i="4" s="1" a="1"/>
  <c r="D503" i="4" s="1"/>
  <c r="H492" i="4"/>
  <c r="I492" i="4" s="1"/>
  <c r="D494" i="4" s="1" a="1"/>
  <c r="D494" i="4" s="1"/>
  <c r="H183" i="4"/>
  <c r="I183" i="4" s="1"/>
  <c r="D185" i="4" s="1" a="1"/>
  <c r="D185" i="4" s="1"/>
  <c r="H104" i="4"/>
  <c r="I104" i="4" s="1"/>
  <c r="D174" i="4" s="1" a="1"/>
  <c r="D174" i="4" s="1"/>
  <c r="I316" i="4"/>
  <c r="D384" i="4" s="1" a="1"/>
  <c r="D384" i="4" s="1"/>
  <c r="I537" i="4"/>
  <c r="D551" i="4" s="1" a="1"/>
  <c r="D551" i="4" s="1"/>
  <c r="F490" i="4"/>
  <c r="G490" i="4" s="1"/>
  <c r="F283" i="4"/>
  <c r="G283" i="4"/>
  <c r="H160" i="4" l="1"/>
  <c r="I160" i="4" s="1"/>
  <c r="D216" i="4" s="1" a="1"/>
  <c r="D216" i="4" s="1"/>
  <c r="H355" i="4"/>
  <c r="I355" i="4" s="1"/>
  <c r="D357" i="4" s="1" a="1"/>
  <c r="D357" i="4" s="1"/>
  <c r="F357" i="4" s="1"/>
  <c r="G357" i="4" s="1"/>
  <c r="H357" i="4" s="1"/>
  <c r="F243" i="4"/>
  <c r="G243" i="4" s="1"/>
  <c r="H349" i="4"/>
  <c r="I349" i="4" s="1"/>
  <c r="D373" i="4" s="1" a="1"/>
  <c r="D373" i="4" s="1"/>
  <c r="F373" i="4" s="1"/>
  <c r="G373" i="4" s="1"/>
  <c r="H283" i="4"/>
  <c r="I283" i="4" s="1"/>
  <c r="D433" i="4" s="1" a="1"/>
  <c r="D433" i="4" s="1"/>
  <c r="F433" i="4" s="1"/>
  <c r="G433" i="4" s="1"/>
  <c r="H433" i="4" s="1"/>
  <c r="I433" i="4" s="1"/>
  <c r="D439" i="4" s="1" a="1"/>
  <c r="D439" i="4" s="1"/>
  <c r="F313" i="4"/>
  <c r="G313" i="4" s="1"/>
  <c r="H313" i="4" s="1"/>
  <c r="I313" i="4" s="1"/>
  <c r="D328" i="4" s="1" a="1"/>
  <c r="D328" i="4" s="1"/>
  <c r="F328" i="4" s="1"/>
  <c r="G328" i="4" s="1"/>
  <c r="G512" i="4"/>
  <c r="H516" i="4"/>
  <c r="I516" i="4" s="1"/>
  <c r="D534" i="4" s="1" a="1"/>
  <c r="D534" i="4" s="1"/>
  <c r="F367" i="4"/>
  <c r="G367" i="4" s="1"/>
  <c r="H98" i="4"/>
  <c r="I98" i="4" s="1"/>
  <c r="D120" i="4" s="1" a="1"/>
  <c r="D120" i="4" s="1"/>
  <c r="G361" i="4"/>
  <c r="H361" i="4" s="1"/>
  <c r="I361" i="4" s="1"/>
  <c r="D364" i="4" s="1" a="1"/>
  <c r="D364" i="4" s="1"/>
  <c r="H512" i="4"/>
  <c r="F281" i="4"/>
  <c r="G281" i="4" s="1"/>
  <c r="H281" i="4" s="1"/>
  <c r="I281" i="4" s="1"/>
  <c r="D324" i="4" s="1" a="1"/>
  <c r="D324" i="4" s="1"/>
  <c r="F249" i="4"/>
  <c r="G249" i="4"/>
  <c r="G332" i="4"/>
  <c r="G420" i="4"/>
  <c r="I178" i="4"/>
  <c r="D195" i="4" s="1" a="1"/>
  <c r="D195" i="4" s="1"/>
  <c r="F195" i="4" s="1"/>
  <c r="G195" i="4" s="1"/>
  <c r="H115" i="4"/>
  <c r="I115" i="4" s="1"/>
  <c r="D198" i="4" s="1" a="1"/>
  <c r="D198" i="4" s="1"/>
  <c r="I512" i="4"/>
  <c r="D749" i="4" s="1" a="1"/>
  <c r="D749" i="4" s="1"/>
  <c r="F749" i="4" s="1"/>
  <c r="F426" i="4"/>
  <c r="G426" i="4" s="1"/>
  <c r="H490" i="4"/>
  <c r="I490" i="4" s="1"/>
  <c r="D499" i="4" s="1" a="1"/>
  <c r="D499" i="4" s="1"/>
  <c r="F311" i="4"/>
  <c r="G311" i="4" s="1"/>
  <c r="H311" i="4" s="1"/>
  <c r="F228" i="4"/>
  <c r="G228" i="4"/>
  <c r="F347" i="4"/>
  <c r="G347" i="4" s="1"/>
  <c r="G115" i="4"/>
  <c r="F185" i="4"/>
  <c r="G185" i="4" s="1"/>
  <c r="H185" i="4" s="1"/>
  <c r="I185" i="4" s="1"/>
  <c r="D190" i="4" s="1" a="1"/>
  <c r="D190" i="4" s="1"/>
  <c r="F503" i="4"/>
  <c r="G503" i="4" s="1"/>
  <c r="H503" i="4" s="1"/>
  <c r="F267" i="4"/>
  <c r="G267" i="4" s="1"/>
  <c r="F494" i="4"/>
  <c r="G494" i="4" s="1"/>
  <c r="F268" i="4"/>
  <c r="G268" i="4" s="1"/>
  <c r="H268" i="4" s="1"/>
  <c r="I268" i="4" s="1"/>
  <c r="D291" i="4" s="1" a="1"/>
  <c r="D291" i="4" s="1"/>
  <c r="I276" i="4"/>
  <c r="D395" i="4" s="1" a="1"/>
  <c r="D395" i="4" s="1"/>
  <c r="F354" i="4"/>
  <c r="G354" i="4" s="1"/>
  <c r="H354" i="4" s="1"/>
  <c r="F260" i="4"/>
  <c r="G260" i="4" s="1"/>
  <c r="F353" i="4"/>
  <c r="G353" i="4" s="1"/>
  <c r="F447" i="4"/>
  <c r="F174" i="4"/>
  <c r="G174" i="4" s="1"/>
  <c r="F326" i="4"/>
  <c r="G326" i="4" s="1"/>
  <c r="H326" i="4" s="1"/>
  <c r="H297" i="4"/>
  <c r="I297" i="4" s="1"/>
  <c r="D345" i="4" s="1" a="1"/>
  <c r="D345" i="4" s="1"/>
  <c r="F384" i="4"/>
  <c r="G384" i="4" s="1"/>
  <c r="H218" i="4"/>
  <c r="I218" i="4" s="1"/>
  <c r="D309" i="4" s="1" a="1"/>
  <c r="D309" i="4" s="1"/>
  <c r="F368" i="4"/>
  <c r="G368" i="4" s="1"/>
  <c r="I212" i="4"/>
  <c r="D250" i="4" s="1" a="1"/>
  <c r="D250" i="4" s="1"/>
  <c r="F551" i="4"/>
  <c r="F216" i="4"/>
  <c r="G216" i="4" s="1"/>
  <c r="G280" i="4"/>
  <c r="H280" i="4" s="1"/>
  <c r="I280" i="4" s="1"/>
  <c r="D319" i="4" s="1" a="1"/>
  <c r="D319" i="4" s="1"/>
  <c r="F337" i="4"/>
  <c r="G337" i="4" s="1"/>
  <c r="H273" i="4"/>
  <c r="I273" i="4" s="1"/>
  <c r="D303" i="4" s="1" a="1"/>
  <c r="D303" i="4" s="1"/>
  <c r="H543" i="4"/>
  <c r="I543" i="4" s="1"/>
  <c r="D616" i="4" s="1" a="1"/>
  <c r="D616" i="4" s="1"/>
  <c r="H249" i="4" l="1"/>
  <c r="I249" i="4" s="1"/>
  <c r="D289" i="4" s="1" a="1"/>
  <c r="D289" i="4" s="1"/>
  <c r="F289" i="4" s="1"/>
  <c r="G289" i="4" s="1"/>
  <c r="H243" i="4"/>
  <c r="I243" i="4" s="1"/>
  <c r="D301" i="4" s="1" a="1"/>
  <c r="D301" i="4" s="1"/>
  <c r="F301" i="4" s="1"/>
  <c r="G301" i="4" s="1"/>
  <c r="H328" i="4"/>
  <c r="I328" i="4" s="1"/>
  <c r="D410" i="4" s="1" a="1"/>
  <c r="D410" i="4" s="1"/>
  <c r="F410" i="4" s="1"/>
  <c r="F120" i="4"/>
  <c r="F534" i="4"/>
  <c r="G534" i="4" s="1"/>
  <c r="H534" i="4" s="1"/>
  <c r="I534" i="4" s="1"/>
  <c r="D541" i="4" s="1" a="1"/>
  <c r="D541" i="4" s="1"/>
  <c r="F541" i="4" s="1"/>
  <c r="G541" i="4" s="1"/>
  <c r="H367" i="4"/>
  <c r="I367" i="4" s="1"/>
  <c r="D397" i="4" s="1" a="1"/>
  <c r="D397" i="4" s="1"/>
  <c r="I311" i="4"/>
  <c r="D321" i="4" s="1" a="1"/>
  <c r="D321" i="4" s="1"/>
  <c r="F321" i="4" s="1"/>
  <c r="G321" i="4" s="1"/>
  <c r="H426" i="4"/>
  <c r="I426" i="4" s="1"/>
  <c r="D452" i="4" s="1" a="1"/>
  <c r="D452" i="4" s="1"/>
  <c r="I326" i="4"/>
  <c r="D408" i="4" s="1" a="1"/>
  <c r="D408" i="4" s="1"/>
  <c r="G749" i="4"/>
  <c r="H332" i="4"/>
  <c r="I332" i="4" s="1"/>
  <c r="D336" i="4" s="1" a="1"/>
  <c r="D336" i="4" s="1"/>
  <c r="H420" i="4"/>
  <c r="I420" i="4" s="1"/>
  <c r="D485" i="4" s="1" a="1"/>
  <c r="D485" i="4" s="1"/>
  <c r="H347" i="4"/>
  <c r="I347" i="4" s="1"/>
  <c r="D369" i="4" s="1" a="1"/>
  <c r="D369" i="4" s="1"/>
  <c r="H267" i="4"/>
  <c r="I267" i="4" s="1"/>
  <c r="D338" i="4" s="1" a="1"/>
  <c r="D338" i="4" s="1"/>
  <c r="F338" i="4" s="1"/>
  <c r="G338" i="4" s="1"/>
  <c r="H228" i="4"/>
  <c r="I228" i="4" s="1"/>
  <c r="D333" i="4" s="1" a="1"/>
  <c r="D333" i="4" s="1"/>
  <c r="G551" i="4"/>
  <c r="H551" i="4" s="1"/>
  <c r="I551" i="4" s="1"/>
  <c r="D694" i="4" s="1" a="1"/>
  <c r="D694" i="4" s="1"/>
  <c r="F303" i="4"/>
  <c r="H216" i="4"/>
  <c r="I216" i="4" s="1"/>
  <c r="D339" i="4" s="1" a="1"/>
  <c r="D339" i="4" s="1"/>
  <c r="F364" i="4"/>
  <c r="G364" i="4" s="1"/>
  <c r="F319" i="4"/>
  <c r="G319" i="4" s="1"/>
  <c r="F324" i="4"/>
  <c r="G324" i="4" s="1"/>
  <c r="F345" i="4"/>
  <c r="F616" i="4"/>
  <c r="G616" i="4" s="1"/>
  <c r="F190" i="4"/>
  <c r="G190" i="4" s="1"/>
  <c r="F309" i="4"/>
  <c r="G309" i="4" s="1"/>
  <c r="H384" i="4"/>
  <c r="I384" i="4" s="1"/>
  <c r="D415" i="4" s="1" a="1"/>
  <c r="D415" i="4" s="1"/>
  <c r="I354" i="4"/>
  <c r="D366" i="4" s="1" a="1"/>
  <c r="D366" i="4" s="1"/>
  <c r="H337" i="4"/>
  <c r="I337" i="4" s="1"/>
  <c r="D376" i="4" s="1" a="1"/>
  <c r="D376" i="4" s="1"/>
  <c r="H373" i="4"/>
  <c r="I373" i="4" s="1"/>
  <c r="D394" i="4" s="1" a="1"/>
  <c r="D394" i="4" s="1"/>
  <c r="H195" i="4"/>
  <c r="I195" i="4" s="1"/>
  <c r="D211" i="4" s="1" a="1"/>
  <c r="D211" i="4" s="1"/>
  <c r="I357" i="4"/>
  <c r="D371" i="4" s="1" a="1"/>
  <c r="D371" i="4" s="1"/>
  <c r="H174" i="4"/>
  <c r="I174" i="4" s="1"/>
  <c r="D242" i="4" s="1" a="1"/>
  <c r="D242" i="4" s="1"/>
  <c r="F291" i="4"/>
  <c r="F395" i="4"/>
  <c r="G395" i="4" s="1"/>
  <c r="H353" i="4"/>
  <c r="I353" i="4" s="1"/>
  <c r="D387" i="4" s="1" a="1"/>
  <c r="D387" i="4" s="1"/>
  <c r="G447" i="4"/>
  <c r="H447" i="4" s="1"/>
  <c r="I447" i="4" s="1"/>
  <c r="D544" i="4" s="1" a="1"/>
  <c r="D544" i="4" s="1"/>
  <c r="F198" i="4"/>
  <c r="G198" i="4" s="1"/>
  <c r="H198" i="4" s="1"/>
  <c r="F439" i="4"/>
  <c r="G439" i="4" s="1"/>
  <c r="F250" i="4"/>
  <c r="G250" i="4"/>
  <c r="H289" i="4"/>
  <c r="I289" i="4" s="1"/>
  <c r="D323" i="4" s="1" a="1"/>
  <c r="D323" i="4" s="1"/>
  <c r="H260" i="4"/>
  <c r="I260" i="4" s="1"/>
  <c r="D315" i="4" s="1" a="1"/>
  <c r="D315" i="4" s="1"/>
  <c r="I503" i="4"/>
  <c r="D670" i="4" s="1" a="1"/>
  <c r="D670" i="4" s="1"/>
  <c r="H368" i="4"/>
  <c r="I368" i="4" s="1"/>
  <c r="D567" i="4" s="1" a="1"/>
  <c r="D567" i="4" s="1"/>
  <c r="H494" i="4"/>
  <c r="I494" i="4" s="1"/>
  <c r="D500" i="4" s="1" a="1"/>
  <c r="D500" i="4" s="1"/>
  <c r="F499" i="4"/>
  <c r="G499" i="4" s="1"/>
  <c r="H301" i="4" l="1"/>
  <c r="I301" i="4" s="1"/>
  <c r="D411" i="4" s="1" a="1"/>
  <c r="D411" i="4" s="1"/>
  <c r="F411" i="4" s="1"/>
  <c r="G410" i="4"/>
  <c r="H410" i="4" s="1"/>
  <c r="F397" i="4"/>
  <c r="G397" i="4" s="1"/>
  <c r="F408" i="4"/>
  <c r="G408" i="4" s="1"/>
  <c r="H324" i="4"/>
  <c r="I324" i="4" s="1"/>
  <c r="D390" i="4" s="1" a="1"/>
  <c r="D390" i="4" s="1"/>
  <c r="F390" i="4" s="1"/>
  <c r="G120" i="4"/>
  <c r="H120" i="4" s="1"/>
  <c r="F485" i="4"/>
  <c r="G485" i="4" s="1"/>
  <c r="H485" i="4" s="1"/>
  <c r="I485" i="4" s="1"/>
  <c r="D584" i="4" s="1" a="1"/>
  <c r="D584" i="4" s="1"/>
  <c r="F336" i="4"/>
  <c r="G336" i="4" s="1"/>
  <c r="H336" i="4" s="1"/>
  <c r="I336" i="4" s="1"/>
  <c r="D389" i="4" s="1" a="1"/>
  <c r="D389" i="4" s="1"/>
  <c r="H616" i="4"/>
  <c r="I616" i="4" s="1"/>
  <c r="D622" i="4" s="1" a="1"/>
  <c r="D622" i="4" s="1"/>
  <c r="F369" i="4"/>
  <c r="G369" i="4" s="1"/>
  <c r="H369" i="4" s="1"/>
  <c r="H541" i="4"/>
  <c r="I541" i="4" s="1"/>
  <c r="D580" i="4" s="1" a="1"/>
  <c r="D580" i="4" s="1"/>
  <c r="F580" i="4" s="1"/>
  <c r="G580" i="4" s="1"/>
  <c r="F452" i="4"/>
  <c r="G452" i="4" s="1"/>
  <c r="F333" i="4"/>
  <c r="G333" i="4" s="1"/>
  <c r="H749" i="4"/>
  <c r="I749" i="4" s="1"/>
  <c r="D788" i="4" s="1" a="1"/>
  <c r="D788" i="4" s="1"/>
  <c r="F788" i="4" s="1"/>
  <c r="G788" i="4" s="1"/>
  <c r="H499" i="4"/>
  <c r="I499" i="4" s="1"/>
  <c r="D562" i="4" s="1" a="1"/>
  <c r="D562" i="4" s="1"/>
  <c r="H395" i="4"/>
  <c r="I395" i="4" s="1"/>
  <c r="D454" i="4" s="1" a="1"/>
  <c r="D454" i="4" s="1"/>
  <c r="G303" i="4"/>
  <c r="H321" i="4"/>
  <c r="I321" i="4" s="1"/>
  <c r="D343" i="4" s="1" a="1"/>
  <c r="D343" i="4" s="1"/>
  <c r="H190" i="4"/>
  <c r="I190" i="4" s="1"/>
  <c r="D203" i="4" s="1" a="1"/>
  <c r="D203" i="4" s="1"/>
  <c r="F500" i="4"/>
  <c r="G500" i="4" s="1"/>
  <c r="H500" i="4" s="1"/>
  <c r="F211" i="4"/>
  <c r="F242" i="4"/>
  <c r="G242" i="4" s="1"/>
  <c r="F394" i="4"/>
  <c r="F415" i="4"/>
  <c r="G415" i="4" s="1"/>
  <c r="H415" i="4" s="1"/>
  <c r="F376" i="4"/>
  <c r="F323" i="4"/>
  <c r="F544" i="4"/>
  <c r="F387" i="4"/>
  <c r="G387" i="4" s="1"/>
  <c r="H338" i="4"/>
  <c r="I338" i="4" s="1"/>
  <c r="D350" i="4" s="1" a="1"/>
  <c r="D350" i="4" s="1"/>
  <c r="G345" i="4"/>
  <c r="H345" i="4" s="1"/>
  <c r="H364" i="4"/>
  <c r="I364" i="4" s="1"/>
  <c r="D422" i="4" s="1" a="1"/>
  <c r="D422" i="4" s="1"/>
  <c r="F315" i="4"/>
  <c r="G315" i="4" s="1"/>
  <c r="F694" i="4"/>
  <c r="G694" i="4" s="1"/>
  <c r="F371" i="4"/>
  <c r="G371" i="4" s="1"/>
  <c r="H371" i="4" s="1"/>
  <c r="H439" i="4"/>
  <c r="I439" i="4" s="1"/>
  <c r="D457" i="4" s="1" a="1"/>
  <c r="D457" i="4" s="1"/>
  <c r="I198" i="4"/>
  <c r="D229" i="4" s="1" a="1"/>
  <c r="D229" i="4" s="1"/>
  <c r="H309" i="4"/>
  <c r="I309" i="4" s="1"/>
  <c r="D374" i="4" s="1" a="1"/>
  <c r="D374" i="4" s="1"/>
  <c r="F567" i="4"/>
  <c r="G567" i="4" s="1"/>
  <c r="H567" i="4" s="1"/>
  <c r="H250" i="4"/>
  <c r="I250" i="4" s="1"/>
  <c r="D275" i="4" s="1" a="1"/>
  <c r="D275" i="4" s="1"/>
  <c r="H319" i="4"/>
  <c r="I319" i="4" s="1"/>
  <c r="D429" i="4" s="1" a="1"/>
  <c r="D429" i="4" s="1"/>
  <c r="G291" i="4"/>
  <c r="H291" i="4" s="1"/>
  <c r="I291" i="4" s="1"/>
  <c r="D295" i="4" s="1" a="1"/>
  <c r="D295" i="4" s="1"/>
  <c r="F670" i="4"/>
  <c r="G670" i="4" s="1"/>
  <c r="F366" i="4"/>
  <c r="G366" i="4" s="1"/>
  <c r="H366" i="4" s="1"/>
  <c r="F339" i="4"/>
  <c r="G339" i="4" s="1"/>
  <c r="H339" i="4" l="1"/>
  <c r="I410" i="4"/>
  <c r="D463" i="4" s="1" a="1"/>
  <c r="D463" i="4" s="1"/>
  <c r="H452" i="4"/>
  <c r="I452" i="4" s="1"/>
  <c r="D489" i="4" s="1" a="1"/>
  <c r="D489" i="4" s="1"/>
  <c r="F489" i="4" s="1"/>
  <c r="G489" i="4" s="1"/>
  <c r="I500" i="4"/>
  <c r="D531" i="4" s="1" a="1"/>
  <c r="D531" i="4" s="1"/>
  <c r="F531" i="4" s="1"/>
  <c r="F584" i="4"/>
  <c r="G584" i="4" s="1"/>
  <c r="H584" i="4" s="1"/>
  <c r="I584" i="4" s="1"/>
  <c r="D656" i="4" s="1" a="1"/>
  <c r="D656" i="4" s="1"/>
  <c r="I567" i="4"/>
  <c r="D591" i="4" s="1" a="1"/>
  <c r="D591" i="4" s="1"/>
  <c r="F591" i="4" s="1"/>
  <c r="H397" i="4"/>
  <c r="I397" i="4" s="1"/>
  <c r="D416" i="4" s="1" a="1"/>
  <c r="D416" i="4" s="1"/>
  <c r="F416" i="4" s="1"/>
  <c r="F622" i="4"/>
  <c r="G622" i="4" s="1"/>
  <c r="I120" i="4"/>
  <c r="D194" i="4" s="1" a="1"/>
  <c r="D194" i="4" s="1"/>
  <c r="H408" i="4"/>
  <c r="I408" i="4" s="1"/>
  <c r="D432" i="4" s="1" a="1"/>
  <c r="D432" i="4" s="1"/>
  <c r="F432" i="4" s="1"/>
  <c r="H242" i="4"/>
  <c r="I242" i="4" s="1"/>
  <c r="D278" i="4" s="1" a="1"/>
  <c r="D278" i="4" s="1"/>
  <c r="F278" i="4" s="1"/>
  <c r="H333" i="4"/>
  <c r="I333" i="4" s="1"/>
  <c r="D346" i="4" s="1" a="1"/>
  <c r="D346" i="4" s="1"/>
  <c r="F346" i="4" s="1"/>
  <c r="G346" i="4" s="1"/>
  <c r="F343" i="4"/>
  <c r="G343" i="4" s="1"/>
  <c r="H343" i="4" s="1"/>
  <c r="I343" i="4" s="1"/>
  <c r="D352" i="4" s="1" a="1"/>
  <c r="D352" i="4" s="1"/>
  <c r="F352" i="4" s="1"/>
  <c r="G352" i="4" s="1"/>
  <c r="H352" i="4" s="1"/>
  <c r="I366" i="4"/>
  <c r="D370" i="4" s="1" a="1"/>
  <c r="D370" i="4" s="1"/>
  <c r="I339" i="4"/>
  <c r="D360" i="4" s="1" a="1"/>
  <c r="D360" i="4" s="1"/>
  <c r="F360" i="4" s="1"/>
  <c r="H694" i="4"/>
  <c r="I694" i="4" s="1"/>
  <c r="D718" i="4" s="1" a="1"/>
  <c r="D718" i="4" s="1"/>
  <c r="H788" i="4"/>
  <c r="I788" i="4" s="1"/>
  <c r="D822" i="4" s="1" a="1"/>
  <c r="D822" i="4" s="1"/>
  <c r="F463" i="4"/>
  <c r="G463" i="4" s="1"/>
  <c r="H580" i="4"/>
  <c r="I580" i="4" s="1"/>
  <c r="D650" i="4" s="1" a="1"/>
  <c r="D650" i="4" s="1"/>
  <c r="F650" i="4" s="1"/>
  <c r="I369" i="4"/>
  <c r="D483" i="4" s="1" a="1"/>
  <c r="D483" i="4" s="1"/>
  <c r="G390" i="4"/>
  <c r="H390" i="4" s="1"/>
  <c r="F389" i="4"/>
  <c r="G389" i="4" s="1"/>
  <c r="H303" i="4"/>
  <c r="I303" i="4" s="1"/>
  <c r="D363" i="4" s="1" a="1"/>
  <c r="D363" i="4" s="1"/>
  <c r="F363" i="4" s="1"/>
  <c r="F203" i="4"/>
  <c r="G203" i="4" s="1"/>
  <c r="H315" i="4"/>
  <c r="I315" i="4" s="1"/>
  <c r="D401" i="4" s="1" a="1"/>
  <c r="D401" i="4" s="1"/>
  <c r="F457" i="4"/>
  <c r="G457" i="4" s="1"/>
  <c r="F295" i="4"/>
  <c r="G295" i="4" s="1"/>
  <c r="F350" i="4"/>
  <c r="G350" i="4" s="1"/>
  <c r="H350" i="4" s="1"/>
  <c r="G211" i="4"/>
  <c r="H211" i="4" s="1"/>
  <c r="F275" i="4"/>
  <c r="F562" i="4"/>
  <c r="G562" i="4" s="1"/>
  <c r="F374" i="4"/>
  <c r="G374" i="4" s="1"/>
  <c r="F422" i="4"/>
  <c r="G422" i="4" s="1"/>
  <c r="H422" i="4" s="1"/>
  <c r="I422" i="4" s="1"/>
  <c r="D515" i="4" s="1" a="1"/>
  <c r="D515" i="4" s="1"/>
  <c r="H670" i="4"/>
  <c r="I670" i="4" s="1"/>
  <c r="D678" i="4" s="1" a="1"/>
  <c r="D678" i="4" s="1"/>
  <c r="G323" i="4"/>
  <c r="H323" i="4" s="1"/>
  <c r="I415" i="4"/>
  <c r="D419" i="4" s="1" a="1"/>
  <c r="D419" i="4" s="1"/>
  <c r="H387" i="4"/>
  <c r="I387" i="4" s="1"/>
  <c r="D391" i="4" s="1" a="1"/>
  <c r="D391" i="4" s="1"/>
  <c r="G394" i="4"/>
  <c r="H394" i="4" s="1"/>
  <c r="I345" i="4"/>
  <c r="D388" i="4" s="1" a="1"/>
  <c r="D388" i="4" s="1"/>
  <c r="G376" i="4"/>
  <c r="H376" i="4" s="1"/>
  <c r="F429" i="4"/>
  <c r="G429" i="4" s="1"/>
  <c r="H429" i="4" s="1"/>
  <c r="G411" i="4"/>
  <c r="H411" i="4" s="1"/>
  <c r="G544" i="4"/>
  <c r="H544" i="4" s="1"/>
  <c r="F229" i="4"/>
  <c r="F454" i="4"/>
  <c r="I371" i="4"/>
  <c r="D440" i="4" s="1" a="1"/>
  <c r="D440" i="4" s="1"/>
  <c r="G432" i="4" l="1"/>
  <c r="H432" i="4" s="1"/>
  <c r="I432" i="4" s="1"/>
  <c r="D555" i="4" s="1" a="1"/>
  <c r="D555" i="4" s="1"/>
  <c r="F555" i="4" s="1"/>
  <c r="G555" i="4" s="1"/>
  <c r="H489" i="4"/>
  <c r="I489" i="4" s="1"/>
  <c r="D493" i="4" s="1" a="1"/>
  <c r="D493" i="4" s="1"/>
  <c r="F493" i="4" s="1"/>
  <c r="G493" i="4" s="1"/>
  <c r="I376" i="4"/>
  <c r="D386" i="4" s="1" a="1"/>
  <c r="D386" i="4" s="1"/>
  <c r="F386" i="4" s="1"/>
  <c r="G386" i="4" s="1"/>
  <c r="H386" i="4" s="1"/>
  <c r="I390" i="4"/>
  <c r="D502" i="4" s="1" a="1"/>
  <c r="D502" i="4" s="1"/>
  <c r="F502" i="4" s="1"/>
  <c r="G502" i="4" s="1"/>
  <c r="F656" i="4"/>
  <c r="G656" i="4" s="1"/>
  <c r="F194" i="4"/>
  <c r="G194" i="4" s="1"/>
  <c r="H194" i="4" s="1"/>
  <c r="I194" i="4" s="1"/>
  <c r="D246" i="4" s="1" a="1"/>
  <c r="D246" i="4" s="1"/>
  <c r="F370" i="4"/>
  <c r="H622" i="4"/>
  <c r="I622" i="4" s="1"/>
  <c r="D753" i="4" s="1" a="1"/>
  <c r="D753" i="4" s="1"/>
  <c r="G591" i="4"/>
  <c r="H457" i="4"/>
  <c r="I457" i="4" s="1"/>
  <c r="D470" i="4" s="1" a="1"/>
  <c r="D470" i="4" s="1"/>
  <c r="F470" i="4" s="1"/>
  <c r="G470" i="4" s="1"/>
  <c r="F822" i="4"/>
  <c r="F483" i="4"/>
  <c r="G483" i="4" s="1"/>
  <c r="H483" i="4" s="1"/>
  <c r="I483" i="4" s="1"/>
  <c r="D514" i="4" s="1" a="1"/>
  <c r="D514" i="4" s="1"/>
  <c r="H463" i="4"/>
  <c r="I463" i="4" s="1"/>
  <c r="D486" i="4" s="1" a="1"/>
  <c r="D486" i="4" s="1"/>
  <c r="I323" i="4"/>
  <c r="D344" i="4" s="1" a="1"/>
  <c r="D344" i="4" s="1"/>
  <c r="H562" i="4"/>
  <c r="I562" i="4" s="1"/>
  <c r="D608" i="4" s="1" a="1"/>
  <c r="D608" i="4" s="1"/>
  <c r="F608" i="4" s="1"/>
  <c r="G360" i="4"/>
  <c r="H360" i="4" s="1"/>
  <c r="I360" i="4" s="1"/>
  <c r="D398" i="4" s="1" a="1"/>
  <c r="D398" i="4" s="1"/>
  <c r="I352" i="4"/>
  <c r="D356" i="4" s="1" a="1"/>
  <c r="D356" i="4" s="1"/>
  <c r="F356" i="4" s="1"/>
  <c r="G363" i="4"/>
  <c r="H389" i="4"/>
  <c r="I389" i="4" s="1"/>
  <c r="D402" i="4" s="1" a="1"/>
  <c r="D402" i="4" s="1"/>
  <c r="F402" i="4" s="1"/>
  <c r="H346" i="4"/>
  <c r="I346" i="4" s="1"/>
  <c r="D351" i="4" s="1" a="1"/>
  <c r="D351" i="4" s="1"/>
  <c r="F391" i="4"/>
  <c r="G391" i="4" s="1"/>
  <c r="H391" i="4" s="1"/>
  <c r="I429" i="4"/>
  <c r="D444" i="4" s="1" a="1"/>
  <c r="D444" i="4" s="1"/>
  <c r="F515" i="4"/>
  <c r="G515" i="4" s="1"/>
  <c r="I350" i="4"/>
  <c r="D375" i="4" s="1" a="1"/>
  <c r="D375" i="4" s="1"/>
  <c r="I411" i="4"/>
  <c r="D424" i="4" s="1" a="1"/>
  <c r="D424" i="4" s="1"/>
  <c r="F401" i="4"/>
  <c r="G229" i="4"/>
  <c r="F440" i="4"/>
  <c r="G440" i="4" s="1"/>
  <c r="H440" i="4" s="1"/>
  <c r="I440" i="4" s="1"/>
  <c r="D455" i="4" s="1" a="1"/>
  <c r="D455" i="4" s="1"/>
  <c r="F419" i="4"/>
  <c r="I544" i="4"/>
  <c r="D630" i="4" s="1" a="1"/>
  <c r="D630" i="4" s="1"/>
  <c r="G275" i="4"/>
  <c r="H275" i="4" s="1"/>
  <c r="G416" i="4"/>
  <c r="H416" i="4" s="1"/>
  <c r="G531" i="4"/>
  <c r="H531" i="4" s="1"/>
  <c r="G278" i="4"/>
  <c r="H278" i="4" s="1"/>
  <c r="F678" i="4"/>
  <c r="G678" i="4" s="1"/>
  <c r="H374" i="4"/>
  <c r="I374" i="4" s="1"/>
  <c r="D396" i="4" s="1" a="1"/>
  <c r="D396" i="4" s="1"/>
  <c r="G454" i="4"/>
  <c r="H454" i="4" s="1"/>
  <c r="I454" i="4" s="1"/>
  <c r="D480" i="4" s="1" a="1"/>
  <c r="D480" i="4" s="1"/>
  <c r="H203" i="4"/>
  <c r="I203" i="4" s="1"/>
  <c r="D226" i="4" s="1" a="1"/>
  <c r="D226" i="4" s="1"/>
  <c r="G650" i="4"/>
  <c r="H650" i="4" s="1"/>
  <c r="I650" i="4" s="1"/>
  <c r="D684" i="4" s="1" a="1"/>
  <c r="D684" i="4" s="1"/>
  <c r="F388" i="4"/>
  <c r="G388" i="4" s="1"/>
  <c r="H295" i="4"/>
  <c r="I295" i="4" s="1"/>
  <c r="D304" i="4" s="1" a="1"/>
  <c r="D304" i="4" s="1"/>
  <c r="I211" i="4"/>
  <c r="D233" i="4" s="1" a="1"/>
  <c r="D233" i="4" s="1"/>
  <c r="I394" i="4"/>
  <c r="D405" i="4" s="1" a="1"/>
  <c r="D405" i="4" s="1"/>
  <c r="F718" i="4"/>
  <c r="G608" i="4" l="1"/>
  <c r="H608" i="4" s="1"/>
  <c r="I608" i="4" s="1"/>
  <c r="D625" i="4" s="1" a="1"/>
  <c r="D625" i="4" s="1"/>
  <c r="H388" i="4"/>
  <c r="I388" i="4" s="1"/>
  <c r="D403" i="4" s="1" a="1"/>
  <c r="D403" i="4" s="1"/>
  <c r="F403" i="4" s="1"/>
  <c r="G403" i="4" s="1"/>
  <c r="F246" i="4"/>
  <c r="G246" i="4" s="1"/>
  <c r="H246" i="4" s="1"/>
  <c r="I246" i="4" s="1"/>
  <c r="D264" i="4" s="1" a="1"/>
  <c r="D264" i="4" s="1"/>
  <c r="H656" i="4"/>
  <c r="I656" i="4" s="1"/>
  <c r="D712" i="4" s="1" a="1"/>
  <c r="D712" i="4" s="1"/>
  <c r="F712" i="4" s="1"/>
  <c r="G712" i="4" s="1"/>
  <c r="F753" i="4"/>
  <c r="G753" i="4" s="1"/>
  <c r="H753" i="4" s="1"/>
  <c r="G370" i="4"/>
  <c r="H370" i="4" s="1"/>
  <c r="I370" i="4" s="1"/>
  <c r="D381" i="4" s="1" a="1"/>
  <c r="D381" i="4" s="1"/>
  <c r="H591" i="4"/>
  <c r="I591" i="4" s="1"/>
  <c r="D621" i="4" s="1" a="1"/>
  <c r="D621" i="4" s="1"/>
  <c r="F398" i="4"/>
  <c r="F351" i="4"/>
  <c r="G351" i="4" s="1"/>
  <c r="H351" i="4" s="1"/>
  <c r="F486" i="4"/>
  <c r="G486" i="4" s="1"/>
  <c r="H486" i="4"/>
  <c r="I486" i="4" s="1"/>
  <c r="D536" i="4" s="1" a="1"/>
  <c r="D536" i="4" s="1"/>
  <c r="I275" i="4"/>
  <c r="D279" i="4" s="1" a="1"/>
  <c r="D279" i="4" s="1"/>
  <c r="F279" i="4" s="1"/>
  <c r="H363" i="4"/>
  <c r="I363" i="4" s="1"/>
  <c r="D372" i="4" s="1" a="1"/>
  <c r="D372" i="4" s="1"/>
  <c r="G356" i="4"/>
  <c r="H356" i="4" s="1"/>
  <c r="I356" i="4" s="1"/>
  <c r="D378" i="4" s="1" a="1"/>
  <c r="D378" i="4" s="1"/>
  <c r="F378" i="4" s="1"/>
  <c r="G378" i="4" s="1"/>
  <c r="F514" i="4"/>
  <c r="G514" i="4" s="1"/>
  <c r="H678" i="4"/>
  <c r="I678" i="4" s="1"/>
  <c r="D737" i="4" s="1" a="1"/>
  <c r="D737" i="4" s="1"/>
  <c r="G822" i="4"/>
  <c r="H822" i="4" s="1"/>
  <c r="H229" i="4"/>
  <c r="I229" i="4" s="1"/>
  <c r="D239" i="4" s="1" a="1"/>
  <c r="D239" i="4" s="1"/>
  <c r="F239" i="4" s="1"/>
  <c r="F344" i="4"/>
  <c r="G402" i="4"/>
  <c r="H402" i="4" s="1"/>
  <c r="H493" i="4"/>
  <c r="I493" i="4" s="1"/>
  <c r="D523" i="4" s="1" a="1"/>
  <c r="D523" i="4" s="1"/>
  <c r="F304" i="4"/>
  <c r="G304" i="4" s="1"/>
  <c r="H304" i="4" s="1"/>
  <c r="I304" i="4" s="1"/>
  <c r="D330" i="4" s="1" a="1"/>
  <c r="D330" i="4" s="1"/>
  <c r="F684" i="4"/>
  <c r="G684" i="4" s="1"/>
  <c r="F455" i="4"/>
  <c r="F480" i="4"/>
  <c r="G480" i="4"/>
  <c r="H480" i="4" s="1"/>
  <c r="H502" i="4"/>
  <c r="I502" i="4" s="1"/>
  <c r="D508" i="4" s="1" a="1"/>
  <c r="D508" i="4" s="1"/>
  <c r="F375" i="4"/>
  <c r="G375" i="4" s="1"/>
  <c r="H375" i="4" s="1"/>
  <c r="I375" i="4" s="1"/>
  <c r="D377" i="4" s="1" a="1"/>
  <c r="D377" i="4" s="1"/>
  <c r="F226" i="4"/>
  <c r="G226" i="4" s="1"/>
  <c r="F444" i="4"/>
  <c r="I391" i="4"/>
  <c r="D565" i="4" s="1" a="1"/>
  <c r="D565" i="4" s="1"/>
  <c r="F396" i="4"/>
  <c r="F233" i="4"/>
  <c r="G718" i="4"/>
  <c r="H718" i="4" s="1"/>
  <c r="F405" i="4"/>
  <c r="G405" i="4" s="1"/>
  <c r="I531" i="4"/>
  <c r="D615" i="4" s="1" a="1"/>
  <c r="D615" i="4" s="1"/>
  <c r="I386" i="4"/>
  <c r="D392" i="4" s="1" a="1"/>
  <c r="D392" i="4" s="1"/>
  <c r="I278" i="4"/>
  <c r="D335" i="4" s="1" a="1"/>
  <c r="D335" i="4" s="1"/>
  <c r="G401" i="4"/>
  <c r="H401" i="4" s="1"/>
  <c r="H515" i="4"/>
  <c r="I515" i="4" s="1"/>
  <c r="D569" i="4" s="1" a="1"/>
  <c r="D569" i="4" s="1"/>
  <c r="H555" i="4"/>
  <c r="I555" i="4" s="1"/>
  <c r="D560" i="4" s="1" a="1"/>
  <c r="D560" i="4" s="1"/>
  <c r="F630" i="4"/>
  <c r="G630" i="4" s="1"/>
  <c r="F424" i="4"/>
  <c r="G424" i="4" s="1"/>
  <c r="G419" i="4"/>
  <c r="H419" i="4" s="1"/>
  <c r="I416" i="4"/>
  <c r="D458" i="4" s="1" a="1"/>
  <c r="D458" i="4" s="1"/>
  <c r="H470" i="4"/>
  <c r="I470" i="4" s="1"/>
  <c r="D519" i="4" s="1" a="1"/>
  <c r="D519" i="4" s="1"/>
  <c r="H424" i="4" l="1"/>
  <c r="I424" i="4" s="1"/>
  <c r="D517" i="4" s="1" a="1"/>
  <c r="D517" i="4" s="1"/>
  <c r="G233" i="4"/>
  <c r="H233" i="4" s="1"/>
  <c r="F621" i="4"/>
  <c r="G621" i="4" s="1"/>
  <c r="F381" i="4"/>
  <c r="G381" i="4" s="1"/>
  <c r="H381" i="4" s="1"/>
  <c r="I381" i="4" s="1"/>
  <c r="D385" i="4" s="1" a="1"/>
  <c r="D385" i="4" s="1"/>
  <c r="F264" i="4"/>
  <c r="G264" i="4" s="1"/>
  <c r="H264" i="4" s="1"/>
  <c r="I264" i="4" s="1"/>
  <c r="D329" i="4" s="1" a="1"/>
  <c r="D329" i="4" s="1"/>
  <c r="G279" i="4"/>
  <c r="I402" i="4"/>
  <c r="D406" i="4" s="1" a="1"/>
  <c r="D406" i="4" s="1"/>
  <c r="F406" i="4" s="1"/>
  <c r="I753" i="4"/>
  <c r="D780" i="4" s="1" a="1"/>
  <c r="D780" i="4" s="1"/>
  <c r="F780" i="4" s="1"/>
  <c r="H630" i="4"/>
  <c r="I630" i="4" s="1"/>
  <c r="D687" i="4" s="1" a="1"/>
  <c r="D687" i="4" s="1"/>
  <c r="F687" i="4" s="1"/>
  <c r="F523" i="4"/>
  <c r="G523" i="4" s="1"/>
  <c r="F372" i="4"/>
  <c r="G372" i="4" s="1"/>
  <c r="H514" i="4"/>
  <c r="I514" i="4" s="1"/>
  <c r="D518" i="4" s="1" a="1"/>
  <c r="D518" i="4" s="1"/>
  <c r="F536" i="4"/>
  <c r="G536" i="4" s="1"/>
  <c r="H536" i="4" s="1"/>
  <c r="G239" i="4"/>
  <c r="H405" i="4"/>
  <c r="I405" i="4" s="1"/>
  <c r="D418" i="4" s="1" a="1"/>
  <c r="D418" i="4" s="1"/>
  <c r="F418" i="4" s="1"/>
  <c r="G344" i="4"/>
  <c r="H344" i="4" s="1"/>
  <c r="I351" i="4"/>
  <c r="D428" i="4" s="1" a="1"/>
  <c r="D428" i="4" s="1"/>
  <c r="I401" i="4"/>
  <c r="D466" i="4" s="1" a="1"/>
  <c r="D466" i="4" s="1"/>
  <c r="F466" i="4" s="1"/>
  <c r="H279" i="4"/>
  <c r="I822" i="4"/>
  <c r="D885" i="4" s="1" a="1"/>
  <c r="D885" i="4" s="1"/>
  <c r="I718" i="4"/>
  <c r="D755" i="4" s="1" a="1"/>
  <c r="D755" i="4" s="1"/>
  <c r="F755" i="4" s="1"/>
  <c r="G398" i="4"/>
  <c r="H398" i="4" s="1"/>
  <c r="I398" i="4" s="1"/>
  <c r="D400" i="4" s="1" a="1"/>
  <c r="D400" i="4" s="1"/>
  <c r="F569" i="4"/>
  <c r="G569" i="4" s="1"/>
  <c r="F519" i="4"/>
  <c r="G519" i="4" s="1"/>
  <c r="H519" i="4" s="1"/>
  <c r="H403" i="4"/>
  <c r="I403" i="4" s="1"/>
  <c r="D404" i="4" s="1" a="1"/>
  <c r="D404" i="4" s="1"/>
  <c r="I480" i="4"/>
  <c r="D528" i="4" s="1" a="1"/>
  <c r="D528" i="4" s="1"/>
  <c r="H378" i="4"/>
  <c r="I378" i="4" s="1"/>
  <c r="D423" i="4" s="1" a="1"/>
  <c r="D423" i="4" s="1"/>
  <c r="F330" i="4"/>
  <c r="F508" i="4"/>
  <c r="F560" i="4"/>
  <c r="H226" i="4"/>
  <c r="I226" i="4" s="1"/>
  <c r="D254" i="4" s="1" a="1"/>
  <c r="D254" i="4" s="1"/>
  <c r="G396" i="4"/>
  <c r="H396" i="4" s="1"/>
  <c r="I396" i="4" s="1"/>
  <c r="D482" i="4" s="1" a="1"/>
  <c r="D482" i="4" s="1"/>
  <c r="F737" i="4"/>
  <c r="G737" i="4" s="1"/>
  <c r="H684" i="4"/>
  <c r="I684" i="4" s="1"/>
  <c r="D695" i="4" s="1" a="1"/>
  <c r="D695" i="4" s="1"/>
  <c r="F458" i="4"/>
  <c r="F335" i="4"/>
  <c r="G335" i="4" s="1"/>
  <c r="G444" i="4"/>
  <c r="I419" i="4"/>
  <c r="D421" i="4" s="1" a="1"/>
  <c r="D421" i="4" s="1"/>
  <c r="H712" i="4"/>
  <c r="I712" i="4" s="1"/>
  <c r="D719" i="4" s="1" a="1"/>
  <c r="D719" i="4" s="1"/>
  <c r="G455" i="4"/>
  <c r="H455" i="4" s="1"/>
  <c r="F392" i="4"/>
  <c r="G392" i="4" s="1"/>
  <c r="F615" i="4"/>
  <c r="G615" i="4" s="1"/>
  <c r="F377" i="4"/>
  <c r="G377" i="4" s="1"/>
  <c r="H377" i="4" s="1"/>
  <c r="F565" i="4"/>
  <c r="F625" i="4"/>
  <c r="G625" i="4" s="1"/>
  <c r="I233" i="4" l="1"/>
  <c r="D305" i="4" s="1" a="1"/>
  <c r="D305" i="4" s="1"/>
  <c r="F305" i="4" s="1"/>
  <c r="G305" i="4" s="1"/>
  <c r="H569" i="4"/>
  <c r="I569" i="4" s="1"/>
  <c r="D956" i="4" s="1" a="1"/>
  <c r="D956" i="4" s="1"/>
  <c r="F956" i="4" s="1"/>
  <c r="I279" i="4"/>
  <c r="D327" i="4" s="1" a="1"/>
  <c r="D327" i="4" s="1"/>
  <c r="F327" i="4" s="1"/>
  <c r="H239" i="4"/>
  <c r="I239" i="4" s="1"/>
  <c r="D265" i="4" s="1" a="1"/>
  <c r="D265" i="4" s="1"/>
  <c r="F517" i="4"/>
  <c r="H372" i="4"/>
  <c r="I372" i="4" s="1"/>
  <c r="D575" i="4" s="1" a="1"/>
  <c r="D575" i="4" s="1"/>
  <c r="F575" i="4" s="1"/>
  <c r="G575" i="4" s="1"/>
  <c r="H575" i="4" s="1"/>
  <c r="G418" i="4"/>
  <c r="H418" i="4" s="1"/>
  <c r="I418" i="4" s="1"/>
  <c r="D448" i="4" s="1" a="1"/>
  <c r="D448" i="4" s="1"/>
  <c r="H621" i="4"/>
  <c r="I621" i="4" s="1"/>
  <c r="D623" i="4" s="1" a="1"/>
  <c r="D623" i="4" s="1"/>
  <c r="I536" i="4"/>
  <c r="D542" i="4" s="1" a="1"/>
  <c r="D542" i="4" s="1"/>
  <c r="F542" i="4" s="1"/>
  <c r="G780" i="4"/>
  <c r="H780" i="4" s="1"/>
  <c r="F329" i="4"/>
  <c r="G329" i="4" s="1"/>
  <c r="F385" i="4"/>
  <c r="G385" i="4" s="1"/>
  <c r="F400" i="4"/>
  <c r="G400" i="4" s="1"/>
  <c r="H400" i="4" s="1"/>
  <c r="I400" i="4" s="1"/>
  <c r="D524" i="4" s="1" a="1"/>
  <c r="D524" i="4" s="1"/>
  <c r="F524" i="4" s="1"/>
  <c r="I780" i="4"/>
  <c r="D790" i="4" s="1" a="1"/>
  <c r="D790" i="4" s="1"/>
  <c r="G466" i="4"/>
  <c r="G406" i="4"/>
  <c r="H406" i="4" s="1"/>
  <c r="I344" i="4"/>
  <c r="D393" i="4" s="1" a="1"/>
  <c r="D393" i="4" s="1"/>
  <c r="G755" i="4"/>
  <c r="H755" i="4" s="1"/>
  <c r="I755" i="4" s="1"/>
  <c r="D769" i="4" s="1" a="1"/>
  <c r="D769" i="4" s="1"/>
  <c r="F428" i="4"/>
  <c r="G428" i="4" s="1"/>
  <c r="F518" i="4"/>
  <c r="G518" i="4" s="1"/>
  <c r="F885" i="4"/>
  <c r="G885" i="4" s="1"/>
  <c r="H885" i="4" s="1"/>
  <c r="H523" i="4"/>
  <c r="I523" i="4" s="1"/>
  <c r="D526" i="4" s="1" a="1"/>
  <c r="D526" i="4" s="1"/>
  <c r="F482" i="4"/>
  <c r="G482" i="4" s="1"/>
  <c r="F404" i="4"/>
  <c r="G404" i="4" s="1"/>
  <c r="H335" i="4"/>
  <c r="I335" i="4" s="1"/>
  <c r="D358" i="4" s="1" a="1"/>
  <c r="D358" i="4" s="1"/>
  <c r="F719" i="4"/>
  <c r="I519" i="4"/>
  <c r="D539" i="4" s="1" a="1"/>
  <c r="D539" i="4" s="1"/>
  <c r="H392" i="4"/>
  <c r="I392" i="4" s="1"/>
  <c r="D464" i="4" s="1" a="1"/>
  <c r="D464" i="4" s="1"/>
  <c r="G508" i="4"/>
  <c r="H508" i="4" s="1"/>
  <c r="H625" i="4"/>
  <c r="I625" i="4" s="1"/>
  <c r="D629" i="4" s="1" a="1"/>
  <c r="D629" i="4" s="1"/>
  <c r="I377" i="4"/>
  <c r="D446" i="4" s="1" a="1"/>
  <c r="D446" i="4" s="1"/>
  <c r="G565" i="4"/>
  <c r="G330" i="4"/>
  <c r="F695" i="4"/>
  <c r="H444" i="4"/>
  <c r="I444" i="4" s="1"/>
  <c r="D473" i="4" s="1" a="1"/>
  <c r="D473" i="4" s="1"/>
  <c r="F421" i="4"/>
  <c r="G458" i="4"/>
  <c r="H458" i="4" s="1"/>
  <c r="G560" i="4"/>
  <c r="H560" i="4" s="1"/>
  <c r="G687" i="4"/>
  <c r="H687" i="4" s="1"/>
  <c r="H737" i="4"/>
  <c r="I737" i="4" s="1"/>
  <c r="D761" i="4" s="1" a="1"/>
  <c r="D761" i="4" s="1"/>
  <c r="F528" i="4"/>
  <c r="G528" i="4" s="1"/>
  <c r="I455" i="4"/>
  <c r="D475" i="4" s="1" a="1"/>
  <c r="D475" i="4" s="1"/>
  <c r="F254" i="4"/>
  <c r="G254" i="4" s="1"/>
  <c r="F423" i="4"/>
  <c r="H615" i="4"/>
  <c r="I615" i="4" s="1"/>
  <c r="D699" i="4" s="1" a="1"/>
  <c r="D699" i="4" s="1"/>
  <c r="H305" i="4" l="1"/>
  <c r="I305" i="4" s="1"/>
  <c r="D409" i="4" s="1" a="1"/>
  <c r="D409" i="4" s="1"/>
  <c r="H385" i="4"/>
  <c r="I385" i="4" s="1"/>
  <c r="D417" i="4" s="1" a="1"/>
  <c r="D417" i="4" s="1"/>
  <c r="F417" i="4" s="1"/>
  <c r="H329" i="4"/>
  <c r="I329" i="4" s="1"/>
  <c r="D430" i="4" s="1" a="1"/>
  <c r="D430" i="4" s="1"/>
  <c r="F430" i="4" s="1"/>
  <c r="I885" i="4"/>
  <c r="D894" i="4" s="1" a="1"/>
  <c r="D894" i="4" s="1"/>
  <c r="F894" i="4" s="1"/>
  <c r="H518" i="4"/>
  <c r="I518" i="4" s="1"/>
  <c r="D525" i="4" s="1" a="1"/>
  <c r="D525" i="4" s="1"/>
  <c r="H428" i="4"/>
  <c r="I428" i="4" s="1"/>
  <c r="D449" i="4" s="1" a="1"/>
  <c r="D449" i="4" s="1"/>
  <c r="F449" i="4" s="1"/>
  <c r="G449" i="4" s="1"/>
  <c r="H449" i="4" s="1"/>
  <c r="I449" i="4" s="1"/>
  <c r="D495" i="4" s="1" a="1"/>
  <c r="D495" i="4" s="1"/>
  <c r="G956" i="4"/>
  <c r="H956" i="4" s="1"/>
  <c r="I956" i="4" s="1"/>
  <c r="D972" i="4" s="1" a="1"/>
  <c r="D972" i="4" s="1"/>
  <c r="F972" i="4" s="1"/>
  <c r="F265" i="4"/>
  <c r="G265" i="4" s="1"/>
  <c r="G542" i="4"/>
  <c r="H542" i="4" s="1"/>
  <c r="I542" i="4" s="1"/>
  <c r="D614" i="4" s="1" a="1"/>
  <c r="D614" i="4" s="1"/>
  <c r="F614" i="4" s="1"/>
  <c r="F623" i="4"/>
  <c r="G623" i="4" s="1"/>
  <c r="H623" i="4" s="1"/>
  <c r="I623" i="4" s="1"/>
  <c r="D662" i="4" s="1" a="1"/>
  <c r="D662" i="4" s="1"/>
  <c r="H528" i="4"/>
  <c r="I528" i="4" s="1"/>
  <c r="D583" i="4" s="1" a="1"/>
  <c r="D583" i="4" s="1"/>
  <c r="F583" i="4" s="1"/>
  <c r="G517" i="4"/>
  <c r="H517" i="4" s="1"/>
  <c r="I517" i="4" s="1"/>
  <c r="D538" i="4" s="1" a="1"/>
  <c r="D538" i="4" s="1"/>
  <c r="F769" i="4"/>
  <c r="G769" i="4" s="1"/>
  <c r="H769" i="4" s="1"/>
  <c r="F448" i="4"/>
  <c r="G448" i="4" s="1"/>
  <c r="H448" i="4" s="1"/>
  <c r="I448" i="4" s="1"/>
  <c r="D451" i="4" s="1" a="1"/>
  <c r="D451" i="4" s="1"/>
  <c r="I406" i="4"/>
  <c r="D443" i="4" s="1" a="1"/>
  <c r="D443" i="4" s="1"/>
  <c r="F443" i="4" s="1"/>
  <c r="G443" i="4" s="1"/>
  <c r="H443" i="4" s="1"/>
  <c r="F393" i="4"/>
  <c r="G393" i="4"/>
  <c r="H393" i="4" s="1"/>
  <c r="H466" i="4"/>
  <c r="I466" i="4" s="1"/>
  <c r="D497" i="4" s="1" a="1"/>
  <c r="D497" i="4" s="1"/>
  <c r="F790" i="4"/>
  <c r="G790" i="4" s="1"/>
  <c r="F526" i="4"/>
  <c r="G526" i="4" s="1"/>
  <c r="I560" i="4"/>
  <c r="D570" i="4" s="1" a="1"/>
  <c r="D570" i="4" s="1"/>
  <c r="F570" i="4" s="1"/>
  <c r="G570" i="4" s="1"/>
  <c r="H570" i="4" s="1"/>
  <c r="I508" i="4"/>
  <c r="D619" i="4" s="1" a="1"/>
  <c r="D619" i="4" s="1"/>
  <c r="F358" i="4"/>
  <c r="G358" i="4" s="1"/>
  <c r="H358" i="4" s="1"/>
  <c r="F629" i="4"/>
  <c r="H482" i="4"/>
  <c r="I482" i="4" s="1"/>
  <c r="D604" i="4" s="1" a="1"/>
  <c r="D604" i="4" s="1"/>
  <c r="F699" i="4"/>
  <c r="G699" i="4"/>
  <c r="H254" i="4"/>
  <c r="I254" i="4" s="1"/>
  <c r="D263" i="4" s="1" a="1"/>
  <c r="D263" i="4" s="1"/>
  <c r="F761" i="4"/>
  <c r="G761" i="4" s="1"/>
  <c r="F473" i="4"/>
  <c r="G473" i="4" s="1"/>
  <c r="F475" i="4"/>
  <c r="G475" i="4" s="1"/>
  <c r="G423" i="4"/>
  <c r="H423" i="4" s="1"/>
  <c r="G719" i="4"/>
  <c r="H719" i="4" s="1"/>
  <c r="G327" i="4"/>
  <c r="F446" i="4"/>
  <c r="G446" i="4" s="1"/>
  <c r="F409" i="4"/>
  <c r="G409" i="4" s="1"/>
  <c r="H565" i="4"/>
  <c r="I565" i="4" s="1"/>
  <c r="D644" i="4" s="1" a="1"/>
  <c r="D644" i="4" s="1"/>
  <c r="I458" i="4"/>
  <c r="D467" i="4" s="1" a="1"/>
  <c r="D467" i="4" s="1"/>
  <c r="F539" i="4"/>
  <c r="G539" i="4" s="1"/>
  <c r="H539" i="4" s="1"/>
  <c r="H330" i="4"/>
  <c r="I330" i="4" s="1"/>
  <c r="D365" i="4" s="1" a="1"/>
  <c r="D365" i="4" s="1"/>
  <c r="G524" i="4"/>
  <c r="F464" i="4"/>
  <c r="G421" i="4"/>
  <c r="I687" i="4"/>
  <c r="D689" i="4" s="1" a="1"/>
  <c r="D689" i="4" s="1"/>
  <c r="G695" i="4"/>
  <c r="H695" i="4" s="1"/>
  <c r="H404" i="4"/>
  <c r="I404" i="4" s="1"/>
  <c r="D521" i="4" s="1" a="1"/>
  <c r="D521" i="4" s="1"/>
  <c r="I575" i="4"/>
  <c r="D582" i="4" s="1" a="1"/>
  <c r="D582" i="4" s="1"/>
  <c r="G417" i="4" l="1"/>
  <c r="H417" i="4" s="1"/>
  <c r="G430" i="4"/>
  <c r="H430" i="4" s="1"/>
  <c r="I430" i="4" s="1"/>
  <c r="D520" i="4" s="1" a="1"/>
  <c r="D520" i="4" s="1"/>
  <c r="H265" i="4"/>
  <c r="I265" i="4" s="1"/>
  <c r="D269" i="4" s="1" a="1"/>
  <c r="D269" i="4" s="1"/>
  <c r="F269" i="4" s="1"/>
  <c r="G269" i="4" s="1"/>
  <c r="G894" i="4"/>
  <c r="H894" i="4" s="1"/>
  <c r="I894" i="4" s="1"/>
  <c r="D911" i="4" s="1" a="1"/>
  <c r="D911" i="4" s="1"/>
  <c r="F911" i="4" s="1"/>
  <c r="F525" i="4"/>
  <c r="G525" i="4" s="1"/>
  <c r="H525" i="4" s="1"/>
  <c r="I525" i="4" s="1"/>
  <c r="D552" i="4" s="1" a="1"/>
  <c r="D552" i="4" s="1"/>
  <c r="F552" i="4" s="1"/>
  <c r="G552" i="4" s="1"/>
  <c r="H699" i="4"/>
  <c r="H790" i="4"/>
  <c r="I790" i="4" s="1"/>
  <c r="D815" i="4" s="1" a="1"/>
  <c r="D815" i="4" s="1"/>
  <c r="F662" i="4"/>
  <c r="G662" i="4" s="1"/>
  <c r="F538" i="4"/>
  <c r="G538" i="4" s="1"/>
  <c r="F495" i="4"/>
  <c r="G495" i="4" s="1"/>
  <c r="F619" i="4"/>
  <c r="I699" i="4"/>
  <c r="D763" i="4" s="1" a="1"/>
  <c r="D763" i="4" s="1"/>
  <c r="F763" i="4" s="1"/>
  <c r="F451" i="4"/>
  <c r="G451" i="4" s="1"/>
  <c r="I695" i="4"/>
  <c r="D713" i="4" s="1" a="1"/>
  <c r="D713" i="4" s="1"/>
  <c r="F713" i="4" s="1"/>
  <c r="G713" i="4" s="1"/>
  <c r="I393" i="4"/>
  <c r="D413" i="4" s="1" a="1"/>
  <c r="D413" i="4" s="1"/>
  <c r="F413" i="4" s="1"/>
  <c r="G413" i="4" s="1"/>
  <c r="G614" i="4"/>
  <c r="H614" i="4" s="1"/>
  <c r="I614" i="4" s="1"/>
  <c r="D708" i="4" s="1" a="1"/>
  <c r="D708" i="4" s="1"/>
  <c r="F497" i="4"/>
  <c r="I539" i="4"/>
  <c r="D545" i="4" s="1" a="1"/>
  <c r="D545" i="4" s="1"/>
  <c r="H327" i="4"/>
  <c r="I327" i="4" s="1"/>
  <c r="D474" i="4" s="1" a="1"/>
  <c r="D474" i="4" s="1"/>
  <c r="H473" i="4"/>
  <c r="I473" i="4" s="1"/>
  <c r="D556" i="4" s="1" a="1"/>
  <c r="D556" i="4" s="1"/>
  <c r="H526" i="4"/>
  <c r="I526" i="4" s="1"/>
  <c r="D548" i="4" s="1" a="1"/>
  <c r="D548" i="4" s="1"/>
  <c r="I769" i="4"/>
  <c r="D849" i="4" s="1" a="1"/>
  <c r="D849" i="4" s="1"/>
  <c r="F263" i="4"/>
  <c r="G263" i="4" s="1"/>
  <c r="H263" i="4" s="1"/>
  <c r="F521" i="4"/>
  <c r="G521" i="4" s="1"/>
  <c r="H521" i="4" s="1"/>
  <c r="H446" i="4"/>
  <c r="I446" i="4" s="1"/>
  <c r="D459" i="4" s="1" a="1"/>
  <c r="D459" i="4" s="1"/>
  <c r="F644" i="4"/>
  <c r="G644" i="4" s="1"/>
  <c r="G972" i="4"/>
  <c r="H972" i="4" s="1"/>
  <c r="F467" i="4"/>
  <c r="G467" i="4"/>
  <c r="H761" i="4"/>
  <c r="I761" i="4" s="1"/>
  <c r="D803" i="4" s="1" a="1"/>
  <c r="D803" i="4" s="1"/>
  <c r="H409" i="4"/>
  <c r="I409" i="4" s="1"/>
  <c r="D505" i="4" s="1" a="1"/>
  <c r="D505" i="4" s="1"/>
  <c r="F604" i="4"/>
  <c r="I570" i="4"/>
  <c r="D585" i="4" s="1" a="1"/>
  <c r="D585" i="4" s="1"/>
  <c r="G464" i="4"/>
  <c r="H475" i="4"/>
  <c r="I475" i="4" s="1"/>
  <c r="D491" i="4" s="1" a="1"/>
  <c r="D491" i="4" s="1"/>
  <c r="I443" i="4"/>
  <c r="D461" i="4" s="1" a="1"/>
  <c r="D461" i="4" s="1"/>
  <c r="I358" i="4"/>
  <c r="D412" i="4" s="1" a="1"/>
  <c r="D412" i="4" s="1"/>
  <c r="G629" i="4"/>
  <c r="H421" i="4"/>
  <c r="I421" i="4" s="1"/>
  <c r="D431" i="4" s="1" a="1"/>
  <c r="D431" i="4" s="1"/>
  <c r="G583" i="4"/>
  <c r="H583" i="4" s="1"/>
  <c r="I719" i="4"/>
  <c r="D910" i="4" s="1" a="1"/>
  <c r="D910" i="4" s="1"/>
  <c r="F365" i="4"/>
  <c r="G365" i="4" s="1"/>
  <c r="H365" i="4" s="1"/>
  <c r="F582" i="4"/>
  <c r="G582" i="4" s="1"/>
  <c r="H582" i="4" s="1"/>
  <c r="F689" i="4"/>
  <c r="G689" i="4" s="1"/>
  <c r="H524" i="4"/>
  <c r="I524" i="4" s="1"/>
  <c r="D594" i="4" s="1" a="1"/>
  <c r="D594" i="4" s="1"/>
  <c r="I423" i="4"/>
  <c r="D435" i="4" s="1" a="1"/>
  <c r="D435" i="4" s="1"/>
  <c r="I417" i="4" l="1"/>
  <c r="D481" i="4" s="1" a="1"/>
  <c r="D481" i="4" s="1"/>
  <c r="F481" i="4" s="1"/>
  <c r="G481" i="4" s="1"/>
  <c r="H481" i="4" s="1"/>
  <c r="I481" i="4" s="1"/>
  <c r="D522" i="4" s="1" a="1"/>
  <c r="D522" i="4" s="1"/>
  <c r="F522" i="4" s="1"/>
  <c r="G522" i="4" s="1"/>
  <c r="H269" i="4"/>
  <c r="I269" i="4" s="1"/>
  <c r="D310" i="4" s="1" a="1"/>
  <c r="D310" i="4" s="1"/>
  <c r="H644" i="4"/>
  <c r="I644" i="4" s="1"/>
  <c r="D655" i="4" s="1" a="1"/>
  <c r="D655" i="4" s="1"/>
  <c r="F655" i="4" s="1"/>
  <c r="G497" i="4"/>
  <c r="H497" i="4" s="1"/>
  <c r="I497" i="4" s="1"/>
  <c r="D628" i="4" s="1" a="1"/>
  <c r="D628" i="4" s="1"/>
  <c r="F628" i="4" s="1"/>
  <c r="G628" i="4" s="1"/>
  <c r="F708" i="4"/>
  <c r="H495" i="4"/>
  <c r="I495" i="4" s="1"/>
  <c r="D532" i="4" s="1" a="1"/>
  <c r="D532" i="4" s="1"/>
  <c r="H413" i="4"/>
  <c r="I413" i="4" s="1"/>
  <c r="D437" i="4" s="1" a="1"/>
  <c r="D437" i="4" s="1"/>
  <c r="F437" i="4" s="1"/>
  <c r="H451" i="4"/>
  <c r="I451" i="4" s="1"/>
  <c r="D478" i="4" s="1" a="1"/>
  <c r="D478" i="4" s="1"/>
  <c r="F478" i="4" s="1"/>
  <c r="G478" i="4" s="1"/>
  <c r="G619" i="4"/>
  <c r="H619" i="4" s="1"/>
  <c r="I619" i="4" s="1"/>
  <c r="D624" i="4" s="1" a="1"/>
  <c r="D624" i="4" s="1"/>
  <c r="H538" i="4"/>
  <c r="I538" i="4" s="1"/>
  <c r="D546" i="4" s="1" a="1"/>
  <c r="D546" i="4" s="1"/>
  <c r="F546" i="4" s="1"/>
  <c r="G546" i="4" s="1"/>
  <c r="H546" i="4" s="1"/>
  <c r="I546" i="4" s="1"/>
  <c r="D558" i="4" s="1" a="1"/>
  <c r="D558" i="4" s="1"/>
  <c r="F558" i="4" s="1"/>
  <c r="H662" i="4"/>
  <c r="I662" i="4" s="1"/>
  <c r="D721" i="4" s="1" a="1"/>
  <c r="D721" i="4" s="1"/>
  <c r="F721" i="4" s="1"/>
  <c r="G721" i="4" s="1"/>
  <c r="F545" i="4"/>
  <c r="F556" i="4"/>
  <c r="G556" i="4" s="1"/>
  <c r="H556" i="4" s="1"/>
  <c r="I556" i="4" s="1"/>
  <c r="D599" i="4" s="1" a="1"/>
  <c r="D599" i="4" s="1"/>
  <c r="F474" i="4"/>
  <c r="F849" i="4"/>
  <c r="G849" i="4" s="1"/>
  <c r="H713" i="4"/>
  <c r="I713" i="4" s="1"/>
  <c r="D913" i="4" s="1" a="1"/>
  <c r="D913" i="4" s="1"/>
  <c r="F548" i="4"/>
  <c r="G548" i="4" s="1"/>
  <c r="H552" i="4"/>
  <c r="I552" i="4" s="1"/>
  <c r="D576" i="4" s="1" a="1"/>
  <c r="D576" i="4" s="1"/>
  <c r="I521" i="4"/>
  <c r="D658" i="4" s="1" a="1"/>
  <c r="D658" i="4" s="1"/>
  <c r="F658" i="4" s="1"/>
  <c r="I583" i="4"/>
  <c r="D647" i="4" s="1" a="1"/>
  <c r="D647" i="4" s="1"/>
  <c r="F647" i="4" s="1"/>
  <c r="F815" i="4"/>
  <c r="F505" i="4"/>
  <c r="G505" i="4" s="1"/>
  <c r="H505" i="4" s="1"/>
  <c r="I505" i="4" s="1"/>
  <c r="D507" i="4" s="1" a="1"/>
  <c r="D507" i="4" s="1"/>
  <c r="F520" i="4"/>
  <c r="G520" i="4" s="1"/>
  <c r="H520" i="4" s="1"/>
  <c r="I520" i="4" s="1"/>
  <c r="D638" i="4" s="1" a="1"/>
  <c r="D638" i="4" s="1"/>
  <c r="F459" i="4"/>
  <c r="G459" i="4" s="1"/>
  <c r="H459" i="4" s="1"/>
  <c r="I459" i="4" s="1"/>
  <c r="D462" i="4" s="1" a="1"/>
  <c r="D462" i="4" s="1"/>
  <c r="I263" i="4"/>
  <c r="D320" i="4" s="1" a="1"/>
  <c r="D320" i="4" s="1"/>
  <c r="H689" i="4"/>
  <c r="I689" i="4" s="1"/>
  <c r="D777" i="4" s="1" a="1"/>
  <c r="D777" i="4" s="1"/>
  <c r="I582" i="4"/>
  <c r="D643" i="4" s="1" a="1"/>
  <c r="D643" i="4" s="1"/>
  <c r="G604" i="4"/>
  <c r="H604" i="4" s="1"/>
  <c r="G763" i="4"/>
  <c r="H763" i="4" s="1"/>
  <c r="G911" i="4"/>
  <c r="H911" i="4" s="1"/>
  <c r="F594" i="4"/>
  <c r="G594" i="4"/>
  <c r="H594" i="4" s="1"/>
  <c r="H629" i="4"/>
  <c r="I629" i="4" s="1"/>
  <c r="D634" i="4" s="1" a="1"/>
  <c r="D634" i="4" s="1"/>
  <c r="I972" i="4"/>
  <c r="D981" i="4" s="1" a="1"/>
  <c r="D981" i="4" s="1"/>
  <c r="F491" i="4"/>
  <c r="G491" i="4" s="1"/>
  <c r="H491" i="4" s="1"/>
  <c r="F431" i="4"/>
  <c r="G431" i="4"/>
  <c r="H431" i="4" s="1"/>
  <c r="I365" i="4"/>
  <c r="D382" i="4" s="1" a="1"/>
  <c r="D382" i="4" s="1"/>
  <c r="F461" i="4"/>
  <c r="G461" i="4" s="1"/>
  <c r="F310" i="4"/>
  <c r="G310" i="4" s="1"/>
  <c r="H310" i="4" s="1"/>
  <c r="F910" i="4"/>
  <c r="H467" i="4"/>
  <c r="I467" i="4" s="1"/>
  <c r="D530" i="4" s="1" a="1"/>
  <c r="D530" i="4" s="1"/>
  <c r="F585" i="4"/>
  <c r="G585" i="4" s="1"/>
  <c r="H585" i="4" s="1"/>
  <c r="F412" i="4"/>
  <c r="F435" i="4"/>
  <c r="G435" i="4" s="1"/>
  <c r="F803" i="4"/>
  <c r="G803" i="4"/>
  <c r="H803" i="4" s="1"/>
  <c r="I803" i="4" s="1"/>
  <c r="D807" i="4" s="1" a="1"/>
  <c r="D807" i="4" s="1"/>
  <c r="H464" i="4"/>
  <c r="I464" i="4" s="1"/>
  <c r="D488" i="4" s="1" a="1"/>
  <c r="D488" i="4" s="1"/>
  <c r="G412" i="4" l="1"/>
  <c r="H412" i="4" s="1"/>
  <c r="G558" i="4"/>
  <c r="H558" i="4" s="1"/>
  <c r="I558" i="4" s="1"/>
  <c r="D667" i="4" s="1" a="1"/>
  <c r="D667" i="4" s="1"/>
  <c r="F624" i="4"/>
  <c r="G624" i="4" s="1"/>
  <c r="H624" i="4" s="1"/>
  <c r="I431" i="4"/>
  <c r="D445" i="4" s="1" a="1"/>
  <c r="D445" i="4" s="1"/>
  <c r="F445" i="4" s="1"/>
  <c r="H721" i="4"/>
  <c r="I721" i="4" s="1"/>
  <c r="D743" i="4" s="1" a="1"/>
  <c r="D743" i="4" s="1"/>
  <c r="F743" i="4" s="1"/>
  <c r="H849" i="4"/>
  <c r="I849" i="4" s="1"/>
  <c r="D938" i="4" s="1" a="1"/>
  <c r="D938" i="4" s="1"/>
  <c r="F938" i="4" s="1"/>
  <c r="F532" i="4"/>
  <c r="G532" i="4" s="1"/>
  <c r="H532" i="4" s="1"/>
  <c r="I532" i="4" s="1"/>
  <c r="D590" i="4" s="1" a="1"/>
  <c r="D590" i="4" s="1"/>
  <c r="H478" i="4"/>
  <c r="I478" i="4" s="1"/>
  <c r="D513" i="4" s="1" a="1"/>
  <c r="D513" i="4" s="1"/>
  <c r="F513" i="4" s="1"/>
  <c r="G513" i="4" s="1"/>
  <c r="G708" i="4"/>
  <c r="H708" i="4" s="1"/>
  <c r="I708" i="4" s="1"/>
  <c r="D830" i="4" s="1" a="1"/>
  <c r="D830" i="4" s="1"/>
  <c r="G545" i="4"/>
  <c r="H548" i="4"/>
  <c r="I548" i="4" s="1"/>
  <c r="D566" i="4" s="1" a="1"/>
  <c r="D566" i="4" s="1"/>
  <c r="F566" i="4" s="1"/>
  <c r="G566" i="4" s="1"/>
  <c r="G474" i="4"/>
  <c r="H474" i="4" s="1"/>
  <c r="F576" i="4"/>
  <c r="G576" i="4" s="1"/>
  <c r="H576" i="4" s="1"/>
  <c r="I576" i="4" s="1"/>
  <c r="D581" i="4" s="1" a="1"/>
  <c r="D581" i="4" s="1"/>
  <c r="F913" i="4"/>
  <c r="G913" i="4" s="1"/>
  <c r="H913" i="4" s="1"/>
  <c r="F599" i="4"/>
  <c r="G599" i="4"/>
  <c r="H599" i="4" s="1"/>
  <c r="I599" i="4" s="1"/>
  <c r="D605" i="4" s="1" a="1"/>
  <c r="D605" i="4" s="1"/>
  <c r="G815" i="4"/>
  <c r="H815" i="4" s="1"/>
  <c r="H461" i="4"/>
  <c r="I461" i="4" s="1"/>
  <c r="D471" i="4" s="1" a="1"/>
  <c r="D471" i="4" s="1"/>
  <c r="F471" i="4" s="1"/>
  <c r="G471" i="4" s="1"/>
  <c r="I594" i="4"/>
  <c r="D639" i="4" s="1" a="1"/>
  <c r="D639" i="4" s="1"/>
  <c r="F639" i="4" s="1"/>
  <c r="G639" i="4" s="1"/>
  <c r="I911" i="4"/>
  <c r="H435" i="4"/>
  <c r="I435" i="4" s="1"/>
  <c r="D598" i="4" s="1" a="1"/>
  <c r="D598" i="4" s="1"/>
  <c r="F638" i="4"/>
  <c r="I585" i="4"/>
  <c r="D723" i="4" s="1" a="1"/>
  <c r="D723" i="4" s="1"/>
  <c r="F488" i="4"/>
  <c r="G488" i="4" s="1"/>
  <c r="H488" i="4" s="1"/>
  <c r="I488" i="4" s="1"/>
  <c r="D504" i="4" s="1" a="1"/>
  <c r="D504" i="4" s="1"/>
  <c r="F634" i="4"/>
  <c r="G634" i="4" s="1"/>
  <c r="F507" i="4"/>
  <c r="G507" i="4"/>
  <c r="F382" i="4"/>
  <c r="H628" i="4"/>
  <c r="I628" i="4" s="1"/>
  <c r="D693" i="4" s="1" a="1"/>
  <c r="D693" i="4" s="1"/>
  <c r="G910" i="4"/>
  <c r="H910" i="4" s="1"/>
  <c r="G437" i="4"/>
  <c r="I491" i="4"/>
  <c r="D527" i="4" s="1" a="1"/>
  <c r="D527" i="4" s="1"/>
  <c r="I763" i="4"/>
  <c r="D765" i="4" s="1" a="1"/>
  <c r="D765" i="4" s="1"/>
  <c r="H522" i="4"/>
  <c r="I522" i="4" s="1"/>
  <c r="D535" i="4" s="1" a="1"/>
  <c r="D535" i="4" s="1"/>
  <c r="F462" i="4"/>
  <c r="G462" i="4" s="1"/>
  <c r="G658" i="4"/>
  <c r="F807" i="4"/>
  <c r="G807" i="4" s="1"/>
  <c r="I604" i="4"/>
  <c r="D640" i="4" s="1" a="1"/>
  <c r="D640" i="4" s="1"/>
  <c r="I310" i="4"/>
  <c r="D331" i="4" s="1" a="1"/>
  <c r="D331" i="4" s="1"/>
  <c r="G655" i="4"/>
  <c r="F320" i="4"/>
  <c r="G320" i="4" s="1"/>
  <c r="F643" i="4"/>
  <c r="G643" i="4" s="1"/>
  <c r="H643" i="4" s="1"/>
  <c r="I643" i="4" s="1"/>
  <c r="D661" i="4" s="1" a="1"/>
  <c r="D661" i="4" s="1"/>
  <c r="F981" i="4"/>
  <c r="G981" i="4" s="1"/>
  <c r="F777" i="4"/>
  <c r="G777" i="4" s="1"/>
  <c r="G647" i="4"/>
  <c r="H647" i="4" s="1"/>
  <c r="F530" i="4"/>
  <c r="G530" i="4" s="1"/>
  <c r="H777" i="4" l="1"/>
  <c r="I777" i="4" s="1"/>
  <c r="D801" i="4" s="1" a="1"/>
  <c r="D801" i="4" s="1"/>
  <c r="F801" i="4" s="1"/>
  <c r="F667" i="4"/>
  <c r="I913" i="4"/>
  <c r="D951" i="4" s="1" a="1"/>
  <c r="D951" i="4" s="1"/>
  <c r="F951" i="4" s="1"/>
  <c r="G951" i="4" s="1"/>
  <c r="I412" i="4"/>
  <c r="D453" i="4" s="1" a="1"/>
  <c r="D453" i="4" s="1"/>
  <c r="F453" i="4" s="1"/>
  <c r="H507" i="4"/>
  <c r="I507" i="4" s="1"/>
  <c r="D533" i="4" s="1" a="1"/>
  <c r="D533" i="4" s="1"/>
  <c r="F830" i="4"/>
  <c r="G830" i="4" s="1"/>
  <c r="F590" i="4"/>
  <c r="G590" i="4" s="1"/>
  <c r="I474" i="4"/>
  <c r="D476" i="4" s="1" a="1"/>
  <c r="D476" i="4" s="1"/>
  <c r="F476" i="4" s="1"/>
  <c r="G476" i="4" s="1"/>
  <c r="H476" i="4" s="1"/>
  <c r="H566" i="4"/>
  <c r="I566" i="4" s="1"/>
  <c r="D587" i="4" s="1" a="1"/>
  <c r="D587" i="4" s="1"/>
  <c r="F587" i="4" s="1"/>
  <c r="I815" i="4"/>
  <c r="D837" i="4" s="1" a="1"/>
  <c r="D837" i="4" s="1"/>
  <c r="F837" i="4" s="1"/>
  <c r="G837" i="4" s="1"/>
  <c r="I624" i="4"/>
  <c r="D726" i="4" s="1" a="1"/>
  <c r="D726" i="4" s="1"/>
  <c r="G938" i="4"/>
  <c r="H938" i="4" s="1"/>
  <c r="I938" i="4" s="1"/>
  <c r="H545" i="4"/>
  <c r="I545" i="4" s="1"/>
  <c r="D559" i="4" s="1" a="1"/>
  <c r="D559" i="4" s="1"/>
  <c r="H530" i="4"/>
  <c r="I530" i="4" s="1"/>
  <c r="D573" i="4" s="1" a="1"/>
  <c r="D573" i="4" s="1"/>
  <c r="F573" i="4" s="1"/>
  <c r="H634" i="4"/>
  <c r="I634" i="4" s="1"/>
  <c r="D649" i="4" s="1" a="1"/>
  <c r="D649" i="4" s="1"/>
  <c r="I647" i="4"/>
  <c r="D671" i="4" s="1" a="1"/>
  <c r="D671" i="4" s="1"/>
  <c r="F671" i="4" s="1"/>
  <c r="F605" i="4"/>
  <c r="G605" i="4" s="1"/>
  <c r="F581" i="4"/>
  <c r="G581" i="4" s="1"/>
  <c r="G743" i="4"/>
  <c r="H743" i="4" s="1"/>
  <c r="I743" i="4" s="1"/>
  <c r="D813" i="4" s="1" a="1"/>
  <c r="D813" i="4" s="1"/>
  <c r="G445" i="4"/>
  <c r="H445" i="4" s="1"/>
  <c r="H981" i="4"/>
  <c r="I981" i="4" s="1"/>
  <c r="F661" i="4"/>
  <c r="G661" i="4" s="1"/>
  <c r="H661" i="4" s="1"/>
  <c r="I661" i="4" s="1"/>
  <c r="D747" i="4" s="1" a="1"/>
  <c r="D747" i="4" s="1"/>
  <c r="F693" i="4"/>
  <c r="H471" i="4"/>
  <c r="I471" i="4" s="1"/>
  <c r="D501" i="4" s="1" a="1"/>
  <c r="D501" i="4" s="1"/>
  <c r="F504" i="4"/>
  <c r="F598" i="4"/>
  <c r="H320" i="4"/>
  <c r="I320" i="4" s="1"/>
  <c r="D325" i="4" s="1" a="1"/>
  <c r="D325" i="4" s="1"/>
  <c r="F535" i="4"/>
  <c r="G535" i="4" s="1"/>
  <c r="H639" i="4"/>
  <c r="I639" i="4" s="1"/>
  <c r="D666" i="4" s="1" a="1"/>
  <c r="D666" i="4" s="1"/>
  <c r="F723" i="4"/>
  <c r="G723" i="4" s="1"/>
  <c r="H723" i="4" s="1"/>
  <c r="F765" i="4"/>
  <c r="G765" i="4" s="1"/>
  <c r="G453" i="4"/>
  <c r="H453" i="4" s="1"/>
  <c r="I453" i="4" s="1"/>
  <c r="D612" i="4" s="1" a="1"/>
  <c r="D612" i="4" s="1"/>
  <c r="H658" i="4"/>
  <c r="I658" i="4" s="1"/>
  <c r="D701" i="4" s="1" a="1"/>
  <c r="D701" i="4" s="1"/>
  <c r="H655" i="4"/>
  <c r="I655" i="4" s="1"/>
  <c r="D888" i="4" s="1" a="1"/>
  <c r="D888" i="4" s="1"/>
  <c r="F331" i="4"/>
  <c r="G331" i="4" s="1"/>
  <c r="H331" i="4" s="1"/>
  <c r="F527" i="4"/>
  <c r="G527" i="4" s="1"/>
  <c r="H527" i="4" s="1"/>
  <c r="H807" i="4"/>
  <c r="I807" i="4" s="1"/>
  <c r="D825" i="4" s="1" a="1"/>
  <c r="D825" i="4" s="1"/>
  <c r="G382" i="4"/>
  <c r="H382" i="4" s="1"/>
  <c r="H437" i="4"/>
  <c r="I437" i="4" s="1"/>
  <c r="D479" i="4" s="1" a="1"/>
  <c r="D479" i="4" s="1"/>
  <c r="I910" i="4"/>
  <c r="D993" i="4" s="1" a="1"/>
  <c r="D993" i="4" s="1"/>
  <c r="H513" i="4"/>
  <c r="I513" i="4" s="1"/>
  <c r="D676" i="4" s="1" a="1"/>
  <c r="D676" i="4" s="1"/>
  <c r="F640" i="4"/>
  <c r="H462" i="4"/>
  <c r="I462" i="4" s="1"/>
  <c r="D468" i="4" s="1" a="1"/>
  <c r="D468" i="4" s="1"/>
  <c r="G638" i="4"/>
  <c r="G667" i="4" l="1"/>
  <c r="F533" i="4"/>
  <c r="G533" i="4" s="1"/>
  <c r="H581" i="4"/>
  <c r="I581" i="4" s="1"/>
  <c r="D646" i="4" s="1" a="1"/>
  <c r="D646" i="4" s="1"/>
  <c r="F646" i="4" s="1"/>
  <c r="G646" i="4" s="1"/>
  <c r="F559" i="4"/>
  <c r="G559" i="4" s="1"/>
  <c r="F726" i="4"/>
  <c r="G726" i="4" s="1"/>
  <c r="H590" i="4"/>
  <c r="I590" i="4" s="1"/>
  <c r="D611" i="4" s="1" a="1"/>
  <c r="D611" i="4" s="1"/>
  <c r="G573" i="4"/>
  <c r="H573" i="4" s="1"/>
  <c r="I573" i="4" s="1"/>
  <c r="D729" i="4" s="1" a="1"/>
  <c r="D729" i="4" s="1"/>
  <c r="F729" i="4" s="1"/>
  <c r="G729" i="4" s="1"/>
  <c r="G587" i="4"/>
  <c r="H587" i="4" s="1"/>
  <c r="I587" i="4" s="1"/>
  <c r="D627" i="4" s="1" a="1"/>
  <c r="D627" i="4" s="1"/>
  <c r="H951" i="4"/>
  <c r="I951" i="4" s="1"/>
  <c r="I445" i="4"/>
  <c r="D496" i="4" s="1" a="1"/>
  <c r="D496" i="4" s="1"/>
  <c r="F496" i="4" s="1"/>
  <c r="G496" i="4" s="1"/>
  <c r="H830" i="4"/>
  <c r="I830" i="4" s="1"/>
  <c r="D864" i="4" s="1" a="1"/>
  <c r="D864" i="4" s="1"/>
  <c r="I331" i="4"/>
  <c r="D342" i="4" s="1" a="1"/>
  <c r="D342" i="4" s="1"/>
  <c r="H765" i="4"/>
  <c r="I765" i="4" s="1"/>
  <c r="D785" i="4" s="1" a="1"/>
  <c r="D785" i="4" s="1"/>
  <c r="G671" i="4"/>
  <c r="H671" i="4" s="1"/>
  <c r="I476" i="4"/>
  <c r="D540" i="4" s="1" a="1"/>
  <c r="D540" i="4" s="1"/>
  <c r="I382" i="4"/>
  <c r="D399" i="4" s="1" a="1"/>
  <c r="D399" i="4" s="1"/>
  <c r="F399" i="4" s="1"/>
  <c r="G399" i="4" s="1"/>
  <c r="H535" i="4"/>
  <c r="I535" i="4" s="1"/>
  <c r="D577" i="4" s="1" a="1"/>
  <c r="D577" i="4" s="1"/>
  <c r="H605" i="4"/>
  <c r="I605" i="4" s="1"/>
  <c r="D652" i="4" s="1" a="1"/>
  <c r="D652" i="4" s="1"/>
  <c r="H837" i="4"/>
  <c r="I837" i="4" s="1"/>
  <c r="D875" i="4" s="1" a="1"/>
  <c r="D875" i="4" s="1"/>
  <c r="F612" i="4"/>
  <c r="G612" i="4" s="1"/>
  <c r="F479" i="4"/>
  <c r="G479" i="4" s="1"/>
  <c r="F747" i="4"/>
  <c r="G747" i="4" s="1"/>
  <c r="H747" i="4" s="1"/>
  <c r="I747" i="4" s="1"/>
  <c r="D796" i="4" s="1" a="1"/>
  <c r="D796" i="4" s="1"/>
  <c r="F888" i="4"/>
  <c r="F666" i="4"/>
  <c r="G666" i="4" s="1"/>
  <c r="H666" i="4" s="1"/>
  <c r="F676" i="4"/>
  <c r="I723" i="4"/>
  <c r="D745" i="4" s="1" a="1"/>
  <c r="D745" i="4" s="1"/>
  <c r="G801" i="4"/>
  <c r="I527" i="4"/>
  <c r="D549" i="4" s="1" a="1"/>
  <c r="D549" i="4" s="1"/>
  <c r="G598" i="4"/>
  <c r="H598" i="4" s="1"/>
  <c r="F501" i="4"/>
  <c r="G501" i="4" s="1"/>
  <c r="F468" i="4"/>
  <c r="G640" i="4"/>
  <c r="H640" i="4" s="1"/>
  <c r="F825" i="4"/>
  <c r="G693" i="4"/>
  <c r="F649" i="4"/>
  <c r="G649" i="4" s="1"/>
  <c r="F813" i="4"/>
  <c r="F701" i="4"/>
  <c r="G701" i="4"/>
  <c r="H701" i="4" s="1"/>
  <c r="H638" i="4"/>
  <c r="I638" i="4" s="1"/>
  <c r="D657" i="4" s="1" a="1"/>
  <c r="D657" i="4" s="1"/>
  <c r="G504" i="4"/>
  <c r="H504" i="4" s="1"/>
  <c r="F325" i="4"/>
  <c r="F993" i="4"/>
  <c r="G993" i="4"/>
  <c r="H993" i="4" s="1"/>
  <c r="G825" i="4" l="1"/>
  <c r="H825" i="4" s="1"/>
  <c r="I825" i="4" s="1"/>
  <c r="D846" i="4" s="1" a="1"/>
  <c r="D846" i="4" s="1"/>
  <c r="H667" i="4"/>
  <c r="I667" i="4" s="1"/>
  <c r="D728" i="4" s="1" a="1"/>
  <c r="D728" i="4" s="1"/>
  <c r="I640" i="4"/>
  <c r="D688" i="4" s="1" a="1"/>
  <c r="D688" i="4" s="1"/>
  <c r="F688" i="4" s="1"/>
  <c r="G688" i="4" s="1"/>
  <c r="H533" i="4"/>
  <c r="I533" i="4" s="1"/>
  <c r="D554" i="4" s="1" a="1"/>
  <c r="D554" i="4" s="1"/>
  <c r="F611" i="4"/>
  <c r="G611" i="4" s="1"/>
  <c r="F864" i="4"/>
  <c r="G864" i="4" s="1"/>
  <c r="F627" i="4"/>
  <c r="G627" i="4" s="1"/>
  <c r="H559" i="4"/>
  <c r="I559" i="4" s="1"/>
  <c r="D579" i="4" s="1" a="1"/>
  <c r="D579" i="4" s="1"/>
  <c r="F579" i="4" s="1"/>
  <c r="G579" i="4" s="1"/>
  <c r="F785" i="4"/>
  <c r="G785" i="4" s="1"/>
  <c r="H785" i="4" s="1"/>
  <c r="F342" i="4"/>
  <c r="H726" i="4"/>
  <c r="I726" i="4" s="1"/>
  <c r="D760" i="4" s="1" a="1"/>
  <c r="D760" i="4" s="1"/>
  <c r="I671" i="4"/>
  <c r="D727" i="4" s="1" a="1"/>
  <c r="D727" i="4" s="1"/>
  <c r="G813" i="4"/>
  <c r="H813" i="4" s="1"/>
  <c r="I813" i="4" s="1"/>
  <c r="D865" i="4" s="1" a="1"/>
  <c r="D865" i="4" s="1"/>
  <c r="F865" i="4" s="1"/>
  <c r="G865" i="4" s="1"/>
  <c r="F652" i="4"/>
  <c r="G652" i="4" s="1"/>
  <c r="F875" i="4"/>
  <c r="G875" i="4" s="1"/>
  <c r="H646" i="4"/>
  <c r="I646" i="4" s="1"/>
  <c r="D715" i="4" s="1" a="1"/>
  <c r="D715" i="4" s="1"/>
  <c r="I504" i="4"/>
  <c r="D595" i="4" s="1" a="1"/>
  <c r="D595" i="4" s="1"/>
  <c r="F595" i="4" s="1"/>
  <c r="F540" i="4"/>
  <c r="G540" i="4" s="1"/>
  <c r="H540" i="4" s="1"/>
  <c r="I540" i="4" s="1"/>
  <c r="D553" i="4" s="1" a="1"/>
  <c r="D553" i="4" s="1"/>
  <c r="F553" i="4" s="1"/>
  <c r="H501" i="4"/>
  <c r="I501" i="4" s="1"/>
  <c r="D506" i="4" s="1" a="1"/>
  <c r="D506" i="4" s="1"/>
  <c r="I598" i="4"/>
  <c r="D602" i="4" s="1" a="1"/>
  <c r="D602" i="4" s="1"/>
  <c r="F602" i="4" s="1"/>
  <c r="H612" i="4"/>
  <c r="I612" i="4" s="1"/>
  <c r="D674" i="4" s="1" a="1"/>
  <c r="D674" i="4" s="1"/>
  <c r="F674" i="4" s="1"/>
  <c r="I993" i="4"/>
  <c r="H649" i="4"/>
  <c r="I649" i="4" s="1"/>
  <c r="D651" i="4" s="1" a="1"/>
  <c r="D651" i="4" s="1"/>
  <c r="F796" i="4"/>
  <c r="G796" i="4" s="1"/>
  <c r="H796" i="4" s="1"/>
  <c r="H479" i="4"/>
  <c r="I479" i="4" s="1"/>
  <c r="D484" i="4" s="1" a="1"/>
  <c r="D484" i="4" s="1"/>
  <c r="H496" i="4"/>
  <c r="I496" i="4" s="1"/>
  <c r="D547" i="4" s="1" a="1"/>
  <c r="D547" i="4" s="1"/>
  <c r="G888" i="4"/>
  <c r="H801" i="4"/>
  <c r="I801" i="4" s="1"/>
  <c r="D828" i="4" s="1" a="1"/>
  <c r="D828" i="4" s="1"/>
  <c r="H693" i="4"/>
  <c r="I693" i="4" s="1"/>
  <c r="D833" i="4" s="1" a="1"/>
  <c r="D833" i="4" s="1"/>
  <c r="G468" i="4"/>
  <c r="H468" i="4" s="1"/>
  <c r="G325" i="4"/>
  <c r="H325" i="4" s="1"/>
  <c r="H399" i="4"/>
  <c r="I399" i="4" s="1"/>
  <c r="D407" i="4" s="1" a="1"/>
  <c r="D407" i="4" s="1"/>
  <c r="I701" i="4"/>
  <c r="D773" i="4" s="1" a="1"/>
  <c r="D773" i="4" s="1"/>
  <c r="I666" i="4"/>
  <c r="D696" i="4" s="1" a="1"/>
  <c r="D696" i="4" s="1"/>
  <c r="H729" i="4"/>
  <c r="I729" i="4" s="1"/>
  <c r="D829" i="4" s="1" a="1"/>
  <c r="D829" i="4" s="1"/>
  <c r="G676" i="4"/>
  <c r="H676" i="4" s="1"/>
  <c r="I676" i="4" s="1"/>
  <c r="D682" i="4" s="1" a="1"/>
  <c r="D682" i="4" s="1"/>
  <c r="F549" i="4"/>
  <c r="F745" i="4"/>
  <c r="F657" i="4"/>
  <c r="F577" i="4"/>
  <c r="G577" i="4" s="1"/>
  <c r="F728" i="4" l="1"/>
  <c r="G728" i="4" s="1"/>
  <c r="H728" i="4" s="1"/>
  <c r="I728" i="4" s="1"/>
  <c r="D759" i="4" s="1" a="1"/>
  <c r="D759" i="4" s="1"/>
  <c r="H688" i="4"/>
  <c r="I688" i="4" s="1"/>
  <c r="D710" i="4" s="1" a="1"/>
  <c r="D710" i="4" s="1"/>
  <c r="F710" i="4" s="1"/>
  <c r="F554" i="4"/>
  <c r="G554" i="4" s="1"/>
  <c r="G674" i="4"/>
  <c r="H864" i="4"/>
  <c r="I864" i="4" s="1"/>
  <c r="D919" i="4" s="1" a="1"/>
  <c r="D919" i="4" s="1"/>
  <c r="F760" i="4"/>
  <c r="G760" i="4" s="1"/>
  <c r="H760" i="4" s="1"/>
  <c r="I760" i="4" s="1"/>
  <c r="D779" i="4" s="1" a="1"/>
  <c r="D779" i="4" s="1"/>
  <c r="F779" i="4" s="1"/>
  <c r="G779" i="4" s="1"/>
  <c r="H611" i="4"/>
  <c r="I611" i="4" s="1"/>
  <c r="D751" i="4" s="1" a="1"/>
  <c r="D751" i="4" s="1"/>
  <c r="F751" i="4" s="1"/>
  <c r="G602" i="4"/>
  <c r="H602" i="4" s="1"/>
  <c r="I602" i="4" s="1"/>
  <c r="D620" i="4" s="1" a="1"/>
  <c r="D620" i="4" s="1"/>
  <c r="G342" i="4"/>
  <c r="H342" i="4" s="1"/>
  <c r="I342" i="4" s="1"/>
  <c r="D434" i="4" s="1" a="1"/>
  <c r="D434" i="4" s="1"/>
  <c r="I785" i="4"/>
  <c r="D814" i="4" s="1" a="1"/>
  <c r="D814" i="4" s="1"/>
  <c r="H627" i="4"/>
  <c r="I627" i="4"/>
  <c r="D637" i="4" s="1" a="1"/>
  <c r="D637" i="4" s="1"/>
  <c r="H579" i="4"/>
  <c r="I579" i="4" s="1"/>
  <c r="D607" i="4" s="1" a="1"/>
  <c r="D607" i="4" s="1"/>
  <c r="F727" i="4"/>
  <c r="G727" i="4" s="1"/>
  <c r="F715" i="4"/>
  <c r="G715" i="4" s="1"/>
  <c r="F846" i="4"/>
  <c r="G846" i="4" s="1"/>
  <c r="G595" i="4"/>
  <c r="H595" i="4" s="1"/>
  <c r="I595" i="4" s="1"/>
  <c r="D711" i="4" s="1" a="1"/>
  <c r="D711" i="4" s="1"/>
  <c r="H875" i="4"/>
  <c r="I875" i="4" s="1"/>
  <c r="D908" i="4" s="1" a="1"/>
  <c r="D908" i="4" s="1"/>
  <c r="G553" i="4"/>
  <c r="H553" i="4" s="1"/>
  <c r="I553" i="4" s="1"/>
  <c r="D557" i="4" s="1" a="1"/>
  <c r="D557" i="4" s="1"/>
  <c r="F557" i="4" s="1"/>
  <c r="H888" i="4"/>
  <c r="I888" i="4" s="1"/>
  <c r="I325" i="4"/>
  <c r="D427" i="4" s="1" a="1"/>
  <c r="D427" i="4" s="1"/>
  <c r="H577" i="4"/>
  <c r="I577" i="4" s="1"/>
  <c r="D589" i="4" s="1" a="1"/>
  <c r="D589" i="4" s="1"/>
  <c r="H652" i="4"/>
  <c r="I652" i="4" s="1"/>
  <c r="D685" i="4" s="1" a="1"/>
  <c r="D685" i="4" s="1"/>
  <c r="F685" i="4" s="1"/>
  <c r="G685" i="4" s="1"/>
  <c r="F833" i="4"/>
  <c r="F682" i="4"/>
  <c r="G682" i="4"/>
  <c r="F828" i="4"/>
  <c r="G828" i="4" s="1"/>
  <c r="H828" i="4" s="1"/>
  <c r="I796" i="4"/>
  <c r="D798" i="4" s="1" a="1"/>
  <c r="D798" i="4" s="1"/>
  <c r="F829" i="4"/>
  <c r="G829" i="4" s="1"/>
  <c r="F651" i="4"/>
  <c r="G745" i="4"/>
  <c r="G549" i="4"/>
  <c r="H549" i="4" s="1"/>
  <c r="F773" i="4"/>
  <c r="G773" i="4"/>
  <c r="I468" i="4"/>
  <c r="D510" i="4" s="1" a="1"/>
  <c r="D510" i="4" s="1"/>
  <c r="F547" i="4"/>
  <c r="G547" i="4" s="1"/>
  <c r="F407" i="4"/>
  <c r="G657" i="4"/>
  <c r="H865" i="4"/>
  <c r="I865" i="4" s="1"/>
  <c r="D901" i="4" s="1" a="1"/>
  <c r="D901" i="4" s="1"/>
  <c r="H674" i="4"/>
  <c r="I674" i="4" s="1"/>
  <c r="D679" i="4" s="1" a="1"/>
  <c r="D679" i="4" s="1"/>
  <c r="F506" i="4"/>
  <c r="G506" i="4" s="1"/>
  <c r="F484" i="4"/>
  <c r="G484" i="4" s="1"/>
  <c r="F696" i="4"/>
  <c r="G696" i="4" s="1"/>
  <c r="F759" i="4" l="1"/>
  <c r="G759" i="4" s="1"/>
  <c r="H547" i="4"/>
  <c r="I547" i="4" s="1"/>
  <c r="D550" i="4" s="1" a="1"/>
  <c r="D550" i="4" s="1"/>
  <c r="F550" i="4" s="1"/>
  <c r="F919" i="4"/>
  <c r="G919" i="4" s="1"/>
  <c r="H727" i="4"/>
  <c r="H554" i="4"/>
  <c r="I554" i="4" s="1"/>
  <c r="D592" i="4" s="1" a="1"/>
  <c r="D592" i="4" s="1"/>
  <c r="F434" i="4"/>
  <c r="G434" i="4" s="1"/>
  <c r="H434" i="4" s="1"/>
  <c r="I434" i="4" s="1"/>
  <c r="D456" i="4" s="1" a="1"/>
  <c r="D456" i="4" s="1"/>
  <c r="F814" i="4"/>
  <c r="G814" i="4" s="1"/>
  <c r="H814" i="4" s="1"/>
  <c r="I814" i="4" s="1"/>
  <c r="D861" i="4" s="1" a="1"/>
  <c r="D861" i="4" s="1"/>
  <c r="H696" i="4"/>
  <c r="I696" i="4" s="1"/>
  <c r="D733" i="4" s="1" a="1"/>
  <c r="D733" i="4" s="1"/>
  <c r="F733" i="4" s="1"/>
  <c r="I727" i="4"/>
  <c r="D732" i="4" s="1" a="1"/>
  <c r="D732" i="4" s="1"/>
  <c r="F607" i="4"/>
  <c r="H715" i="4"/>
  <c r="I715" i="4" s="1"/>
  <c r="D739" i="4" s="1" a="1"/>
  <c r="D739" i="4" s="1"/>
  <c r="F739" i="4" s="1"/>
  <c r="G739" i="4" s="1"/>
  <c r="H739" i="4" s="1"/>
  <c r="F637" i="4"/>
  <c r="G637" i="4" s="1"/>
  <c r="H637" i="4" s="1"/>
  <c r="I637" i="4" s="1"/>
  <c r="D653" i="4" s="1" a="1"/>
  <c r="D653" i="4" s="1"/>
  <c r="G751" i="4"/>
  <c r="H751" i="4" s="1"/>
  <c r="I751" i="4" s="1"/>
  <c r="D752" i="4" s="1" a="1"/>
  <c r="D752" i="4" s="1"/>
  <c r="H846" i="4"/>
  <c r="I846" i="4" s="1"/>
  <c r="D874" i="4" s="1" a="1"/>
  <c r="D874" i="4" s="1"/>
  <c r="F874" i="4" s="1"/>
  <c r="G557" i="4"/>
  <c r="H557" i="4" s="1"/>
  <c r="H773" i="4"/>
  <c r="I773" i="4" s="1"/>
  <c r="D793" i="4" s="1" a="1"/>
  <c r="D793" i="4" s="1"/>
  <c r="F793" i="4" s="1"/>
  <c r="H779" i="4"/>
  <c r="I779" i="4" s="1"/>
  <c r="D819" i="4" s="1" a="1"/>
  <c r="D819" i="4" s="1"/>
  <c r="F908" i="4"/>
  <c r="G908" i="4" s="1"/>
  <c r="H908" i="4" s="1"/>
  <c r="I908" i="4" s="1"/>
  <c r="F427" i="4"/>
  <c r="G427" i="4" s="1"/>
  <c r="H427" i="4" s="1"/>
  <c r="I427" i="4" s="1"/>
  <c r="D731" i="4" s="1" a="1"/>
  <c r="D731" i="4" s="1"/>
  <c r="F731" i="4" s="1"/>
  <c r="G731" i="4" s="1"/>
  <c r="H682" i="4"/>
  <c r="I682" i="4" s="1"/>
  <c r="D730" i="4" s="1" a="1"/>
  <c r="D730" i="4" s="1"/>
  <c r="H685" i="4"/>
  <c r="I685" i="4" s="1"/>
  <c r="D736" i="4" s="1" a="1"/>
  <c r="D736" i="4" s="1"/>
  <c r="F736" i="4" s="1"/>
  <c r="G736" i="4" s="1"/>
  <c r="G407" i="4"/>
  <c r="I828" i="4"/>
  <c r="D845" i="4" s="1" a="1"/>
  <c r="D845" i="4" s="1"/>
  <c r="F679" i="4"/>
  <c r="G679" i="4" s="1"/>
  <c r="H679" i="4" s="1"/>
  <c r="I679" i="4" s="1"/>
  <c r="D691" i="4" s="1" a="1"/>
  <c r="D691" i="4" s="1"/>
  <c r="H829" i="4"/>
  <c r="I829" i="4" s="1"/>
  <c r="D831" i="4" s="1" a="1"/>
  <c r="D831" i="4" s="1"/>
  <c r="H484" i="4"/>
  <c r="G710" i="4"/>
  <c r="H710" i="4" s="1"/>
  <c r="F711" i="4"/>
  <c r="G711" i="4" s="1"/>
  <c r="F589" i="4"/>
  <c r="I484" i="4"/>
  <c r="D509" i="4" s="1" a="1"/>
  <c r="D509" i="4" s="1"/>
  <c r="H745" i="4"/>
  <c r="I745" i="4" s="1"/>
  <c r="D816" i="4" s="1" a="1"/>
  <c r="D816" i="4" s="1"/>
  <c r="H506" i="4"/>
  <c r="I506" i="4" s="1"/>
  <c r="D578" i="4" s="1" a="1"/>
  <c r="D578" i="4" s="1"/>
  <c r="F510" i="4"/>
  <c r="G510" i="4"/>
  <c r="H510" i="4" s="1"/>
  <c r="I549" i="4"/>
  <c r="D572" i="4" s="1" a="1"/>
  <c r="D572" i="4" s="1"/>
  <c r="H657" i="4"/>
  <c r="I657" i="4" s="1"/>
  <c r="D663" i="4" s="1" a="1"/>
  <c r="D663" i="4" s="1"/>
  <c r="F620" i="4"/>
  <c r="G620" i="4" s="1"/>
  <c r="G651" i="4"/>
  <c r="H651" i="4" s="1"/>
  <c r="I651" i="4" s="1"/>
  <c r="D668" i="4" s="1" a="1"/>
  <c r="D668" i="4" s="1"/>
  <c r="G833" i="4"/>
  <c r="H833" i="4" s="1"/>
  <c r="I833" i="4" s="1"/>
  <c r="D856" i="4" s="1" a="1"/>
  <c r="D856" i="4" s="1"/>
  <c r="F901" i="4"/>
  <c r="H901" i="4" s="1"/>
  <c r="I901" i="4" s="1"/>
  <c r="D961" i="4" s="1" a="1"/>
  <c r="D961" i="4" s="1"/>
  <c r="G901" i="4"/>
  <c r="F798" i="4"/>
  <c r="G798" i="4" s="1"/>
  <c r="H759" i="4" l="1"/>
  <c r="I759" i="4" s="1"/>
  <c r="D810" i="4" s="1" a="1"/>
  <c r="D810" i="4" s="1"/>
  <c r="F456" i="4"/>
  <c r="F592" i="4"/>
  <c r="G592" i="4" s="1"/>
  <c r="H592" i="4" s="1"/>
  <c r="I592" i="4" s="1"/>
  <c r="D593" i="4" s="1" a="1"/>
  <c r="D593" i="4" s="1"/>
  <c r="H919" i="4"/>
  <c r="I919" i="4" s="1"/>
  <c r="F653" i="4"/>
  <c r="G653" i="4" s="1"/>
  <c r="F752" i="4"/>
  <c r="G752" i="4"/>
  <c r="H752" i="4" s="1"/>
  <c r="I752" i="4" s="1"/>
  <c r="D754" i="4" s="1" a="1"/>
  <c r="D754" i="4" s="1"/>
  <c r="F861" i="4"/>
  <c r="F732" i="4"/>
  <c r="G732" i="4" s="1"/>
  <c r="I510" i="4"/>
  <c r="D571" i="4" s="1" a="1"/>
  <c r="D571" i="4" s="1"/>
  <c r="G607" i="4"/>
  <c r="G874" i="4"/>
  <c r="H874" i="4" s="1"/>
  <c r="I557" i="4"/>
  <c r="D563" i="4" s="1" a="1"/>
  <c r="D563" i="4" s="1"/>
  <c r="F563" i="4" s="1"/>
  <c r="G563" i="4" s="1"/>
  <c r="I739" i="4"/>
  <c r="D742" i="4" s="1" a="1"/>
  <c r="D742" i="4" s="1"/>
  <c r="F742" i="4" s="1"/>
  <c r="H736" i="4"/>
  <c r="I736" i="4" s="1"/>
  <c r="D811" i="4" s="1" a="1"/>
  <c r="D811" i="4" s="1"/>
  <c r="F819" i="4"/>
  <c r="G819" i="4" s="1"/>
  <c r="H407" i="4"/>
  <c r="I407" i="4" s="1"/>
  <c r="D441" i="4" s="1" a="1"/>
  <c r="D441" i="4" s="1"/>
  <c r="G733" i="4"/>
  <c r="H733" i="4" s="1"/>
  <c r="I710" i="4"/>
  <c r="D820" i="4" s="1" a="1"/>
  <c r="D820" i="4" s="1"/>
  <c r="F820" i="4" s="1"/>
  <c r="F961" i="4"/>
  <c r="G961" i="4" s="1"/>
  <c r="F668" i="4"/>
  <c r="G668" i="4" s="1"/>
  <c r="H668" i="4" s="1"/>
  <c r="I668" i="4" s="1"/>
  <c r="D716" i="4" s="1" a="1"/>
  <c r="D716" i="4" s="1"/>
  <c r="F831" i="4"/>
  <c r="G831" i="4" s="1"/>
  <c r="F856" i="4"/>
  <c r="F691" i="4"/>
  <c r="G691" i="4" s="1"/>
  <c r="F663" i="4"/>
  <c r="G663" i="4" s="1"/>
  <c r="H663" i="4" s="1"/>
  <c r="H731" i="4"/>
  <c r="I731" i="4" s="1"/>
  <c r="D738" i="4" s="1" a="1"/>
  <c r="D738" i="4" s="1"/>
  <c r="F509" i="4"/>
  <c r="G509" i="4" s="1"/>
  <c r="G589" i="4"/>
  <c r="H589" i="4" s="1"/>
  <c r="I589" i="4" s="1"/>
  <c r="D597" i="4" s="1" a="1"/>
  <c r="D597" i="4" s="1"/>
  <c r="F845" i="4"/>
  <c r="G845" i="4" s="1"/>
  <c r="F730" i="4"/>
  <c r="G730" i="4" s="1"/>
  <c r="G793" i="4"/>
  <c r="H793" i="4" s="1"/>
  <c r="H711" i="4"/>
  <c r="I711" i="4" s="1"/>
  <c r="D802" i="4" s="1" a="1"/>
  <c r="D802" i="4" s="1"/>
  <c r="G550" i="4"/>
  <c r="H550" i="4" s="1"/>
  <c r="I550" i="4" s="1"/>
  <c r="D596" i="4" s="1" a="1"/>
  <c r="D596" i="4" s="1"/>
  <c r="F578" i="4"/>
  <c r="G578" i="4" s="1"/>
  <c r="H578" i="4" s="1"/>
  <c r="I578" i="4" s="1"/>
  <c r="D588" i="4" s="1" a="1"/>
  <c r="D588" i="4" s="1"/>
  <c r="F572" i="4"/>
  <c r="G572" i="4" s="1"/>
  <c r="F816" i="4"/>
  <c r="G816" i="4" s="1"/>
  <c r="H816" i="4" s="1"/>
  <c r="I816" i="4" s="1"/>
  <c r="D902" i="4" s="1" a="1"/>
  <c r="D902" i="4" s="1"/>
  <c r="H798" i="4"/>
  <c r="I798" i="4" s="1"/>
  <c r="D868" i="4" s="1" a="1"/>
  <c r="D868" i="4" s="1"/>
  <c r="H620" i="4"/>
  <c r="I620" i="4" s="1"/>
  <c r="D633" i="4" s="1" a="1"/>
  <c r="D633" i="4" s="1"/>
  <c r="F810" i="4" l="1"/>
  <c r="G810" i="4" s="1"/>
  <c r="G456" i="4"/>
  <c r="H456" i="4" s="1"/>
  <c r="H691" i="4"/>
  <c r="I691" i="4" s="1"/>
  <c r="D746" i="4" s="1" a="1"/>
  <c r="D746" i="4" s="1"/>
  <c r="F746" i="4" s="1"/>
  <c r="G746" i="4" s="1"/>
  <c r="G861" i="4"/>
  <c r="H861" i="4" s="1"/>
  <c r="I861" i="4" s="1"/>
  <c r="D866" i="4" s="1" a="1"/>
  <c r="D866" i="4" s="1"/>
  <c r="F866" i="4" s="1"/>
  <c r="G866" i="4" s="1"/>
  <c r="F593" i="4"/>
  <c r="G593" i="4"/>
  <c r="H593" i="4" s="1"/>
  <c r="F754" i="4"/>
  <c r="G754" i="4" s="1"/>
  <c r="I874" i="4"/>
  <c r="D892" i="4" s="1" a="1"/>
  <c r="D892" i="4" s="1"/>
  <c r="F892" i="4" s="1"/>
  <c r="H732" i="4"/>
  <c r="F571" i="4"/>
  <c r="H607" i="4"/>
  <c r="I607" i="4" s="1"/>
  <c r="D672" i="4" s="1" a="1"/>
  <c r="D672" i="4" s="1"/>
  <c r="G742" i="4"/>
  <c r="H742" i="4" s="1"/>
  <c r="H653" i="4"/>
  <c r="I653" i="4" s="1"/>
  <c r="D669" i="4" s="1" a="1"/>
  <c r="D669" i="4" s="1"/>
  <c r="F669" i="4" s="1"/>
  <c r="H563" i="4"/>
  <c r="I563" i="4" s="1"/>
  <c r="D600" i="4" s="1" a="1"/>
  <c r="D600" i="4" s="1"/>
  <c r="F600" i="4" s="1"/>
  <c r="I732" i="4"/>
  <c r="D740" i="4" s="1" a="1"/>
  <c r="D740" i="4" s="1"/>
  <c r="H961" i="4"/>
  <c r="I961" i="4" s="1"/>
  <c r="H509" i="4"/>
  <c r="I509" i="4" s="1"/>
  <c r="D606" i="4" s="1" a="1"/>
  <c r="D606" i="4" s="1"/>
  <c r="F441" i="4"/>
  <c r="G441" i="4" s="1"/>
  <c r="H441" i="4" s="1"/>
  <c r="I441" i="4" s="1"/>
  <c r="D460" i="4" s="1" a="1"/>
  <c r="D460" i="4" s="1"/>
  <c r="F460" i="4" s="1"/>
  <c r="F811" i="4"/>
  <c r="G811" i="4" s="1"/>
  <c r="I733" i="4"/>
  <c r="D867" i="4" s="1" a="1"/>
  <c r="D867" i="4" s="1"/>
  <c r="F867" i="4" s="1"/>
  <c r="G867" i="4" s="1"/>
  <c r="H572" i="4"/>
  <c r="I572" i="4" s="1"/>
  <c r="D574" i="4" s="1" a="1"/>
  <c r="D574" i="4" s="1"/>
  <c r="F574" i="4" s="1"/>
  <c r="I793" i="4"/>
  <c r="D806" i="4" s="1" a="1"/>
  <c r="D806" i="4" s="1"/>
  <c r="F806" i="4" s="1"/>
  <c r="H819" i="4"/>
  <c r="I819" i="4" s="1"/>
  <c r="D840" i="4" s="1" a="1"/>
  <c r="D840" i="4" s="1"/>
  <c r="F716" i="4"/>
  <c r="G716" i="4" s="1"/>
  <c r="F596" i="4"/>
  <c r="G596" i="4" s="1"/>
  <c r="H596" i="4" s="1"/>
  <c r="F802" i="4"/>
  <c r="G802" i="4" s="1"/>
  <c r="H802" i="4" s="1"/>
  <c r="I802" i="4" s="1"/>
  <c r="D855" i="4" s="1" a="1"/>
  <c r="D855" i="4" s="1"/>
  <c r="F738" i="4"/>
  <c r="G738" i="4" s="1"/>
  <c r="H738" i="4" s="1"/>
  <c r="I738" i="4" s="1"/>
  <c r="D897" i="4" s="1" a="1"/>
  <c r="D897" i="4" s="1"/>
  <c r="F902" i="4"/>
  <c r="G902" i="4"/>
  <c r="H902" i="4" s="1"/>
  <c r="H845" i="4"/>
  <c r="I845" i="4" s="1"/>
  <c r="D847" i="4" s="1" a="1"/>
  <c r="D847" i="4" s="1"/>
  <c r="F588" i="4"/>
  <c r="G588" i="4" s="1"/>
  <c r="H588" i="4" s="1"/>
  <c r="F633" i="4"/>
  <c r="G633" i="4" s="1"/>
  <c r="H633" i="4" s="1"/>
  <c r="F597" i="4"/>
  <c r="G597" i="4" s="1"/>
  <c r="H597" i="4" s="1"/>
  <c r="H730" i="4"/>
  <c r="I730" i="4" s="1"/>
  <c r="D772" i="4" s="1" a="1"/>
  <c r="D772" i="4" s="1"/>
  <c r="F868" i="4"/>
  <c r="G868" i="4" s="1"/>
  <c r="G820" i="4"/>
  <c r="H820" i="4" s="1"/>
  <c r="G856" i="4"/>
  <c r="H856" i="4" s="1"/>
  <c r="I856" i="4" s="1"/>
  <c r="D998" i="4" s="1" a="1"/>
  <c r="D998" i="4" s="1"/>
  <c r="H831" i="4"/>
  <c r="I831" i="4" s="1"/>
  <c r="D836" i="4" s="1" a="1"/>
  <c r="D836" i="4" s="1"/>
  <c r="I593" i="4"/>
  <c r="D613" i="4" s="1" a="1"/>
  <c r="D613" i="4" s="1"/>
  <c r="I663" i="4"/>
  <c r="D698" i="4" s="1" a="1"/>
  <c r="D698" i="4" s="1"/>
  <c r="H810" i="4" l="1"/>
  <c r="I810" i="4" s="1"/>
  <c r="D964" i="4" s="1" a="1"/>
  <c r="D964" i="4" s="1"/>
  <c r="F964" i="4" s="1"/>
  <c r="G964" i="4" s="1"/>
  <c r="I456" i="4"/>
  <c r="D487" i="4" s="1" a="1"/>
  <c r="D487" i="4" s="1"/>
  <c r="F487" i="4" s="1"/>
  <c r="G487" i="4" s="1"/>
  <c r="H754" i="4"/>
  <c r="I754" i="4" s="1"/>
  <c r="D764" i="4" s="1" a="1"/>
  <c r="D764" i="4" s="1"/>
  <c r="F764" i="4" s="1"/>
  <c r="H716" i="4"/>
  <c r="I716" i="4" s="1"/>
  <c r="D784" i="4" s="1" a="1"/>
  <c r="D784" i="4" s="1"/>
  <c r="H964" i="4"/>
  <c r="I964" i="4" s="1"/>
  <c r="D973" i="4" s="1" a="1"/>
  <c r="D973" i="4" s="1"/>
  <c r="F973" i="4" s="1"/>
  <c r="G669" i="4"/>
  <c r="H669" i="4" s="1"/>
  <c r="F672" i="4"/>
  <c r="G672" i="4" s="1"/>
  <c r="H672" i="4" s="1"/>
  <c r="F606" i="4"/>
  <c r="G606" i="4"/>
  <c r="H606" i="4" s="1"/>
  <c r="I606" i="4" s="1"/>
  <c r="D618" i="4" s="1" a="1"/>
  <c r="D618" i="4" s="1"/>
  <c r="F618" i="4" s="1"/>
  <c r="G618" i="4" s="1"/>
  <c r="I742" i="4"/>
  <c r="D771" i="4" s="1" a="1"/>
  <c r="D771" i="4" s="1"/>
  <c r="H746" i="4"/>
  <c r="I746" i="4" s="1"/>
  <c r="D786" i="4" s="1" a="1"/>
  <c r="D786" i="4" s="1"/>
  <c r="F786" i="4" s="1"/>
  <c r="G786" i="4" s="1"/>
  <c r="H786" i="4" s="1"/>
  <c r="I786" i="4" s="1"/>
  <c r="D939" i="4" s="1" a="1"/>
  <c r="D939" i="4" s="1"/>
  <c r="G600" i="4"/>
  <c r="G571" i="4"/>
  <c r="H571" i="4" s="1"/>
  <c r="I571" i="4" s="1"/>
  <c r="D617" i="4" s="1" a="1"/>
  <c r="D617" i="4" s="1"/>
  <c r="F740" i="4"/>
  <c r="G740" i="4" s="1"/>
  <c r="H866" i="4"/>
  <c r="I866" i="4" s="1"/>
  <c r="D872" i="4" s="1" a="1"/>
  <c r="D872" i="4" s="1"/>
  <c r="F872" i="4" s="1"/>
  <c r="H867" i="4"/>
  <c r="I867" i="4" s="1"/>
  <c r="D869" i="4" s="1" a="1"/>
  <c r="D869" i="4" s="1"/>
  <c r="F869" i="4" s="1"/>
  <c r="G869" i="4" s="1"/>
  <c r="H811" i="4"/>
  <c r="I811" i="4" s="1"/>
  <c r="D838" i="4" s="1" a="1"/>
  <c r="D838" i="4" s="1"/>
  <c r="F838" i="4" s="1"/>
  <c r="F840" i="4"/>
  <c r="G840" i="4" s="1"/>
  <c r="I902" i="4"/>
  <c r="D912" i="4" s="1" a="1"/>
  <c r="D912" i="4" s="1"/>
  <c r="F912" i="4" s="1"/>
  <c r="G806" i="4"/>
  <c r="I597" i="4"/>
  <c r="D626" i="4" s="1" a="1"/>
  <c r="D626" i="4" s="1"/>
  <c r="F626" i="4" s="1"/>
  <c r="F772" i="4"/>
  <c r="G772" i="4" s="1"/>
  <c r="H772" i="4" s="1"/>
  <c r="F847" i="4"/>
  <c r="G847" i="4" s="1"/>
  <c r="F855" i="4"/>
  <c r="G855" i="4" s="1"/>
  <c r="H855" i="4" s="1"/>
  <c r="I855" i="4" s="1"/>
  <c r="D899" i="4" s="1" a="1"/>
  <c r="D899" i="4" s="1"/>
  <c r="H868" i="4"/>
  <c r="I868" i="4" s="1"/>
  <c r="D884" i="4" s="1" a="1"/>
  <c r="D884" i="4" s="1"/>
  <c r="F998" i="4"/>
  <c r="G998" i="4" s="1"/>
  <c r="F836" i="4"/>
  <c r="G836" i="4" s="1"/>
  <c r="G460" i="4"/>
  <c r="H460" i="4" s="1"/>
  <c r="I460" i="4" s="1"/>
  <c r="D465" i="4" s="1" a="1"/>
  <c r="D465" i="4" s="1"/>
  <c r="I669" i="4"/>
  <c r="D722" i="4" s="1" a="1"/>
  <c r="D722" i="4" s="1"/>
  <c r="G892" i="4"/>
  <c r="H892" i="4" s="1"/>
  <c r="G574" i="4"/>
  <c r="H574" i="4" s="1"/>
  <c r="F897" i="4"/>
  <c r="G897" i="4" s="1"/>
  <c r="F698" i="4"/>
  <c r="G698" i="4"/>
  <c r="H698" i="4" s="1"/>
  <c r="I633" i="4"/>
  <c r="D680" i="4" s="1" a="1"/>
  <c r="D680" i="4" s="1"/>
  <c r="F613" i="4"/>
  <c r="G613" i="4" s="1"/>
  <c r="I820" i="4"/>
  <c r="D878" i="4" s="1" a="1"/>
  <c r="D878" i="4" s="1"/>
  <c r="I588" i="4"/>
  <c r="D675" i="4" s="1" a="1"/>
  <c r="D675" i="4" s="1"/>
  <c r="I596" i="4"/>
  <c r="D636" i="4" s="1" a="1"/>
  <c r="D636" i="4" s="1"/>
  <c r="H487" i="4" l="1"/>
  <c r="I487" i="4" s="1"/>
  <c r="D529" i="4" s="1" a="1"/>
  <c r="D529" i="4" s="1"/>
  <c r="G764" i="4"/>
  <c r="H764" i="4"/>
  <c r="I764" i="4" s="1"/>
  <c r="D783" i="4" s="1" a="1"/>
  <c r="D783" i="4" s="1"/>
  <c r="H840" i="4"/>
  <c r="I840" i="4" s="1"/>
  <c r="D848" i="4" s="1" a="1"/>
  <c r="D848" i="4" s="1"/>
  <c r="F848" i="4" s="1"/>
  <c r="H740" i="4"/>
  <c r="I740" i="4" s="1"/>
  <c r="D756" i="4" s="1" a="1"/>
  <c r="D756" i="4" s="1"/>
  <c r="F756" i="4" s="1"/>
  <c r="G756" i="4" s="1"/>
  <c r="I892" i="4"/>
  <c r="D997" i="4" s="1" a="1"/>
  <c r="D997" i="4" s="1"/>
  <c r="F997" i="4" s="1"/>
  <c r="G997" i="4" s="1"/>
  <c r="F784" i="4"/>
  <c r="G784" i="4" s="1"/>
  <c r="H784" i="4" s="1"/>
  <c r="I784" i="4" s="1"/>
  <c r="D859" i="4" s="1" a="1"/>
  <c r="D859" i="4" s="1"/>
  <c r="F859" i="4" s="1"/>
  <c r="G626" i="4"/>
  <c r="H626" i="4" s="1"/>
  <c r="I626" i="4" s="1"/>
  <c r="D776" i="4" s="1" a="1"/>
  <c r="D776" i="4" s="1"/>
  <c r="F776" i="4" s="1"/>
  <c r="H897" i="4"/>
  <c r="I897" i="4" s="1"/>
  <c r="D946" i="4" s="1" a="1"/>
  <c r="D946" i="4" s="1"/>
  <c r="F946" i="4" s="1"/>
  <c r="G946" i="4" s="1"/>
  <c r="F617" i="4"/>
  <c r="F771" i="4"/>
  <c r="G771" i="4" s="1"/>
  <c r="H600" i="4"/>
  <c r="I600" i="4" s="1"/>
  <c r="D603" i="4" s="1" a="1"/>
  <c r="D603" i="4" s="1"/>
  <c r="G872" i="4"/>
  <c r="H872" i="4" s="1"/>
  <c r="I672" i="4"/>
  <c r="D707" i="4" s="1" a="1"/>
  <c r="D707" i="4" s="1"/>
  <c r="I772" i="4"/>
  <c r="D778" i="4" s="1" a="1"/>
  <c r="D778" i="4" s="1"/>
  <c r="F778" i="4" s="1"/>
  <c r="G838" i="4"/>
  <c r="H806" i="4"/>
  <c r="I806" i="4" s="1"/>
  <c r="D923" i="4" s="1" a="1"/>
  <c r="D923" i="4" s="1"/>
  <c r="I698" i="4"/>
  <c r="D703" i="4" s="1" a="1"/>
  <c r="D703" i="4" s="1"/>
  <c r="F703" i="4" s="1"/>
  <c r="G703" i="4" s="1"/>
  <c r="H703" i="4" s="1"/>
  <c r="H838" i="4"/>
  <c r="F783" i="4"/>
  <c r="G783" i="4" s="1"/>
  <c r="F465" i="4"/>
  <c r="G465" i="4" s="1"/>
  <c r="H465" i="4" s="1"/>
  <c r="F939" i="4"/>
  <c r="G939" i="4" s="1"/>
  <c r="H847" i="4"/>
  <c r="I847" i="4" s="1"/>
  <c r="D860" i="4" s="1" a="1"/>
  <c r="D860" i="4" s="1"/>
  <c r="H618" i="4"/>
  <c r="I618" i="4" s="1"/>
  <c r="D641" i="4" s="1" a="1"/>
  <c r="D641" i="4" s="1"/>
  <c r="H869" i="4"/>
  <c r="I869" i="4" s="1"/>
  <c r="D920" i="4" s="1" a="1"/>
  <c r="D920" i="4" s="1"/>
  <c r="F884" i="4"/>
  <c r="G884" i="4" s="1"/>
  <c r="H884" i="4" s="1"/>
  <c r="G973" i="4"/>
  <c r="F878" i="4"/>
  <c r="G878" i="4"/>
  <c r="H878" i="4" s="1"/>
  <c r="G912" i="4"/>
  <c r="H912" i="4" s="1"/>
  <c r="F675" i="4"/>
  <c r="G675" i="4" s="1"/>
  <c r="H675" i="4" s="1"/>
  <c r="F636" i="4"/>
  <c r="G636" i="4" s="1"/>
  <c r="H998" i="4"/>
  <c r="I998" i="4" s="1"/>
  <c r="I574" i="4"/>
  <c r="D586" i="4" s="1" a="1"/>
  <c r="D586" i="4" s="1"/>
  <c r="F722" i="4"/>
  <c r="G722" i="4" s="1"/>
  <c r="H613" i="4"/>
  <c r="I613" i="4" s="1"/>
  <c r="D645" i="4" s="1" a="1"/>
  <c r="D645" i="4" s="1"/>
  <c r="H836" i="4"/>
  <c r="I836" i="4" s="1"/>
  <c r="D929" i="4" s="1" a="1"/>
  <c r="D929" i="4" s="1"/>
  <c r="F680" i="4"/>
  <c r="G680" i="4" s="1"/>
  <c r="F899" i="4"/>
  <c r="G899" i="4" s="1"/>
  <c r="H899" i="4" s="1"/>
  <c r="F529" i="4" l="1"/>
  <c r="G529" i="4" s="1"/>
  <c r="H529" i="4" s="1"/>
  <c r="H756" i="4"/>
  <c r="I756" i="4" s="1"/>
  <c r="D766" i="4" s="1" a="1"/>
  <c r="D766" i="4" s="1"/>
  <c r="G776" i="4"/>
  <c r="H776" i="4" s="1"/>
  <c r="I872" i="4"/>
  <c r="D906" i="4" s="1" a="1"/>
  <c r="D906" i="4" s="1"/>
  <c r="H722" i="4"/>
  <c r="I722" i="4" s="1"/>
  <c r="D757" i="4" s="1" a="1"/>
  <c r="D757" i="4" s="1"/>
  <c r="F757" i="4" s="1"/>
  <c r="H939" i="4"/>
  <c r="I939" i="4" s="1"/>
  <c r="D992" i="4" s="1" a="1"/>
  <c r="D992" i="4" s="1"/>
  <c r="F766" i="4"/>
  <c r="G766" i="4" s="1"/>
  <c r="F603" i="4"/>
  <c r="G603" i="4"/>
  <c r="H603" i="4" s="1"/>
  <c r="I603" i="4" s="1"/>
  <c r="D610" i="4" s="1" a="1"/>
  <c r="D610" i="4" s="1"/>
  <c r="G778" i="4"/>
  <c r="H778" i="4" s="1"/>
  <c r="G859" i="4"/>
  <c r="H859" i="4" s="1"/>
  <c r="I859" i="4" s="1"/>
  <c r="D882" i="4" s="1" a="1"/>
  <c r="D882" i="4" s="1"/>
  <c r="H771" i="4"/>
  <c r="I771" i="4" s="1"/>
  <c r="D782" i="4" s="1" a="1"/>
  <c r="D782" i="4" s="1"/>
  <c r="F707" i="4"/>
  <c r="G707" i="4"/>
  <c r="H707" i="4" s="1"/>
  <c r="H680" i="4"/>
  <c r="I680" i="4" s="1"/>
  <c r="D709" i="4" s="1" a="1"/>
  <c r="D709" i="4" s="1"/>
  <c r="I776" i="4"/>
  <c r="D823" i="4" s="1" a="1"/>
  <c r="D823" i="4" s="1"/>
  <c r="F823" i="4" s="1"/>
  <c r="G823" i="4" s="1"/>
  <c r="H997" i="4"/>
  <c r="I997" i="4" s="1"/>
  <c r="G617" i="4"/>
  <c r="H617" i="4" s="1"/>
  <c r="H783" i="4"/>
  <c r="I783" i="4" s="1"/>
  <c r="D787" i="4" s="1" a="1"/>
  <c r="D787" i="4" s="1"/>
  <c r="F787" i="4" s="1"/>
  <c r="F923" i="4"/>
  <c r="I899" i="4"/>
  <c r="D952" i="4" s="1" a="1"/>
  <c r="D952" i="4" s="1"/>
  <c r="F952" i="4" s="1"/>
  <c r="G952" i="4" s="1"/>
  <c r="H952" i="4" s="1"/>
  <c r="G848" i="4"/>
  <c r="H848" i="4" s="1"/>
  <c r="I838" i="4"/>
  <c r="D844" i="4" s="1" a="1"/>
  <c r="D844" i="4" s="1"/>
  <c r="F844" i="4" s="1"/>
  <c r="G844" i="4" s="1"/>
  <c r="F860" i="4"/>
  <c r="G860" i="4" s="1"/>
  <c r="H860" i="4" s="1"/>
  <c r="I860" i="4" s="1"/>
  <c r="D876" i="4" s="1" a="1"/>
  <c r="D876" i="4" s="1"/>
  <c r="F929" i="4"/>
  <c r="F641" i="4"/>
  <c r="G641" i="4" s="1"/>
  <c r="H641" i="4" s="1"/>
  <c r="I641" i="4" s="1"/>
  <c r="D660" i="4" s="1" a="1"/>
  <c r="D660" i="4" s="1"/>
  <c r="H946" i="4"/>
  <c r="I946" i="4" s="1"/>
  <c r="D995" i="4" s="1" a="1"/>
  <c r="D995" i="4" s="1"/>
  <c r="F920" i="4"/>
  <c r="G920" i="4" s="1"/>
  <c r="I884" i="4"/>
  <c r="D895" i="4" s="1" a="1"/>
  <c r="D895" i="4" s="1"/>
  <c r="I675" i="4"/>
  <c r="D690" i="4" s="1" a="1"/>
  <c r="D690" i="4" s="1"/>
  <c r="H973" i="4"/>
  <c r="I973" i="4" s="1"/>
  <c r="D980" i="4" s="1" a="1"/>
  <c r="D980" i="4" s="1"/>
  <c r="I912" i="4"/>
  <c r="D931" i="4" s="1" a="1"/>
  <c r="D931" i="4" s="1"/>
  <c r="F586" i="4"/>
  <c r="G586" i="4" s="1"/>
  <c r="H586" i="4" s="1"/>
  <c r="I465" i="4"/>
  <c r="D561" i="4" s="1" a="1"/>
  <c r="D561" i="4" s="1"/>
  <c r="I878" i="4"/>
  <c r="D879" i="4" s="1" a="1"/>
  <c r="D879" i="4" s="1"/>
  <c r="I703" i="4"/>
  <c r="D725" i="4" s="1" a="1"/>
  <c r="D725" i="4" s="1"/>
  <c r="F906" i="4"/>
  <c r="G906" i="4" s="1"/>
  <c r="F645" i="4"/>
  <c r="G645" i="4"/>
  <c r="H636" i="4"/>
  <c r="I636" i="4"/>
  <c r="D642" i="4" s="1" a="1"/>
  <c r="D642" i="4" s="1"/>
  <c r="I529" i="4" l="1"/>
  <c r="D564" i="4" s="1" a="1"/>
  <c r="D564" i="4" s="1"/>
  <c r="F564" i="4" s="1"/>
  <c r="G564" i="4" s="1"/>
  <c r="H564" i="4" s="1"/>
  <c r="F992" i="4"/>
  <c r="G992" i="4" s="1"/>
  <c r="H992" i="4" s="1"/>
  <c r="I992" i="4" s="1"/>
  <c r="I617" i="4"/>
  <c r="D635" i="4" s="1" a="1"/>
  <c r="D635" i="4" s="1"/>
  <c r="F635" i="4" s="1"/>
  <c r="G923" i="4"/>
  <c r="F882" i="4"/>
  <c r="F709" i="4"/>
  <c r="G709" i="4" s="1"/>
  <c r="F610" i="4"/>
  <c r="F782" i="4"/>
  <c r="G782" i="4" s="1"/>
  <c r="H766" i="4"/>
  <c r="I766" i="4"/>
  <c r="D795" i="4" s="1" a="1"/>
  <c r="D795" i="4" s="1"/>
  <c r="F795" i="4" s="1"/>
  <c r="I707" i="4"/>
  <c r="D741" i="4" s="1" a="1"/>
  <c r="D741" i="4" s="1"/>
  <c r="G929" i="4"/>
  <c r="I778" i="4"/>
  <c r="D799" i="4" s="1" a="1"/>
  <c r="D799" i="4" s="1"/>
  <c r="H844" i="4"/>
  <c r="I844" i="4" s="1"/>
  <c r="D890" i="4" s="1" a="1"/>
  <c r="D890" i="4" s="1"/>
  <c r="F890" i="4" s="1"/>
  <c r="G890" i="4" s="1"/>
  <c r="H920" i="4"/>
  <c r="I920" i="4" s="1"/>
  <c r="D959" i="4" s="1" a="1"/>
  <c r="D959" i="4" s="1"/>
  <c r="F959" i="4" s="1"/>
  <c r="G959" i="4" s="1"/>
  <c r="G635" i="4"/>
  <c r="H635" i="4" s="1"/>
  <c r="I635" i="4" s="1"/>
  <c r="D648" i="4" s="1" a="1"/>
  <c r="D648" i="4" s="1"/>
  <c r="H645" i="4"/>
  <c r="I645" i="4" s="1"/>
  <c r="D750" i="4" s="1" a="1"/>
  <c r="D750" i="4" s="1"/>
  <c r="F750" i="4" s="1"/>
  <c r="I848" i="4"/>
  <c r="D891" i="4" s="1" a="1"/>
  <c r="D891" i="4" s="1"/>
  <c r="F995" i="4"/>
  <c r="G995" i="4" s="1"/>
  <c r="H906" i="4"/>
  <c r="I906" i="4" s="1"/>
  <c r="D930" i="4" s="1" a="1"/>
  <c r="D930" i="4" s="1"/>
  <c r="F980" i="4"/>
  <c r="F876" i="4"/>
  <c r="G876" i="4" s="1"/>
  <c r="F660" i="4"/>
  <c r="G660" i="4" s="1"/>
  <c r="H823" i="4"/>
  <c r="I823" i="4" s="1"/>
  <c r="D881" i="4" s="1" a="1"/>
  <c r="D881" i="4" s="1"/>
  <c r="F879" i="4"/>
  <c r="G879" i="4" s="1"/>
  <c r="F690" i="4"/>
  <c r="G690" i="4" s="1"/>
  <c r="F642" i="4"/>
  <c r="G642" i="4" s="1"/>
  <c r="F725" i="4"/>
  <c r="G725" i="4" s="1"/>
  <c r="F895" i="4"/>
  <c r="G895" i="4" s="1"/>
  <c r="G757" i="4"/>
  <c r="H757" i="4" s="1"/>
  <c r="I586" i="4"/>
  <c r="D654" i="4" s="1" a="1"/>
  <c r="D654" i="4" s="1"/>
  <c r="I952" i="4"/>
  <c r="D967" i="4" s="1" a="1"/>
  <c r="D967" i="4" s="1"/>
  <c r="F561" i="4"/>
  <c r="F931" i="4"/>
  <c r="G931" i="4" s="1"/>
  <c r="G787" i="4"/>
  <c r="I564" i="4" l="1"/>
  <c r="D609" i="4" s="1" a="1"/>
  <c r="D609" i="4" s="1"/>
  <c r="H995" i="4"/>
  <c r="I995" i="4" s="1"/>
  <c r="H895" i="4"/>
  <c r="I895" i="4" s="1"/>
  <c r="H709" i="4"/>
  <c r="I709" i="4" s="1"/>
  <c r="D714" i="4" s="1" a="1"/>
  <c r="D714" i="4" s="1"/>
  <c r="F714" i="4" s="1"/>
  <c r="G610" i="4"/>
  <c r="G882" i="4"/>
  <c r="H882" i="4" s="1"/>
  <c r="I882" i="4" s="1"/>
  <c r="D979" i="4" s="1" a="1"/>
  <c r="D979" i="4" s="1"/>
  <c r="F799" i="4"/>
  <c r="G799" i="4" s="1"/>
  <c r="H923" i="4"/>
  <c r="I923" i="4" s="1"/>
  <c r="D942" i="4" s="1" a="1"/>
  <c r="D942" i="4" s="1"/>
  <c r="H642" i="4"/>
  <c r="I642" i="4" s="1"/>
  <c r="D673" i="4" s="1" a="1"/>
  <c r="D673" i="4" s="1"/>
  <c r="F673" i="4" s="1"/>
  <c r="H929" i="4"/>
  <c r="I929" i="4" s="1"/>
  <c r="D988" i="4" s="1" a="1"/>
  <c r="D988" i="4" s="1"/>
  <c r="F988" i="4" s="1"/>
  <c r="G988" i="4" s="1"/>
  <c r="H988" i="4" s="1"/>
  <c r="I988" i="4" s="1"/>
  <c r="H782" i="4"/>
  <c r="I782" i="4" s="1"/>
  <c r="D789" i="4" s="1" a="1"/>
  <c r="D789" i="4" s="1"/>
  <c r="G795" i="4"/>
  <c r="H795" i="4" s="1"/>
  <c r="F741" i="4"/>
  <c r="G741" i="4" s="1"/>
  <c r="H660" i="4"/>
  <c r="I660" i="4" s="1"/>
  <c r="D664" i="4" s="1" a="1"/>
  <c r="D664" i="4" s="1"/>
  <c r="H787" i="4"/>
  <c r="I787" i="4" s="1"/>
  <c r="D792" i="4" s="1" a="1"/>
  <c r="D792" i="4" s="1"/>
  <c r="F891" i="4"/>
  <c r="G891" i="4" s="1"/>
  <c r="H876" i="4"/>
  <c r="I876" i="4" s="1"/>
  <c r="D922" i="4" s="1" a="1"/>
  <c r="D922" i="4" s="1"/>
  <c r="F930" i="4"/>
  <c r="F648" i="4"/>
  <c r="G648" i="4" s="1"/>
  <c r="H648" i="4" s="1"/>
  <c r="G980" i="4"/>
  <c r="F609" i="4"/>
  <c r="G609" i="4" s="1"/>
  <c r="H609" i="4" s="1"/>
  <c r="H879" i="4"/>
  <c r="I879" i="4" s="1"/>
  <c r="D887" i="4" s="1" a="1"/>
  <c r="D887" i="4" s="1"/>
  <c r="F881" i="4"/>
  <c r="G881" i="4" s="1"/>
  <c r="H881" i="4" s="1"/>
  <c r="G750" i="4"/>
  <c r="H750" i="4" s="1"/>
  <c r="I750" i="4" s="1"/>
  <c r="D927" i="4" s="1" a="1"/>
  <c r="D927" i="4" s="1"/>
  <c r="H690" i="4"/>
  <c r="I690" i="4" s="1"/>
  <c r="D826" i="4" s="1" a="1"/>
  <c r="D826" i="4" s="1"/>
  <c r="H931" i="4"/>
  <c r="I931" i="4" s="1"/>
  <c r="D960" i="4" s="1" a="1"/>
  <c r="D960" i="4" s="1"/>
  <c r="F967" i="4"/>
  <c r="H890" i="4"/>
  <c r="I890" i="4" s="1"/>
  <c r="D907" i="4" s="1" a="1"/>
  <c r="D907" i="4" s="1"/>
  <c r="G561" i="4"/>
  <c r="H561" i="4" s="1"/>
  <c r="I757" i="4"/>
  <c r="D791" i="4" s="1" a="1"/>
  <c r="D791" i="4" s="1"/>
  <c r="F654" i="4"/>
  <c r="H959" i="4"/>
  <c r="I959" i="4" s="1"/>
  <c r="H725" i="4"/>
  <c r="I725" i="4" s="1"/>
  <c r="D762" i="4" s="1" a="1"/>
  <c r="D762" i="4" s="1"/>
  <c r="G714" i="4" l="1"/>
  <c r="H714" i="4" s="1"/>
  <c r="I714" i="4" s="1"/>
  <c r="D724" i="4" s="1" a="1"/>
  <c r="D724" i="4" s="1"/>
  <c r="F724" i="4" s="1"/>
  <c r="G724" i="4" s="1"/>
  <c r="F942" i="4"/>
  <c r="G942" i="4" s="1"/>
  <c r="H942" i="4" s="1"/>
  <c r="I942" i="4" s="1"/>
  <c r="D984" i="4" s="1" a="1"/>
  <c r="D984" i="4" s="1"/>
  <c r="F984" i="4" s="1"/>
  <c r="G984" i="4" s="1"/>
  <c r="H984" i="4" s="1"/>
  <c r="I984" i="4" s="1"/>
  <c r="F979" i="4"/>
  <c r="G979" i="4" s="1"/>
  <c r="H799" i="4"/>
  <c r="I799" i="4" s="1"/>
  <c r="D821" i="4" s="1" a="1"/>
  <c r="D821" i="4" s="1"/>
  <c r="F821" i="4" s="1"/>
  <c r="I795" i="4"/>
  <c r="D827" i="4" s="1" a="1"/>
  <c r="D827" i="4" s="1"/>
  <c r="F827" i="4" s="1"/>
  <c r="H610" i="4"/>
  <c r="I610" i="4" s="1"/>
  <c r="D681" i="4" s="1" a="1"/>
  <c r="D681" i="4" s="1"/>
  <c r="F664" i="4"/>
  <c r="G664" i="4" s="1"/>
  <c r="H891" i="4"/>
  <c r="I891" i="4" s="1"/>
  <c r="D928" i="4" s="1" a="1"/>
  <c r="D928" i="4" s="1"/>
  <c r="F928" i="4" s="1"/>
  <c r="H741" i="4"/>
  <c r="I741" i="4" s="1"/>
  <c r="D767" i="4" s="1" a="1"/>
  <c r="D767" i="4" s="1"/>
  <c r="F789" i="4"/>
  <c r="G789" i="4" s="1"/>
  <c r="F792" i="4"/>
  <c r="I881" i="4"/>
  <c r="D924" i="4" s="1" a="1"/>
  <c r="D924" i="4" s="1"/>
  <c r="F927" i="4"/>
  <c r="F922" i="4"/>
  <c r="G922" i="4" s="1"/>
  <c r="F887" i="4"/>
  <c r="G887" i="4" s="1"/>
  <c r="F907" i="4"/>
  <c r="G907" i="4" s="1"/>
  <c r="F762" i="4"/>
  <c r="F791" i="4"/>
  <c r="G791" i="4" s="1"/>
  <c r="F826" i="4"/>
  <c r="G826" i="4" s="1"/>
  <c r="H826" i="4" s="1"/>
  <c r="I561" i="4"/>
  <c r="D683" i="4" s="1" a="1"/>
  <c r="D683" i="4" s="1"/>
  <c r="I609" i="4"/>
  <c r="D631" i="4" s="1" a="1"/>
  <c r="D631" i="4" s="1"/>
  <c r="G930" i="4"/>
  <c r="H930" i="4" s="1"/>
  <c r="G673" i="4"/>
  <c r="H673" i="4" s="1"/>
  <c r="H980" i="4"/>
  <c r="I980" i="4" s="1"/>
  <c r="G967" i="4"/>
  <c r="H967" i="4" s="1"/>
  <c r="I967" i="4" s="1"/>
  <c r="D969" i="4" s="1" a="1"/>
  <c r="D969" i="4" s="1"/>
  <c r="F960" i="4"/>
  <c r="G960" i="4" s="1"/>
  <c r="G654" i="4"/>
  <c r="H654" i="4" s="1"/>
  <c r="I648" i="4"/>
  <c r="D659" i="4" s="1" a="1"/>
  <c r="D659" i="4" s="1"/>
  <c r="F681" i="4" l="1"/>
  <c r="G681" i="4" s="1"/>
  <c r="G928" i="4"/>
  <c r="H928" i="4" s="1"/>
  <c r="I928" i="4" s="1"/>
  <c r="D934" i="4" s="1" a="1"/>
  <c r="D934" i="4" s="1"/>
  <c r="G821" i="4"/>
  <c r="H821" i="4" s="1"/>
  <c r="I821" i="4" s="1"/>
  <c r="D853" i="4" s="1" a="1"/>
  <c r="D853" i="4" s="1"/>
  <c r="F853" i="4" s="1"/>
  <c r="H979" i="4"/>
  <c r="I979" i="4" s="1"/>
  <c r="D994" i="4" s="1" a="1"/>
  <c r="D994" i="4" s="1"/>
  <c r="F994" i="4" s="1"/>
  <c r="G994" i="4" s="1"/>
  <c r="F767" i="4"/>
  <c r="G767" i="4" s="1"/>
  <c r="H767" i="4" s="1"/>
  <c r="I767" i="4" s="1"/>
  <c r="D770" i="4" s="1" a="1"/>
  <c r="D770" i="4" s="1"/>
  <c r="H789" i="4"/>
  <c r="I789" i="4" s="1"/>
  <c r="D850" i="4" s="1" a="1"/>
  <c r="D850" i="4" s="1"/>
  <c r="H724" i="4"/>
  <c r="G853" i="4"/>
  <c r="H853" i="4" s="1"/>
  <c r="I853" i="4" s="1"/>
  <c r="H664" i="4"/>
  <c r="I664" i="4" s="1"/>
  <c r="D781" i="4" s="1" a="1"/>
  <c r="D781" i="4" s="1"/>
  <c r="H922" i="4"/>
  <c r="I922" i="4" s="1"/>
  <c r="D937" i="4" s="1" a="1"/>
  <c r="D937" i="4" s="1"/>
  <c r="F937" i="4" s="1"/>
  <c r="H887" i="4"/>
  <c r="I887" i="4" s="1"/>
  <c r="D987" i="4" s="1" a="1"/>
  <c r="D987" i="4" s="1"/>
  <c r="F934" i="4"/>
  <c r="G934" i="4" s="1"/>
  <c r="H960" i="4"/>
  <c r="I960" i="4" s="1"/>
  <c r="D966" i="4" s="1" a="1"/>
  <c r="D966" i="4" s="1"/>
  <c r="F924" i="4"/>
  <c r="G924" i="4" s="1"/>
  <c r="I724" i="4"/>
  <c r="D734" i="4" s="1" a="1"/>
  <c r="D734" i="4" s="1"/>
  <c r="G792" i="4"/>
  <c r="H792" i="4" s="1"/>
  <c r="F969" i="4"/>
  <c r="I826" i="4"/>
  <c r="D835" i="4" s="1" a="1"/>
  <c r="D835" i="4" s="1"/>
  <c r="G827" i="4"/>
  <c r="H827" i="4" s="1"/>
  <c r="H907" i="4"/>
  <c r="I907" i="4" s="1"/>
  <c r="D943" i="4" s="1" a="1"/>
  <c r="D943" i="4" s="1"/>
  <c r="F683" i="4"/>
  <c r="G683" i="4" s="1"/>
  <c r="G762" i="4"/>
  <c r="H762" i="4" s="1"/>
  <c r="H791" i="4"/>
  <c r="I791" i="4" s="1"/>
  <c r="F659" i="4"/>
  <c r="G659" i="4" s="1"/>
  <c r="H659" i="4" s="1"/>
  <c r="G927" i="4"/>
  <c r="H927" i="4" s="1"/>
  <c r="I927" i="4" s="1"/>
  <c r="D945" i="4" s="1" a="1"/>
  <c r="D945" i="4" s="1"/>
  <c r="F631" i="4"/>
  <c r="G631" i="4" s="1"/>
  <c r="H631" i="4" s="1"/>
  <c r="I631" i="4" s="1"/>
  <c r="D632" i="4" s="1" a="1"/>
  <c r="D632" i="4" s="1"/>
  <c r="I673" i="4"/>
  <c r="D697" i="4" s="1" a="1"/>
  <c r="D697" i="4" s="1"/>
  <c r="I930" i="4"/>
  <c r="D932" i="4" s="1" a="1"/>
  <c r="D932" i="4" s="1"/>
  <c r="I654" i="4"/>
  <c r="D677" i="4" s="1" a="1"/>
  <c r="D677" i="4" s="1"/>
  <c r="H681" i="4" l="1"/>
  <c r="I681" i="4" s="1"/>
  <c r="D700" i="4" s="1" a="1"/>
  <c r="D700" i="4" s="1"/>
  <c r="H994" i="4"/>
  <c r="I994" i="4" s="1"/>
  <c r="F781" i="4"/>
  <c r="G781" i="4" s="1"/>
  <c r="H781" i="4" s="1"/>
  <c r="F734" i="4"/>
  <c r="G734" i="4" s="1"/>
  <c r="F850" i="4"/>
  <c r="G850" i="4" s="1"/>
  <c r="H850" i="4" s="1"/>
  <c r="I850" i="4" s="1"/>
  <c r="D854" i="4" s="1" a="1"/>
  <c r="D854" i="4" s="1"/>
  <c r="G937" i="4"/>
  <c r="H934" i="4"/>
  <c r="F770" i="4"/>
  <c r="G770" i="4" s="1"/>
  <c r="H770" i="4" s="1"/>
  <c r="I770" i="4" s="1"/>
  <c r="D880" i="4" s="1" a="1"/>
  <c r="D880" i="4" s="1"/>
  <c r="H937" i="4"/>
  <c r="I937" i="4" s="1"/>
  <c r="I934" i="4"/>
  <c r="D940" i="4" s="1" a="1"/>
  <c r="D940" i="4" s="1"/>
  <c r="I762" i="4"/>
  <c r="D805" i="4" s="1" a="1"/>
  <c r="D805" i="4" s="1"/>
  <c r="F805" i="4" s="1"/>
  <c r="G805" i="4" s="1"/>
  <c r="I792" i="4"/>
  <c r="D968" i="4" s="1" a="1"/>
  <c r="D968" i="4" s="1"/>
  <c r="H924" i="4"/>
  <c r="I924" i="4" s="1"/>
  <c r="D936" i="4" s="1" a="1"/>
  <c r="D936" i="4" s="1"/>
  <c r="F632" i="4"/>
  <c r="G632" i="4" s="1"/>
  <c r="F945" i="4"/>
  <c r="G945" i="4" s="1"/>
  <c r="F677" i="4"/>
  <c r="I659" i="4"/>
  <c r="D720" i="4" s="1" a="1"/>
  <c r="D720" i="4" s="1"/>
  <c r="F697" i="4"/>
  <c r="H683" i="4"/>
  <c r="I683" i="4" s="1"/>
  <c r="D686" i="4" s="1" a="1"/>
  <c r="D686" i="4" s="1"/>
  <c r="G969" i="4"/>
  <c r="F943" i="4"/>
  <c r="F932" i="4"/>
  <c r="G932" i="4" s="1"/>
  <c r="H932" i="4" s="1"/>
  <c r="I827" i="4"/>
  <c r="D852" i="4" s="1" a="1"/>
  <c r="D852" i="4" s="1"/>
  <c r="F987" i="4"/>
  <c r="G987" i="4" s="1"/>
  <c r="F835" i="4"/>
  <c r="F966" i="4"/>
  <c r="G966" i="4" s="1"/>
  <c r="F700" i="4" l="1"/>
  <c r="G700" i="4" s="1"/>
  <c r="F854" i="4"/>
  <c r="G854" i="4" s="1"/>
  <c r="H734" i="4"/>
  <c r="I734" i="4" s="1"/>
  <c r="D804" i="4" s="1" a="1"/>
  <c r="D804" i="4" s="1"/>
  <c r="F880" i="4"/>
  <c r="I781" i="4"/>
  <c r="D794" i="4" s="1" a="1"/>
  <c r="D794" i="4" s="1"/>
  <c r="F794" i="4" s="1"/>
  <c r="G794" i="4" s="1"/>
  <c r="F936" i="4"/>
  <c r="G936" i="4" s="1"/>
  <c r="H936" i="4" s="1"/>
  <c r="H966" i="4"/>
  <c r="I966" i="4" s="1"/>
  <c r="D1000" i="4" s="1" a="1"/>
  <c r="D1000" i="4" s="1"/>
  <c r="F968" i="4"/>
  <c r="G968" i="4"/>
  <c r="H968" i="4" s="1"/>
  <c r="I968" i="4" s="1"/>
  <c r="H987" i="4"/>
  <c r="I987" i="4" s="1"/>
  <c r="D996" i="4" s="1" a="1"/>
  <c r="D996" i="4" s="1"/>
  <c r="F996" i="4" s="1"/>
  <c r="F940" i="4"/>
  <c r="G940" i="4" s="1"/>
  <c r="H940" i="4" s="1"/>
  <c r="I940" i="4" s="1"/>
  <c r="I932" i="4"/>
  <c r="D965" i="4" s="1" a="1"/>
  <c r="D965" i="4" s="1"/>
  <c r="F686" i="4"/>
  <c r="H969" i="4"/>
  <c r="I969" i="4" s="1"/>
  <c r="G835" i="4"/>
  <c r="H835" i="4" s="1"/>
  <c r="G677" i="4"/>
  <c r="H677" i="4" s="1"/>
  <c r="I677" i="4" s="1"/>
  <c r="D812" i="4" s="1" a="1"/>
  <c r="D812" i="4" s="1"/>
  <c r="G943" i="4"/>
  <c r="H943" i="4" s="1"/>
  <c r="I943" i="4" s="1"/>
  <c r="H805" i="4"/>
  <c r="I805" i="4" s="1"/>
  <c r="D824" i="4" s="1" a="1"/>
  <c r="D824" i="4" s="1"/>
  <c r="H945" i="4"/>
  <c r="I945" i="4" s="1"/>
  <c r="D954" i="4" s="1" a="1"/>
  <c r="D954" i="4" s="1"/>
  <c r="G697" i="4"/>
  <c r="H697" i="4" s="1"/>
  <c r="H632" i="4"/>
  <c r="I632" i="4" s="1"/>
  <c r="D692" i="4" s="1" a="1"/>
  <c r="D692" i="4" s="1"/>
  <c r="F720" i="4"/>
  <c r="G720" i="4" s="1"/>
  <c r="F852" i="4"/>
  <c r="H700" i="4" l="1"/>
  <c r="I700" i="4" s="1"/>
  <c r="D702" i="4" s="1" a="1"/>
  <c r="D702" i="4" s="1"/>
  <c r="F702" i="4" s="1"/>
  <c r="G702" i="4" s="1"/>
  <c r="H702" i="4" s="1"/>
  <c r="G880" i="4"/>
  <c r="H880" i="4" s="1"/>
  <c r="I880" i="4" s="1"/>
  <c r="D905" i="4" s="1" a="1"/>
  <c r="D905" i="4" s="1"/>
  <c r="F804" i="4"/>
  <c r="G804" i="4" s="1"/>
  <c r="H804" i="4" s="1"/>
  <c r="I804" i="4" s="1"/>
  <c r="D839" i="4" s="1" a="1"/>
  <c r="D839" i="4" s="1"/>
  <c r="H794" i="4"/>
  <c r="I794" i="4" s="1"/>
  <c r="D800" i="4" s="1" a="1"/>
  <c r="D800" i="4" s="1"/>
  <c r="F800" i="4" s="1"/>
  <c r="G800" i="4" s="1"/>
  <c r="G996" i="4"/>
  <c r="H996" i="4" s="1"/>
  <c r="H854" i="4"/>
  <c r="I854" i="4" s="1"/>
  <c r="D877" i="4" s="1" a="1"/>
  <c r="D877" i="4" s="1"/>
  <c r="I936" i="4"/>
  <c r="F954" i="4"/>
  <c r="G954" i="4" s="1"/>
  <c r="H954" i="4" s="1"/>
  <c r="F812" i="4"/>
  <c r="F824" i="4"/>
  <c r="G824" i="4" s="1"/>
  <c r="H824" i="4" s="1"/>
  <c r="I824" i="4" s="1"/>
  <c r="D921" i="4" s="1" a="1"/>
  <c r="D921" i="4" s="1"/>
  <c r="I697" i="4"/>
  <c r="D704" i="4" s="1" a="1"/>
  <c r="D704" i="4" s="1"/>
  <c r="G686" i="4"/>
  <c r="G852" i="4"/>
  <c r="F692" i="4"/>
  <c r="G692" i="4" s="1"/>
  <c r="H692" i="4" s="1"/>
  <c r="I692" i="4" s="1"/>
  <c r="D797" i="4" s="1" a="1"/>
  <c r="D797" i="4" s="1"/>
  <c r="I702" i="4"/>
  <c r="D748" i="4" s="1" a="1"/>
  <c r="D748" i="4" s="1"/>
  <c r="F965" i="4"/>
  <c r="F1000" i="4"/>
  <c r="I835" i="4"/>
  <c r="D955" i="4" s="1" a="1"/>
  <c r="D955" i="4" s="1"/>
  <c r="H720" i="4"/>
  <c r="I720" i="4" s="1"/>
  <c r="D744" i="4" s="1" a="1"/>
  <c r="D744" i="4" s="1"/>
  <c r="F905" i="4" l="1"/>
  <c r="G905" i="4" s="1"/>
  <c r="H905" i="4" s="1"/>
  <c r="I905" i="4" s="1"/>
  <c r="D977" i="4" s="1" a="1"/>
  <c r="D977" i="4" s="1"/>
  <c r="F977" i="4" s="1"/>
  <c r="G977" i="4" s="1"/>
  <c r="G812" i="4"/>
  <c r="H812" i="4" s="1"/>
  <c r="I812" i="4" s="1"/>
  <c r="D851" i="4" s="1" a="1"/>
  <c r="D851" i="4" s="1"/>
  <c r="F851" i="4" s="1"/>
  <c r="G851" i="4" s="1"/>
  <c r="H851" i="4" s="1"/>
  <c r="H852" i="4"/>
  <c r="I852" i="4" s="1"/>
  <c r="D871" i="4" s="1" a="1"/>
  <c r="D871" i="4" s="1"/>
  <c r="F871" i="4" s="1"/>
  <c r="G871" i="4" s="1"/>
  <c r="I996" i="4"/>
  <c r="F877" i="4"/>
  <c r="G877" i="4" s="1"/>
  <c r="H877" i="4" s="1"/>
  <c r="I877" i="4" s="1"/>
  <c r="D950" i="4" s="1" a="1"/>
  <c r="D950" i="4" s="1"/>
  <c r="I954" i="4"/>
  <c r="F839" i="4"/>
  <c r="G839" i="4" s="1"/>
  <c r="H839" i="4" s="1"/>
  <c r="H686" i="4"/>
  <c r="I686" i="4" s="1"/>
  <c r="D705" i="4" s="1" a="1"/>
  <c r="D705" i="4" s="1"/>
  <c r="F921" i="4"/>
  <c r="F744" i="4"/>
  <c r="G744" i="4" s="1"/>
  <c r="H744" i="4" s="1"/>
  <c r="I744" i="4" s="1"/>
  <c r="D768" i="4" s="1" a="1"/>
  <c r="D768" i="4" s="1"/>
  <c r="G965" i="4"/>
  <c r="F748" i="4"/>
  <c r="F704" i="4"/>
  <c r="G1000" i="4"/>
  <c r="F797" i="4"/>
  <c r="G797" i="4" s="1"/>
  <c r="F955" i="4"/>
  <c r="H800" i="4"/>
  <c r="I800" i="4" s="1"/>
  <c r="D863" i="4" s="1" a="1"/>
  <c r="D863" i="4" s="1"/>
  <c r="I839" i="4" l="1"/>
  <c r="D841" i="4" s="1" a="1"/>
  <c r="D841" i="4" s="1"/>
  <c r="F950" i="4"/>
  <c r="G950" i="4" s="1"/>
  <c r="H950" i="4" s="1"/>
  <c r="I950" i="4" s="1"/>
  <c r="D953" i="4" s="1" a="1"/>
  <c r="D953" i="4" s="1"/>
  <c r="F705" i="4"/>
  <c r="G705" i="4" s="1"/>
  <c r="H797" i="4"/>
  <c r="F863" i="4"/>
  <c r="F768" i="4"/>
  <c r="G768" i="4" s="1"/>
  <c r="H871" i="4"/>
  <c r="I871" i="4" s="1"/>
  <c r="D918" i="4" s="1" a="1"/>
  <c r="D918" i="4" s="1"/>
  <c r="G704" i="4"/>
  <c r="H977" i="4"/>
  <c r="I977" i="4"/>
  <c r="D985" i="4" s="1" a="1"/>
  <c r="D985" i="4" s="1"/>
  <c r="G748" i="4"/>
  <c r="H748" i="4" s="1"/>
  <c r="I748" i="4" s="1"/>
  <c r="D774" i="4" s="1" a="1"/>
  <c r="D774" i="4" s="1"/>
  <c r="H965" i="4"/>
  <c r="I965" i="4" s="1"/>
  <c r="H1000" i="4"/>
  <c r="I1000" i="4" s="1"/>
  <c r="G955" i="4"/>
  <c r="H955" i="4" s="1"/>
  <c r="I955" i="4" s="1"/>
  <c r="D976" i="4" s="1" a="1"/>
  <c r="D976" i="4" s="1"/>
  <c r="G921" i="4"/>
  <c r="H921" i="4" s="1"/>
  <c r="I921" i="4" s="1"/>
  <c r="D925" i="4" s="1" a="1"/>
  <c r="D925" i="4" s="1"/>
  <c r="I797" i="4"/>
  <c r="D818" i="4" s="1" a="1"/>
  <c r="D818" i="4" s="1"/>
  <c r="I851" i="4"/>
  <c r="D862" i="4" s="1" a="1"/>
  <c r="D862" i="4" s="1"/>
  <c r="H705" i="4" l="1"/>
  <c r="I705" i="4" s="1"/>
  <c r="D706" i="4" s="1" a="1"/>
  <c r="D706" i="4" s="1"/>
  <c r="F706" i="4" s="1"/>
  <c r="G706" i="4" s="1"/>
  <c r="H706" i="4" s="1"/>
  <c r="F953" i="4"/>
  <c r="G953" i="4" s="1"/>
  <c r="F841" i="4"/>
  <c r="F976" i="4"/>
  <c r="G976" i="4" s="1"/>
  <c r="F925" i="4"/>
  <c r="G925" i="4" s="1"/>
  <c r="H925" i="4" s="1"/>
  <c r="F774" i="4"/>
  <c r="F918" i="4"/>
  <c r="G918" i="4" s="1"/>
  <c r="H704" i="4"/>
  <c r="I704" i="4" s="1"/>
  <c r="D717" i="4" s="1" a="1"/>
  <c r="D717" i="4" s="1"/>
  <c r="F862" i="4"/>
  <c r="G862" i="4" s="1"/>
  <c r="H862" i="4" s="1"/>
  <c r="I862" i="4" s="1"/>
  <c r="D903" i="4" s="1" a="1"/>
  <c r="D903" i="4" s="1"/>
  <c r="F985" i="4"/>
  <c r="G985" i="4" s="1"/>
  <c r="G863" i="4"/>
  <c r="H863" i="4" s="1"/>
  <c r="I863" i="4" s="1"/>
  <c r="D870" i="4" s="1" a="1"/>
  <c r="D870" i="4" s="1"/>
  <c r="F818" i="4"/>
  <c r="G818" i="4" s="1"/>
  <c r="H768" i="4"/>
  <c r="I768" i="4" s="1"/>
  <c r="D904" i="4" s="1" a="1"/>
  <c r="D904" i="4" s="1"/>
  <c r="G841" i="4" l="1"/>
  <c r="H841" i="4" s="1"/>
  <c r="I841" i="4" s="1"/>
  <c r="D857" i="4" s="1" a="1"/>
  <c r="D857" i="4" s="1"/>
  <c r="H953" i="4"/>
  <c r="I953" i="4" s="1"/>
  <c r="D958" i="4" s="1" a="1"/>
  <c r="D958" i="4" s="1"/>
  <c r="H976" i="4"/>
  <c r="I976" i="4" s="1"/>
  <c r="H818" i="4"/>
  <c r="I818" i="4" s="1"/>
  <c r="D900" i="4" s="1" a="1"/>
  <c r="D900" i="4" s="1"/>
  <c r="F900" i="4" s="1"/>
  <c r="G900" i="4" s="1"/>
  <c r="I925" i="4"/>
  <c r="D974" i="4" s="1" a="1"/>
  <c r="D974" i="4" s="1"/>
  <c r="F974" i="4" s="1"/>
  <c r="G974" i="4" s="1"/>
  <c r="F870" i="4"/>
  <c r="G870" i="4" s="1"/>
  <c r="H870" i="4" s="1"/>
  <c r="F904" i="4"/>
  <c r="G904" i="4" s="1"/>
  <c r="H904" i="4" s="1"/>
  <c r="I904" i="4" s="1"/>
  <c r="D933" i="4" s="1" a="1"/>
  <c r="D933" i="4" s="1"/>
  <c r="F903" i="4"/>
  <c r="G903" i="4" s="1"/>
  <c r="I706" i="4"/>
  <c r="D758" i="4" s="1" a="1"/>
  <c r="D758" i="4" s="1"/>
  <c r="H918" i="4"/>
  <c r="I918" i="4" s="1"/>
  <c r="H985" i="4"/>
  <c r="I985" i="4" s="1"/>
  <c r="D989" i="4" s="1" a="1"/>
  <c r="D989" i="4" s="1"/>
  <c r="G774" i="4"/>
  <c r="F717" i="4"/>
  <c r="G717" i="4" s="1"/>
  <c r="F857" i="4" l="1"/>
  <c r="G857" i="4" s="1"/>
  <c r="H857" i="4" s="1"/>
  <c r="I857" i="4" s="1"/>
  <c r="D886" i="4" s="1" a="1"/>
  <c r="D886" i="4" s="1"/>
  <c r="F958" i="4"/>
  <c r="G958" i="4" s="1"/>
  <c r="F933" i="4"/>
  <c r="H900" i="4"/>
  <c r="I900" i="4" s="1"/>
  <c r="D948" i="4" s="1" a="1"/>
  <c r="D948" i="4" s="1"/>
  <c r="F758" i="4"/>
  <c r="G758" i="4" s="1"/>
  <c r="H903" i="4"/>
  <c r="H717" i="4"/>
  <c r="I717" i="4" s="1"/>
  <c r="D775" i="4" s="1" a="1"/>
  <c r="D775" i="4" s="1"/>
  <c r="F989" i="4"/>
  <c r="G989" i="4" s="1"/>
  <c r="H774" i="4"/>
  <c r="I774" i="4" s="1"/>
  <c r="D858" i="4" s="1" a="1"/>
  <c r="D858" i="4" s="1"/>
  <c r="I903" i="4"/>
  <c r="D935" i="4" s="1" a="1"/>
  <c r="D935" i="4" s="1"/>
  <c r="I870" i="4"/>
  <c r="D914" i="4" s="1" a="1"/>
  <c r="D914" i="4" s="1"/>
  <c r="H974" i="4"/>
  <c r="I974" i="4" s="1"/>
  <c r="F886" i="4" l="1"/>
  <c r="G886" i="4" s="1"/>
  <c r="H886" i="4" s="1"/>
  <c r="H958" i="4"/>
  <c r="I958" i="4" s="1"/>
  <c r="D983" i="4" s="1" a="1"/>
  <c r="D983" i="4" s="1"/>
  <c r="F858" i="4"/>
  <c r="G858" i="4" s="1"/>
  <c r="F775" i="4"/>
  <c r="G775" i="4"/>
  <c r="H775" i="4" s="1"/>
  <c r="F948" i="4"/>
  <c r="G948" i="4" s="1"/>
  <c r="F935" i="4"/>
  <c r="G935" i="4" s="1"/>
  <c r="H935" i="4" s="1"/>
  <c r="G933" i="4"/>
  <c r="H933" i="4" s="1"/>
  <c r="H989" i="4"/>
  <c r="I989" i="4" s="1"/>
  <c r="H758" i="4"/>
  <c r="I758" i="4" s="1"/>
  <c r="D809" i="4" s="1" a="1"/>
  <c r="D809" i="4" s="1"/>
  <c r="F914" i="4"/>
  <c r="I886" i="4" l="1"/>
  <c r="D898" i="4" s="1" a="1"/>
  <c r="D898" i="4" s="1"/>
  <c r="F898" i="4" s="1"/>
  <c r="G898" i="4" s="1"/>
  <c r="H898" i="4" s="1"/>
  <c r="I898" i="4" s="1"/>
  <c r="D957" i="4" s="1" a="1"/>
  <c r="D957" i="4" s="1"/>
  <c r="F983" i="4"/>
  <c r="G983" i="4" s="1"/>
  <c r="H983" i="4" s="1"/>
  <c r="I775" i="4"/>
  <c r="D808" i="4" s="1" a="1"/>
  <c r="D808" i="4" s="1"/>
  <c r="F809" i="4"/>
  <c r="G809" i="4" s="1"/>
  <c r="I935" i="4"/>
  <c r="D947" i="4" s="1" a="1"/>
  <c r="D947" i="4" s="1"/>
  <c r="I933" i="4"/>
  <c r="D975" i="4" s="1" a="1"/>
  <c r="D975" i="4" s="1"/>
  <c r="H948" i="4"/>
  <c r="I948" i="4" s="1"/>
  <c r="D991" i="4" s="1" a="1"/>
  <c r="D991" i="4" s="1"/>
  <c r="H858" i="4"/>
  <c r="I858" i="4" s="1"/>
  <c r="D941" i="4" s="1" a="1"/>
  <c r="D941" i="4" s="1"/>
  <c r="G914" i="4"/>
  <c r="I983" i="4" l="1"/>
  <c r="F991" i="4"/>
  <c r="G991" i="4" s="1"/>
  <c r="H991" i="4" s="1"/>
  <c r="F957" i="4"/>
  <c r="G957" i="4" s="1"/>
  <c r="H957" i="4" s="1"/>
  <c r="F941" i="4"/>
  <c r="G941" i="4" s="1"/>
  <c r="H914" i="4"/>
  <c r="I914" i="4" s="1"/>
  <c r="D915" i="4" s="1" a="1"/>
  <c r="D915" i="4" s="1"/>
  <c r="F975" i="4"/>
  <c r="G975" i="4" s="1"/>
  <c r="H975" i="4" s="1"/>
  <c r="H809" i="4"/>
  <c r="I809" i="4" s="1"/>
  <c r="D817" i="4" s="1" a="1"/>
  <c r="D817" i="4" s="1"/>
  <c r="F947" i="4"/>
  <c r="F808" i="4"/>
  <c r="G808" i="4" s="1"/>
  <c r="H808" i="4" s="1"/>
  <c r="F817" i="4" l="1"/>
  <c r="G817" i="4" s="1"/>
  <c r="F915" i="4"/>
  <c r="G915" i="4" s="1"/>
  <c r="I991" i="4"/>
  <c r="D1001" i="4" s="1" a="1"/>
  <c r="D1001" i="4" s="1"/>
  <c r="G947" i="4"/>
  <c r="H947" i="4" s="1"/>
  <c r="I975" i="4"/>
  <c r="H941" i="4"/>
  <c r="I941" i="4" s="1"/>
  <c r="D949" i="4" s="1" a="1"/>
  <c r="D949" i="4" s="1"/>
  <c r="I957" i="4"/>
  <c r="I808" i="4"/>
  <c r="D834" i="4" s="1" a="1"/>
  <c r="D834" i="4" s="1"/>
  <c r="I947" i="4" l="1"/>
  <c r="D963" i="4" s="1" a="1"/>
  <c r="D963" i="4" s="1"/>
  <c r="F963" i="4" s="1"/>
  <c r="G963" i="4" s="1"/>
  <c r="F949" i="4"/>
  <c r="G949" i="4" s="1"/>
  <c r="H817" i="4"/>
  <c r="I817" i="4" s="1"/>
  <c r="D843" i="4" s="1" a="1"/>
  <c r="D843" i="4" s="1"/>
  <c r="F834" i="4"/>
  <c r="G834" i="4" s="1"/>
  <c r="F1001" i="4"/>
  <c r="H915" i="4"/>
  <c r="I915" i="4" s="1"/>
  <c r="D944" i="4" s="1" a="1"/>
  <c r="D944" i="4" s="1"/>
  <c r="H949" i="4" l="1"/>
  <c r="I949" i="4" s="1"/>
  <c r="D970" i="4" s="1" a="1"/>
  <c r="D970" i="4" s="1"/>
  <c r="F970" i="4" s="1"/>
  <c r="F843" i="4"/>
  <c r="G843" i="4" s="1"/>
  <c r="F944" i="4"/>
  <c r="G944" i="4" s="1"/>
  <c r="G1001" i="4"/>
  <c r="H834" i="4"/>
  <c r="I834" i="4" s="1"/>
  <c r="D873" i="4" s="1" a="1"/>
  <c r="D873" i="4" s="1"/>
  <c r="H963" i="4"/>
  <c r="I963" i="4" s="1"/>
  <c r="D999" i="4" s="1" a="1"/>
  <c r="D999" i="4" s="1"/>
  <c r="H944" i="4" l="1"/>
  <c r="I944" i="4" s="1"/>
  <c r="D962" i="4" s="1" a="1"/>
  <c r="D962" i="4" s="1"/>
  <c r="F962" i="4" s="1"/>
  <c r="G962" i="4" s="1"/>
  <c r="H962" i="4" s="1"/>
  <c r="I962" i="4" s="1"/>
  <c r="F999" i="4"/>
  <c r="G999" i="4" s="1"/>
  <c r="F873" i="4"/>
  <c r="G873" i="4" s="1"/>
  <c r="H873" i="4" s="1"/>
  <c r="G970" i="4"/>
  <c r="H1001" i="4"/>
  <c r="I1001" i="4" s="1"/>
  <c r="H843" i="4"/>
  <c r="I843" i="4" s="1"/>
  <c r="D978" i="4" s="1" a="1"/>
  <c r="D978" i="4" s="1"/>
  <c r="H999" i="4" l="1"/>
  <c r="I873" i="4"/>
  <c r="D883" i="4" s="1" a="1"/>
  <c r="D883" i="4" s="1"/>
  <c r="F883" i="4" s="1"/>
  <c r="G883" i="4" s="1"/>
  <c r="H883" i="4" s="1"/>
  <c r="I999" i="4"/>
  <c r="F978" i="4"/>
  <c r="G978" i="4" s="1"/>
  <c r="H978" i="4" s="1"/>
  <c r="H970" i="4"/>
  <c r="I970" i="4" s="1"/>
  <c r="D982" i="4" s="1" a="1"/>
  <c r="D982" i="4" s="1"/>
  <c r="F982" i="4" l="1"/>
  <c r="G982" i="4" s="1"/>
  <c r="I883" i="4"/>
  <c r="D893" i="4" s="1" a="1"/>
  <c r="D893" i="4" s="1"/>
  <c r="I978" i="4"/>
  <c r="H982" i="4" l="1"/>
  <c r="I982" i="4" s="1"/>
  <c r="F893" i="4"/>
  <c r="G893" i="4" s="1"/>
  <c r="H893" i="4" l="1"/>
  <c r="I893" i="4" s="1"/>
  <c r="D909" i="4" s="1" a="1"/>
  <c r="D909" i="4" s="1"/>
  <c r="F909" i="4" s="1"/>
  <c r="G909" i="4" s="1"/>
  <c r="H909" i="4" s="1"/>
  <c r="I909" i="4" l="1"/>
  <c r="D916" i="4" s="1" a="1"/>
  <c r="D916" i="4" s="1"/>
  <c r="F916" i="4" l="1"/>
  <c r="G916" i="4" s="1"/>
  <c r="H916" i="4" l="1"/>
  <c r="I916" i="4" s="1"/>
  <c r="D917" i="4" s="1" a="1"/>
  <c r="D917" i="4" s="1"/>
  <c r="F917" i="4" s="1"/>
  <c r="G917" i="4" s="1"/>
  <c r="H917" i="4" s="1"/>
  <c r="I917" i="4" l="1"/>
  <c r="D971" i="4" s="1" a="1"/>
  <c r="D971" i="4" s="1"/>
  <c r="F971" i="4" l="1"/>
  <c r="G971" i="4" s="1"/>
  <c r="H971" i="4" s="1"/>
  <c r="I971" i="4" l="1"/>
  <c r="D986" i="4" s="1" a="1"/>
  <c r="D986" i="4" s="1"/>
  <c r="F986" i="4" l="1"/>
  <c r="G986" i="4" s="1"/>
  <c r="H986" i="4" s="1"/>
  <c r="I986" i="4" s="1"/>
  <c r="D990" i="4" s="1" a="1"/>
  <c r="D990" i="4" s="1"/>
  <c r="F990" i="4" l="1"/>
  <c r="G990" i="4" s="1"/>
  <c r="H990" i="4" l="1"/>
  <c r="I990" i="4" s="1"/>
  <c r="D224" i="4"/>
  <c r="D601" i="4"/>
  <c r="D735" i="4"/>
  <c r="D842" i="4"/>
  <c r="D92" i="4"/>
  <c r="D307" i="4"/>
  <c r="D568" i="4"/>
  <c r="G601" i="4"/>
  <c r="H601" i="4"/>
  <c r="F601" i="4"/>
  <c r="D889" i="4"/>
  <c r="H472" i="4"/>
  <c r="G472" i="4"/>
  <c r="F472" i="4"/>
  <c r="H76" i="4"/>
  <c r="G76" i="4"/>
  <c r="F76" i="4"/>
  <c r="H163" i="4"/>
  <c r="G163" i="4"/>
  <c r="F163" i="4"/>
  <c r="D2" i="4"/>
  <c r="D225" i="4"/>
  <c r="D832" i="4"/>
  <c r="D896" i="4"/>
  <c r="D58" i="4"/>
  <c r="D926" i="4"/>
  <c r="G665" i="4"/>
  <c r="F665" i="4"/>
  <c r="H665" i="4"/>
  <c r="D498" i="4"/>
  <c r="F498" i="4"/>
  <c r="G498" i="4"/>
  <c r="H498" i="4"/>
  <c r="D256" i="4"/>
  <c r="H926" i="4"/>
  <c r="F926" i="4"/>
  <c r="G926" i="4"/>
  <c r="I896" i="4"/>
  <c r="D926" i="4" a="1"/>
  <c r="I926" i="4"/>
  <c r="G318" i="4"/>
  <c r="H318" i="4"/>
  <c r="F318" i="4"/>
  <c r="H735" i="4"/>
  <c r="G735" i="4"/>
  <c r="F735" i="4"/>
  <c r="F568" i="4"/>
  <c r="H568" i="4"/>
  <c r="G568" i="4"/>
  <c r="F889" i="4"/>
  <c r="H889" i="4"/>
  <c r="G889" i="4"/>
  <c r="G92" i="4"/>
  <c r="F92" i="4"/>
  <c r="H92" i="4"/>
  <c r="F307" i="4"/>
  <c r="H307" i="4"/>
  <c r="G307" i="4"/>
  <c r="G58" i="4"/>
  <c r="F58" i="4"/>
  <c r="H58" i="4"/>
  <c r="D472" i="4"/>
  <c r="H842" i="4"/>
  <c r="F842" i="4"/>
  <c r="G842" i="4"/>
  <c r="F225" i="4"/>
  <c r="G225" i="4"/>
  <c r="H225" i="4"/>
  <c r="H2" i="4"/>
  <c r="F2" i="4"/>
  <c r="G2" i="4"/>
  <c r="D318" i="4"/>
  <c r="D665" i="4"/>
  <c r="D163" i="4"/>
  <c r="D76" i="4"/>
  <c r="G832" i="4"/>
  <c r="H832" i="4"/>
  <c r="F832" i="4"/>
  <c r="G224" i="4"/>
  <c r="H224" i="4"/>
  <c r="F224" i="4"/>
  <c r="H256" i="4"/>
  <c r="F256" i="4"/>
  <c r="G256" i="4"/>
  <c r="F896" i="4"/>
  <c r="G896" i="4"/>
  <c r="D2" i="4" a="1"/>
  <c r="I2" i="4"/>
  <c r="D58" i="4" a="1"/>
  <c r="I58" i="4"/>
  <c r="D76" i="4" a="1"/>
  <c r="I76" i="4"/>
  <c r="D92" i="4" a="1"/>
  <c r="I92" i="4"/>
  <c r="D163" i="4" a="1"/>
  <c r="I163" i="4"/>
  <c r="D224" i="4" a="1"/>
  <c r="I224" i="4"/>
  <c r="D225" i="4" a="1"/>
  <c r="I225" i="4"/>
  <c r="D256" i="4" a="1"/>
  <c r="I256" i="4"/>
  <c r="D307" i="4" a="1"/>
  <c r="I307" i="4"/>
  <c r="D318" i="4" a="1"/>
  <c r="I318" i="4"/>
  <c r="D472" i="4" a="1"/>
  <c r="I472" i="4"/>
  <c r="D498" i="4" a="1"/>
  <c r="I498" i="4"/>
  <c r="D568" i="4" a="1"/>
  <c r="I568" i="4"/>
  <c r="D601" i="4" a="1"/>
  <c r="I601" i="4"/>
  <c r="D665" i="4" a="1"/>
  <c r="I665" i="4"/>
  <c r="D735" i="4" a="1"/>
  <c r="I735" i="4"/>
  <c r="D832" i="4" a="1"/>
  <c r="I832" i="4"/>
  <c r="D842" i="4" a="1"/>
  <c r="I842" i="4"/>
  <c r="D889" i="4" a="1"/>
  <c r="I889" i="4"/>
  <c r="D896" i="4" a="1"/>
  <c r="H89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<sst xmlns="http://schemas.openxmlformats.org/spreadsheetml/2006/main" count="5147" uniqueCount="105">
  <si>
    <t>Product</t>
  </si>
  <si>
    <t>SKU</t>
  </si>
  <si>
    <t>Delivered</t>
  </si>
  <si>
    <t>Sold</t>
  </si>
  <si>
    <t>Waste</t>
  </si>
  <si>
    <t>Price</t>
  </si>
  <si>
    <t>Markdown_Price</t>
  </si>
  <si>
    <t>Shelf_Life</t>
  </si>
  <si>
    <t>Promo</t>
  </si>
  <si>
    <t>Weather</t>
  </si>
  <si>
    <t>B001</t>
  </si>
  <si>
    <t>No</t>
  </si>
  <si>
    <t>Date</t>
  </si>
  <si>
    <t xml:space="preserve"> Starting_Inventory </t>
  </si>
  <si>
    <t xml:space="preserve"> Markdown_Sold</t>
  </si>
  <si>
    <t>Ending_Inventory</t>
  </si>
  <si>
    <t>B002</t>
  </si>
  <si>
    <t>blueberry muffins</t>
  </si>
  <si>
    <t>croissant</t>
  </si>
  <si>
    <t>B003</t>
  </si>
  <si>
    <t>B004</t>
  </si>
  <si>
    <t>B005</t>
  </si>
  <si>
    <t>B006</t>
  </si>
  <si>
    <t>B007</t>
  </si>
  <si>
    <t>B008</t>
  </si>
  <si>
    <t>banana nut muffins</t>
  </si>
  <si>
    <t>chocolate chip cookies</t>
  </si>
  <si>
    <t>butter cake</t>
  </si>
  <si>
    <t>cheese cake</t>
  </si>
  <si>
    <t>tiramisu</t>
  </si>
  <si>
    <t>almond croissant</t>
  </si>
  <si>
    <t>orange pound</t>
  </si>
  <si>
    <t>macadamia nut cookies</t>
  </si>
  <si>
    <t>oatmeal raisin cookies</t>
  </si>
  <si>
    <t>B009</t>
  </si>
  <si>
    <t>B010</t>
  </si>
  <si>
    <t>B011</t>
  </si>
  <si>
    <t>B012</t>
  </si>
  <si>
    <t>B013</t>
  </si>
  <si>
    <t>B014</t>
  </si>
  <si>
    <t>B015</t>
  </si>
  <si>
    <t>B016</t>
  </si>
  <si>
    <t>marble bread</t>
  </si>
  <si>
    <t>oreja cookies</t>
  </si>
  <si>
    <t>sourdough bread</t>
  </si>
  <si>
    <t>pumpernickel bread</t>
  </si>
  <si>
    <t>seeded bread</t>
  </si>
  <si>
    <t>blueberry pie</t>
  </si>
  <si>
    <t>cherry pie</t>
  </si>
  <si>
    <t>carrot square cake</t>
  </si>
  <si>
    <t>red velvet square cake</t>
  </si>
  <si>
    <t>sugar cookies</t>
  </si>
  <si>
    <t>snickerdoodle cookies</t>
  </si>
  <si>
    <t>cookies &amp; creme cake</t>
  </si>
  <si>
    <t>assorted cupcakes 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</si>
  <si>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</si>
  <si>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</si>
  <si>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</si>
  <si>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</si>
  <si>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</si>
  <si>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</si>
  <si>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</si>
  <si>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</si>
  <si>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</si>
  <si>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</si>
  <si>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</si>
  <si>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</si>
  <si>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</si>
  <si>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</si>
  <si>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</si>
  <si>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</si>
  <si>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</si>
  <si>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</si>
  <si>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white square cake</t>
  </si>
  <si>
    <t>caramel pie</t>
  </si>
  <si>
    <t>vanilla cupcakes</t>
  </si>
  <si>
    <t>cookies &amp; creme cupcakes</t>
  </si>
  <si>
    <t>mini croissant</t>
  </si>
  <si>
    <t>B035</t>
  </si>
  <si>
    <t>B036</t>
  </si>
  <si>
    <t>B037</t>
  </si>
  <si>
    <t>B038</t>
  </si>
  <si>
    <t>B039</t>
  </si>
  <si>
    <t>B040</t>
  </si>
  <si>
    <t>B041</t>
  </si>
  <si>
    <t>frosted pink cookies</t>
  </si>
  <si>
    <t>frosted blue cookies</t>
  </si>
  <si>
    <t>mini brownies</t>
  </si>
  <si>
    <t>B042</t>
  </si>
  <si>
    <t>B043</t>
  </si>
  <si>
    <t>B044</t>
  </si>
  <si>
    <t>square brownies</t>
  </si>
  <si>
    <t>B045</t>
  </si>
  <si>
    <t>iced lemon sliced loaf cake</t>
  </si>
  <si>
    <t>banana nut sliced loaf cake</t>
  </si>
  <si>
    <t>marble sliced loaf cake</t>
  </si>
  <si>
    <t>vanilla sliced loaf cake</t>
  </si>
  <si>
    <t>chocolate sliced loaf cake</t>
  </si>
  <si>
    <t>coconut creme pie</t>
  </si>
  <si>
    <t>pumpkin pie</t>
  </si>
  <si>
    <t>pumpkin spice muffins</t>
  </si>
  <si>
    <t>plain bagels</t>
  </si>
  <si>
    <t>everything bagels</t>
  </si>
  <si>
    <t>blueberry bagels</t>
  </si>
  <si>
    <t>chocolate square cake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</si>
</sst>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2E2F32"/>
      <name val="Arial"/>
      <family val="2"/>
    </font>
    <font>
      <sz val="10"/>
      <color rgb="FF444444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1" fillId="0" borderId="0" xfId="0" applyFont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8167D-2101-48AE-9A6E-C127CE3344ED}">
  <dimension ref="A1:H46"/>
  <sheetViews>
    <sheetView workbookViewId="0">
      <selection activeCell="G3" sqref="G3"/>
    </sheetView>
  </sheetViews>
  <sheetFormatPr defaultRowHeight="14.4" x14ac:dyDescent="0.3"/>
  <cols>
    <col min="1" max="1" width="12.44140625" style="3" customWidth="1"/>
    <col min="2" max="2" width="25.5546875" customWidth="1"/>
    <col min="5" max="5" width="16.109375" customWidth="1"/>
    <col min="6" max="6" width="21.88671875" customWidth="1"/>
    <col min="8" max="8" width="24.33203125" customWidth="1"/>
  </cols>
  <sheetData>
    <row r="1" spans="1:8" s="5" customFormat="1" ht="28.8" x14ac:dyDescent="0.3">
      <c r="A1" s="1" t="s">
        <v>1</v>
      </c>
      <c r="B1" s="1" t="s">
        <v>0</v>
      </c>
      <c r="C1" s="1" t="s">
        <v>2</v>
      </c>
      <c r="D1" s="1" t="s">
        <v>5</v>
      </c>
      <c r="E1" s="1" t="s">
        <v>6</v>
      </c>
      <c r="F1" s="1" t="s">
        <v>7</v>
      </c>
      <c r="G1" s="9" t="s">
        <v>8</v>
      </c>
      <c r="H1" s="9" t="s">
        <v>9</v>
      </c>
    </row>
    <row r="2" spans="1:8" x14ac:dyDescent="0.3">
      <c r="A2" s="2" t="s">
        <v>10</v>
      </c>
      <c r="B2" s="2" t="s">
        <v>18</v>
      </c>
      <c r="C2">
        <v>10</v>
      </c>
      <c r="D2">
        <v>5.5</v>
      </c>
      <c r="E2">
        <v>4.5</v>
      </c>
      <c r="F2">
        <v>7</v>
      </c>
      <c r="G2" t="s">
        <v>11</v>
      </c>
    </row>
    <row r="3" spans="1:8" x14ac:dyDescent="0.3">
      <c r="A3" s="2" t="s">
        <v>16</v>
      </c>
      <c r="B3" s="2" t="s">
        <v>77</v>
      </c>
      <c r="C3">
        <v>10</v>
      </c>
      <c r="D3">
        <v>5.5</v>
      </c>
      <c r="E3">
        <v>4.5</v>
      </c>
      <c r="F3">
        <v>7</v>
      </c>
    </row>
    <row r="4" spans="1:8" x14ac:dyDescent="0.3">
      <c r="A4" s="2" t="s">
        <v>19</v>
      </c>
      <c r="B4" t="s">
        <v>17</v>
      </c>
      <c r="C4">
        <v>10</v>
      </c>
      <c r="D4">
        <v>4.5</v>
      </c>
      <c r="E4">
        <v>4</v>
      </c>
      <c r="F4">
        <v>10</v>
      </c>
    </row>
    <row r="5" spans="1:8" x14ac:dyDescent="0.3">
      <c r="A5" s="2" t="s">
        <v>20</v>
      </c>
      <c r="B5" t="s">
        <v>25</v>
      </c>
      <c r="C5">
        <v>10</v>
      </c>
      <c r="D5">
        <v>4.5</v>
      </c>
      <c r="E5">
        <v>4</v>
      </c>
      <c r="F5">
        <v>10</v>
      </c>
    </row>
    <row r="6" spans="1:8" ht="15" x14ac:dyDescent="0.35">
      <c r="A6" s="2" t="s">
        <v>21</v>
      </c>
      <c r="B6" s="8" t="s">
        <v>27</v>
      </c>
      <c r="C6">
        <v>8</v>
      </c>
      <c r="D6">
        <v>4</v>
      </c>
      <c r="E6">
        <v>3</v>
      </c>
      <c r="F6">
        <v>14</v>
      </c>
    </row>
    <row r="7" spans="1:8" x14ac:dyDescent="0.3">
      <c r="A7" s="2" t="s">
        <v>22</v>
      </c>
      <c r="B7" t="s">
        <v>26</v>
      </c>
      <c r="C7">
        <v>12</v>
      </c>
      <c r="D7">
        <v>3.5</v>
      </c>
      <c r="E7">
        <v>3</v>
      </c>
      <c r="F7">
        <v>14</v>
      </c>
    </row>
    <row r="8" spans="1:8" x14ac:dyDescent="0.3">
      <c r="A8" s="2" t="s">
        <v>23</v>
      </c>
      <c r="B8" t="s">
        <v>28</v>
      </c>
      <c r="C8">
        <v>9</v>
      </c>
      <c r="D8">
        <v>6.5</v>
      </c>
      <c r="E8">
        <v>5.5</v>
      </c>
      <c r="F8">
        <v>9</v>
      </c>
    </row>
    <row r="9" spans="1:8" x14ac:dyDescent="0.3">
      <c r="A9" s="2" t="s">
        <v>24</v>
      </c>
      <c r="B9" t="s">
        <v>29</v>
      </c>
      <c r="C9">
        <v>8</v>
      </c>
      <c r="D9">
        <v>7.5</v>
      </c>
      <c r="E9">
        <v>5.5</v>
      </c>
      <c r="F9">
        <v>7</v>
      </c>
    </row>
    <row r="10" spans="1:8" x14ac:dyDescent="0.3">
      <c r="A10" s="2" t="s">
        <v>34</v>
      </c>
      <c r="B10" t="s">
        <v>30</v>
      </c>
      <c r="C10">
        <v>6</v>
      </c>
      <c r="D10">
        <v>3.5</v>
      </c>
      <c r="E10">
        <v>3</v>
      </c>
      <c r="F10">
        <v>10</v>
      </c>
    </row>
    <row r="11" spans="1:8" x14ac:dyDescent="0.3">
      <c r="A11" s="2" t="s">
        <v>35</v>
      </c>
      <c r="B11" t="s">
        <v>31</v>
      </c>
      <c r="C11">
        <v>8</v>
      </c>
      <c r="D11">
        <v>3.5</v>
      </c>
      <c r="E11">
        <v>3</v>
      </c>
      <c r="F11">
        <v>14</v>
      </c>
    </row>
    <row r="12" spans="1:8" x14ac:dyDescent="0.3">
      <c r="A12" s="2" t="s">
        <v>36</v>
      </c>
      <c r="B12" s="7" t="s">
        <v>33</v>
      </c>
      <c r="C12">
        <v>12</v>
      </c>
      <c r="D12">
        <v>3.5</v>
      </c>
      <c r="E12">
        <v>3</v>
      </c>
      <c r="F12">
        <v>14</v>
      </c>
    </row>
    <row r="13" spans="1:8" x14ac:dyDescent="0.3">
      <c r="A13" s="2" t="s">
        <v>37</v>
      </c>
      <c r="B13" t="s">
        <v>51</v>
      </c>
      <c r="C13">
        <v>12</v>
      </c>
      <c r="D13">
        <v>3.5</v>
      </c>
      <c r="E13">
        <v>3</v>
      </c>
      <c r="F13">
        <v>14</v>
      </c>
    </row>
    <row r="14" spans="1:8" x14ac:dyDescent="0.3">
      <c r="A14" s="2" t="s">
        <v>38</v>
      </c>
      <c r="B14" t="s">
        <v>52</v>
      </c>
      <c r="C14">
        <v>12</v>
      </c>
      <c r="D14">
        <v>3.5</v>
      </c>
      <c r="E14">
        <v>3</v>
      </c>
      <c r="F14">
        <v>14</v>
      </c>
    </row>
    <row r="15" spans="1:8" x14ac:dyDescent="0.3">
      <c r="A15" s="2" t="s">
        <v>39</v>
      </c>
      <c r="B15" t="s">
        <v>32</v>
      </c>
      <c r="C15">
        <v>12</v>
      </c>
      <c r="D15">
        <v>3.5</v>
      </c>
      <c r="E15">
        <v>3</v>
      </c>
      <c r="F15">
        <v>14</v>
      </c>
    </row>
    <row r="16" spans="1:8" x14ac:dyDescent="0.3">
      <c r="A16" s="2" t="s">
        <v>40</v>
      </c>
      <c r="B16" t="s">
        <v>85</v>
      </c>
      <c r="C16">
        <v>15</v>
      </c>
      <c r="D16">
        <v>3</v>
      </c>
      <c r="E16">
        <v>2.5</v>
      </c>
      <c r="F16">
        <v>14</v>
      </c>
    </row>
    <row r="17" spans="1:6" x14ac:dyDescent="0.3">
      <c r="A17" s="2" t="s">
        <v>41</v>
      </c>
      <c r="B17" t="s">
        <v>86</v>
      </c>
      <c r="C17">
        <v>15</v>
      </c>
      <c r="D17">
        <v>3</v>
      </c>
      <c r="E17">
        <v>2.5</v>
      </c>
      <c r="F17">
        <v>14</v>
      </c>
    </row>
    <row r="18" spans="1:6" x14ac:dyDescent="0.3">
      <c r="A18" s="2" t="s">
        <v>55</v>
      </c>
      <c r="B18" s="6" t="s">
        <v>53</v>
      </c>
      <c r="C18">
        <v>4</v>
      </c>
      <c r="D18">
        <v>8.5</v>
      </c>
      <c r="E18">
        <v>6</v>
      </c>
      <c r="F18">
        <v>7</v>
      </c>
    </row>
    <row r="19" spans="1:6" x14ac:dyDescent="0.3">
      <c r="A19" s="2" t="s">
        <v>56</v>
      </c>
      <c r="B19" s="6" t="s">
        <v>54</v>
      </c>
      <c r="C19">
        <v>8</v>
      </c>
      <c r="D19">
        <v>6</v>
      </c>
      <c r="E19">
        <v>5.5</v>
      </c>
      <c r="F19">
        <v>20</v>
      </c>
    </row>
    <row r="20" spans="1:6" x14ac:dyDescent="0.3">
      <c r="A20" s="2" t="s">
        <v>57</v>
      </c>
      <c r="B20" s="6" t="s">
        <v>75</v>
      </c>
      <c r="C20">
        <v>8</v>
      </c>
      <c r="D20">
        <v>6</v>
      </c>
      <c r="E20">
        <v>5.5</v>
      </c>
      <c r="F20">
        <v>20</v>
      </c>
    </row>
    <row r="21" spans="1:6" x14ac:dyDescent="0.3">
      <c r="A21" s="2" t="s">
        <v>58</v>
      </c>
      <c r="B21" s="6" t="s">
        <v>76</v>
      </c>
      <c r="C21">
        <v>15</v>
      </c>
      <c r="D21">
        <v>6</v>
      </c>
      <c r="E21">
        <v>5.5</v>
      </c>
      <c r="F21">
        <v>20</v>
      </c>
    </row>
    <row r="22" spans="1:6" x14ac:dyDescent="0.3">
      <c r="A22" s="2" t="s">
        <v>59</v>
      </c>
      <c r="B22" t="s">
        <v>93</v>
      </c>
      <c r="C22">
        <v>10</v>
      </c>
      <c r="D22">
        <v>4</v>
      </c>
      <c r="E22">
        <v>3.5</v>
      </c>
      <c r="F22">
        <v>10</v>
      </c>
    </row>
    <row r="23" spans="1:6" x14ac:dyDescent="0.3">
      <c r="A23" s="2" t="s">
        <v>60</v>
      </c>
      <c r="B23" t="s">
        <v>94</v>
      </c>
      <c r="C23">
        <v>10</v>
      </c>
      <c r="D23">
        <v>4</v>
      </c>
      <c r="E23">
        <v>3.5</v>
      </c>
      <c r="F23">
        <v>10</v>
      </c>
    </row>
    <row r="24" spans="1:6" x14ac:dyDescent="0.3">
      <c r="A24" s="2" t="s">
        <v>61</v>
      </c>
      <c r="B24" t="s">
        <v>95</v>
      </c>
      <c r="C24">
        <v>10</v>
      </c>
      <c r="D24">
        <v>4</v>
      </c>
      <c r="E24">
        <v>3.5</v>
      </c>
      <c r="F24">
        <v>10</v>
      </c>
    </row>
    <row r="25" spans="1:6" x14ac:dyDescent="0.3">
      <c r="A25" s="2" t="s">
        <v>62</v>
      </c>
      <c r="B25" t="s">
        <v>96</v>
      </c>
      <c r="C25">
        <v>10</v>
      </c>
      <c r="D25">
        <v>4</v>
      </c>
      <c r="E25">
        <v>3.5</v>
      </c>
      <c r="F25">
        <v>10</v>
      </c>
    </row>
    <row r="26" spans="1:6" x14ac:dyDescent="0.3">
      <c r="A26" s="2" t="s">
        <v>63</v>
      </c>
      <c r="B26" t="s">
        <v>97</v>
      </c>
      <c r="C26">
        <v>10</v>
      </c>
      <c r="D26">
        <v>4</v>
      </c>
      <c r="E26">
        <v>3.5</v>
      </c>
      <c r="F26">
        <v>10</v>
      </c>
    </row>
    <row r="27" spans="1:6" x14ac:dyDescent="0.3">
      <c r="A27" s="2" t="s">
        <v>64</v>
      </c>
      <c r="B27" t="s">
        <v>42</v>
      </c>
      <c r="C27">
        <v>8</v>
      </c>
      <c r="D27">
        <v>3.5</v>
      </c>
      <c r="E27">
        <v>3</v>
      </c>
      <c r="F27">
        <v>8</v>
      </c>
    </row>
    <row r="28" spans="1:6" x14ac:dyDescent="0.3">
      <c r="A28" s="2" t="s">
        <v>65</v>
      </c>
      <c r="B28" t="s">
        <v>44</v>
      </c>
      <c r="C28">
        <v>10</v>
      </c>
      <c r="D28">
        <v>3.5</v>
      </c>
      <c r="E28">
        <v>3</v>
      </c>
      <c r="F28">
        <v>8</v>
      </c>
    </row>
    <row r="29" spans="1:6" x14ac:dyDescent="0.3">
      <c r="A29" s="2" t="s">
        <v>66</v>
      </c>
      <c r="B29" t="s">
        <v>45</v>
      </c>
      <c r="C29">
        <v>8</v>
      </c>
      <c r="D29">
        <v>3.5</v>
      </c>
      <c r="E29">
        <v>3</v>
      </c>
      <c r="F29">
        <v>8</v>
      </c>
    </row>
    <row r="30" spans="1:6" x14ac:dyDescent="0.3">
      <c r="A30" s="2" t="s">
        <v>67</v>
      </c>
      <c r="B30" t="s">
        <v>46</v>
      </c>
      <c r="C30">
        <v>8</v>
      </c>
      <c r="D30">
        <v>3.5</v>
      </c>
      <c r="E30">
        <v>3</v>
      </c>
      <c r="F30">
        <v>8</v>
      </c>
    </row>
    <row r="31" spans="1:6" x14ac:dyDescent="0.3">
      <c r="A31" s="2" t="s">
        <v>68</v>
      </c>
      <c r="B31" t="s">
        <v>43</v>
      </c>
      <c r="C31">
        <v>15</v>
      </c>
      <c r="D31">
        <v>4</v>
      </c>
      <c r="E31">
        <v>3</v>
      </c>
      <c r="F31">
        <v>14</v>
      </c>
    </row>
    <row r="32" spans="1:6" x14ac:dyDescent="0.3">
      <c r="A32" s="2" t="s">
        <v>69</v>
      </c>
      <c r="B32" t="s">
        <v>98</v>
      </c>
      <c r="C32">
        <v>6</v>
      </c>
      <c r="D32">
        <v>4</v>
      </c>
      <c r="E32">
        <v>3</v>
      </c>
      <c r="F32">
        <v>7</v>
      </c>
    </row>
    <row r="33" spans="1:6" x14ac:dyDescent="0.3">
      <c r="A33" s="2" t="s">
        <v>70</v>
      </c>
      <c r="B33" t="s">
        <v>99</v>
      </c>
      <c r="C33">
        <v>6</v>
      </c>
      <c r="D33">
        <v>4</v>
      </c>
      <c r="E33">
        <v>3</v>
      </c>
      <c r="F33">
        <v>7</v>
      </c>
    </row>
    <row r="34" spans="1:6" x14ac:dyDescent="0.3">
      <c r="A34" s="2" t="s">
        <v>71</v>
      </c>
      <c r="B34" t="s">
        <v>47</v>
      </c>
      <c r="C34">
        <v>6</v>
      </c>
      <c r="D34">
        <v>4</v>
      </c>
      <c r="E34">
        <v>3</v>
      </c>
      <c r="F34">
        <v>7</v>
      </c>
    </row>
    <row r="35" spans="1:6" x14ac:dyDescent="0.3">
      <c r="A35" s="2" t="s">
        <v>72</v>
      </c>
      <c r="B35" t="s">
        <v>48</v>
      </c>
      <c r="C35">
        <v>6</v>
      </c>
      <c r="D35">
        <v>4</v>
      </c>
      <c r="E35">
        <v>3</v>
      </c>
      <c r="F35">
        <v>7</v>
      </c>
    </row>
    <row r="36" spans="1:6" x14ac:dyDescent="0.3">
      <c r="A36" s="2" t="s">
        <v>78</v>
      </c>
      <c r="B36" t="s">
        <v>74</v>
      </c>
      <c r="C36">
        <v>6</v>
      </c>
      <c r="D36">
        <v>4</v>
      </c>
      <c r="E36">
        <v>3</v>
      </c>
      <c r="F36">
        <v>7</v>
      </c>
    </row>
    <row r="37" spans="1:6" x14ac:dyDescent="0.3">
      <c r="A37" s="2" t="s">
        <v>79</v>
      </c>
      <c r="B37" t="s">
        <v>104</v>
      </c>
      <c r="C37">
        <v>8</v>
      </c>
      <c r="D37">
        <v>2.5</v>
      </c>
      <c r="E37">
        <v>2</v>
      </c>
      <c r="F37">
        <v>5</v>
      </c>
    </row>
    <row r="38" spans="1:6" x14ac:dyDescent="0.3">
      <c r="A38" s="2" t="s">
        <v>80</v>
      </c>
      <c r="B38" t="s">
        <v>49</v>
      </c>
      <c r="C38">
        <v>8</v>
      </c>
      <c r="D38">
        <v>2.5</v>
      </c>
      <c r="E38">
        <v>2</v>
      </c>
      <c r="F38">
        <v>5</v>
      </c>
    </row>
    <row r="39" spans="1:6" x14ac:dyDescent="0.3">
      <c r="A39" s="2" t="s">
        <v>81</v>
      </c>
      <c r="B39" t="s">
        <v>50</v>
      </c>
      <c r="C39">
        <v>8</v>
      </c>
      <c r="D39">
        <v>2.5</v>
      </c>
      <c r="E39">
        <v>2</v>
      </c>
      <c r="F39">
        <v>5</v>
      </c>
    </row>
    <row r="40" spans="1:6" x14ac:dyDescent="0.3">
      <c r="A40" s="2" t="s">
        <v>82</v>
      </c>
      <c r="B40" t="s">
        <v>73</v>
      </c>
      <c r="C40">
        <v>8</v>
      </c>
      <c r="D40">
        <v>2.5</v>
      </c>
      <c r="E40">
        <v>2</v>
      </c>
      <c r="F40">
        <v>5</v>
      </c>
    </row>
    <row r="41" spans="1:6" x14ac:dyDescent="0.3">
      <c r="A41" s="2" t="s">
        <v>83</v>
      </c>
      <c r="B41" t="s">
        <v>100</v>
      </c>
      <c r="C41">
        <v>10</v>
      </c>
      <c r="D41">
        <v>4.5</v>
      </c>
      <c r="E41">
        <v>4</v>
      </c>
      <c r="F41">
        <v>10</v>
      </c>
    </row>
    <row r="42" spans="1:6" x14ac:dyDescent="0.3">
      <c r="A42" s="2" t="s">
        <v>84</v>
      </c>
      <c r="B42" t="s">
        <v>101</v>
      </c>
      <c r="C42">
        <v>8</v>
      </c>
      <c r="D42">
        <v>3.5</v>
      </c>
      <c r="E42">
        <v>3</v>
      </c>
      <c r="F42">
        <v>8</v>
      </c>
    </row>
    <row r="43" spans="1:6" x14ac:dyDescent="0.3">
      <c r="A43" s="2" t="s">
        <v>88</v>
      </c>
      <c r="B43" t="s">
        <v>102</v>
      </c>
      <c r="C43">
        <v>8</v>
      </c>
      <c r="D43">
        <v>3.5</v>
      </c>
      <c r="E43">
        <v>3</v>
      </c>
      <c r="F43">
        <v>8</v>
      </c>
    </row>
    <row r="44" spans="1:6" x14ac:dyDescent="0.3">
      <c r="A44" s="2" t="s">
        <v>89</v>
      </c>
      <c r="B44" t="s">
        <v>103</v>
      </c>
      <c r="C44">
        <v>8</v>
      </c>
      <c r="D44">
        <v>3.5</v>
      </c>
      <c r="E44">
        <v>3</v>
      </c>
      <c r="F44">
        <v>8</v>
      </c>
    </row>
    <row r="45" spans="1:6" x14ac:dyDescent="0.3">
      <c r="A45" s="2" t="s">
        <v>90</v>
      </c>
      <c r="B45" t="s">
        <v>87</v>
      </c>
      <c r="C45">
        <v>12</v>
      </c>
      <c r="D45">
        <v>4.5</v>
      </c>
      <c r="E45">
        <v>4</v>
      </c>
      <c r="F45">
        <v>14</v>
      </c>
    </row>
    <row r="46" spans="1:6" x14ac:dyDescent="0.3">
      <c r="A46" s="2" t="s">
        <v>92</v>
      </c>
      <c r="B46" t="s">
        <v>91</v>
      </c>
      <c r="C46">
        <v>6</v>
      </c>
      <c r="D46">
        <v>4.5</v>
      </c>
      <c r="E46">
        <v>4</v>
      </c>
      <c r="F46">
        <v>14</v>
      </c>
    </row>
  </sheetData>
  <autoFilter ref="A1:G46" xr:uid="{B5E8167D-2101-48AE-9A6E-C127CE3344ED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9C19-0BD1-42AC-A182-82EA0FB782EC}">
  <dimension ref="A1:N1"/>
  <sheetViews>
    <sheetView workbookViewId="0">
      <selection activeCell="M1" sqref="M1:N1"/>
    </sheetView>
  </sheetViews>
  <sheetFormatPr defaultColWidth="9.109375" defaultRowHeight="14.4" x14ac:dyDescent="0.3"/>
  <cols>
    <col min="1" max="1" width="11.21875" customWidth="1"/>
    <col min="2" max="2" width="8.5546875" customWidth="1"/>
    <col min="3" max="3" width="7.5546875" bestFit="1" customWidth="1"/>
    <col min="4" max="4" width="16.77734375" bestFit="1" customWidth="1"/>
    <col min="5" max="5" width="9" bestFit="1" customWidth="1"/>
    <col min="6" max="6" width="4.77734375" bestFit="1" customWidth="1"/>
    <col min="7" max="7" width="14.5546875" bestFit="1" customWidth="1"/>
    <col min="8" max="8" width="6.21875" bestFit="1" customWidth="1"/>
    <col min="9" max="9" width="15.109375" bestFit="1" customWidth="1"/>
    <col min="10" max="10" width="5.33203125" bestFit="1" customWidth="1"/>
    <col min="11" max="11" width="14.77734375" bestFit="1" customWidth="1"/>
    <col min="12" max="12" width="9" bestFit="1" customWidth="1"/>
    <col min="13" max="13" width="6.44140625" bestFit="1" customWidth="1"/>
    <col min="14" max="14" width="8" bestFit="1" customWidth="1"/>
  </cols>
  <sheetData>
    <row r="1" spans="1:14" x14ac:dyDescent="0.3">
      <c r="A1" s="10" t="s">
        <v>12</v>
      </c>
      <c r="B1" s="11" t="s">
        <v>1</v>
      </c>
      <c r="C1" s="11" t="s">
        <v>0</v>
      </c>
      <c r="D1" s="12" t="s">
        <v>13</v>
      </c>
      <c r="E1" s="11" t="s">
        <v>2</v>
      </c>
      <c r="F1" s="11" t="s">
        <v>3</v>
      </c>
      <c r="G1" s="12" t="s">
        <v>14</v>
      </c>
      <c r="H1" s="11" t="s">
        <v>4</v>
      </c>
      <c r="I1" s="11" t="s">
        <v>15</v>
      </c>
      <c r="J1" s="11" t="s">
        <v>5</v>
      </c>
      <c r="K1" s="11" t="s">
        <v>6</v>
      </c>
      <c r="L1" s="9" t="s">
        <v>7</v>
      </c>
      <c r="M1" s="9" t="s">
        <v>8</v>
      </c>
      <c r="N1" s="9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7030-C4A2-4679-B2DB-C427B56DCEE7}">
  <dimension ref="A1:I1001"/>
  <sheetViews>
    <sheetView workbookViewId="0">
      <selection activeCell="H2" sqref="H2:H1001"/>
    </sheetView>
  </sheetViews>
  <sheetFormatPr defaultRowHeight="14.4" x14ac:dyDescent="0.3"/>
  <cols>
    <col min="1" max="2" width="17.77734375" customWidth="1"/>
    <col min="3" max="3" width="23.77734375" customWidth="1"/>
    <col min="4" max="4" width="15.5546875" customWidth="1"/>
    <col min="5" max="5" width="12.33203125" customWidth="1"/>
    <col min="6" max="6" width="21.44140625" customWidth="1"/>
    <col min="7" max="7" width="11.6640625" customWidth="1"/>
  </cols>
  <sheetData>
    <row r="1" spans="1:9" x14ac:dyDescent="0.3">
      <c r="A1" s="1" t="s">
        <v>1</v>
      </c>
      <c r="B1" s="1" t="s">
        <v>1</v>
      </c>
      <c r="C1" s="1" t="s">
        <v>0</v>
      </c>
      <c r="D1" s="1" t="s">
        <v>2</v>
      </c>
      <c r="E1" s="1" t="s">
        <v>5</v>
      </c>
      <c r="F1" s="1" t="s">
        <v>6</v>
      </c>
      <c r="G1" s="1" t="s">
        <v>7</v>
      </c>
      <c r="H1" s="9" t="s">
        <v>8</v>
      </c>
      <c r="I1" s="9" t="s">
        <v>9</v>
      </c>
    </row>
    <row r="2" spans="1:9" x14ac:dyDescent="0.3">
      <c r="A2" s="2" t="str" cm="1">
        <f t="array" aca="1" ref="A2" ca="1">INDEX(Sheet1!$A$2:$A$46, RANDBETWEEN(1,ROWS(Sheet1!$A$2:$A$46)))</f>
        <v>B036</v>
      </c>
      <c r="B2" s="2" t="s">
        <v>68</v>
      </c>
      <c r="C2" t="str">
        <f>_xlfn.XLOOKUP(B2, Sheet1!A:A, Sheet1!B:B)</f>
        <v>oreja cookies</v>
      </c>
      <c r="D2">
        <f>_xlfn.XLOOKUP(B2,Sheet1!A:A,Sheet1!C:C)</f>
        <v>15</v>
      </c>
      <c r="E2">
        <f>_xlfn.XLOOKUP(B2,Sheet1!A:A,Sheet1!D:D)</f>
        <v>4</v>
      </c>
      <c r="F2">
        <f>_xlfn.XLOOKUP(Sheet3!B2,Sheet1!A:A,Sheet1!E:E)</f>
        <v>3</v>
      </c>
      <c r="G2">
        <f>_xlfn.XLOOKUP(B2,Sheet1!A:A,Sheet1!F:F)</f>
        <v>14</v>
      </c>
      <c r="H2" cm="1">
        <f t="array" aca="1" ref="H2" ca="1">INDEX(Sheet1!$G$2:$G$3, RANDBETWEEN(1, ROWS(Sheet1!$G$2:$G$3)))</f>
        <v>0</v>
      </c>
    </row>
    <row r="3" spans="1:9" x14ac:dyDescent="0.3">
      <c r="A3" s="2" t="str" cm="1">
        <f t="array" aca="1" ref="A3" ca="1">INDEX(Sheet1!$A$2:$A$46, RANDBETWEEN(1,ROWS(Sheet1!$A$2:$A$46)))</f>
        <v>B023</v>
      </c>
      <c r="B3" s="2" t="s">
        <v>41</v>
      </c>
      <c r="C3" t="str">
        <f>_xlfn.XLOOKUP(B3, Sheet1!A:A, Sheet1!B:B)</f>
        <v>frosted blue cookies</v>
      </c>
      <c r="D3">
        <f>_xlfn.XLOOKUP(B3,Sheet1!A:A,Sheet1!C:C)</f>
        <v>15</v>
      </c>
      <c r="E3">
        <f>_xlfn.XLOOKUP(B3,Sheet1!A:A,Sheet1!D:D)</f>
        <v>3</v>
      </c>
      <c r="F3">
        <f>_xlfn.XLOOKUP(Sheet3!B3,Sheet1!A:A,Sheet1!E:E)</f>
        <v>2.5</v>
      </c>
      <c r="G3">
        <f>_xlfn.XLOOKUP(B3,Sheet1!A:A,Sheet1!F:F)</f>
        <v>14</v>
      </c>
      <c r="H3" cm="1">
        <f t="array" aca="1" ref="H3" ca="1">INDEX(Sheet1!$G$2:$G$3, RANDBETWEEN(1, ROWS(Sheet1!$G$2:$G$3)))</f>
        <v>0</v>
      </c>
    </row>
    <row r="4" spans="1:9" x14ac:dyDescent="0.3">
      <c r="A4" s="2" t="str" cm="1">
        <f t="array" aca="1" ref="A4" ca="1">INDEX(Sheet1!$A$2:$A$46, RANDBETWEEN(1,ROWS(Sheet1!$A$2:$A$46)))</f>
        <v>B013</v>
      </c>
      <c r="B4" s="2" t="s">
        <v>21</v>
      </c>
      <c r="C4" t="str">
        <f>_xlfn.XLOOKUP(B4, Sheet1!A:A, Sheet1!B:B)</f>
        <v>butter cake</v>
      </c>
      <c r="D4">
        <f>_xlfn.XLOOKUP(B4,Sheet1!A:A,Sheet1!C:C)</f>
        <v>8</v>
      </c>
      <c r="E4">
        <f>_xlfn.XLOOKUP(B4,Sheet1!A:A,Sheet1!D:D)</f>
        <v>4</v>
      </c>
      <c r="F4">
        <f>_xlfn.XLOOKUP(Sheet3!B4,Sheet1!A:A,Sheet1!E:E)</f>
        <v>3</v>
      </c>
      <c r="G4">
        <f>_xlfn.XLOOKUP(B4,Sheet1!A:A,Sheet1!F:F)</f>
        <v>14</v>
      </c>
      <c r="H4" cm="1">
        <f t="array" aca="1" ref="H4" ca="1">INDEX(Sheet1!$G$2:$G$3, RANDBETWEEN(1, ROWS(Sheet1!$G$2:$G$3)))</f>
        <v>0</v>
      </c>
    </row>
    <row r="5" spans="1:9" x14ac:dyDescent="0.3">
      <c r="A5" s="2" t="str" cm="1">
        <f t="array" aca="1" ref="A5" ca="1">INDEX(Sheet1!$A$2:$A$46, RANDBETWEEN(1,ROWS(Sheet1!$A$2:$A$46)))</f>
        <v>B025</v>
      </c>
      <c r="B5" s="2" t="s">
        <v>35</v>
      </c>
      <c r="C5" t="str">
        <f>_xlfn.XLOOKUP(B5, Sheet1!A:A, Sheet1!B:B)</f>
        <v>orange pound</v>
      </c>
      <c r="D5">
        <f>_xlfn.XLOOKUP(B5,Sheet1!A:A,Sheet1!C:C)</f>
        <v>8</v>
      </c>
      <c r="E5">
        <f>_xlfn.XLOOKUP(B5,Sheet1!A:A,Sheet1!D:D)</f>
        <v>3.5</v>
      </c>
      <c r="F5">
        <f>_xlfn.XLOOKUP(Sheet3!B5,Sheet1!A:A,Sheet1!E:E)</f>
        <v>3</v>
      </c>
      <c r="G5">
        <f>_xlfn.XLOOKUP(B5,Sheet1!A:A,Sheet1!F:F)</f>
        <v>14</v>
      </c>
      <c r="H5" cm="1">
        <f t="array" aca="1" ref="H5" ca="1">INDEX(Sheet1!$G$2:$G$3, RANDBETWEEN(1, ROWS(Sheet1!$G$2:$G$3)))</f>
        <v>0</v>
      </c>
    </row>
    <row r="6" spans="1:9" x14ac:dyDescent="0.3">
      <c r="A6" s="2" t="str" cm="1">
        <f t="array" aca="1" ref="A6" ca="1">INDEX(Sheet1!$A$2:$A$46, RANDBETWEEN(1,ROWS(Sheet1!$A$2:$A$46)))</f>
        <v>B001</v>
      </c>
      <c r="B6" s="2" t="s">
        <v>23</v>
      </c>
      <c r="C6" t="str">
        <f>_xlfn.XLOOKUP(B6, Sheet1!A:A, Sheet1!B:B)</f>
        <v>cheese cake</v>
      </c>
      <c r="D6">
        <f>_xlfn.XLOOKUP(B6,Sheet1!A:A,Sheet1!C:C)</f>
        <v>9</v>
      </c>
      <c r="E6">
        <f>_xlfn.XLOOKUP(B6,Sheet1!A:A,Sheet1!D:D)</f>
        <v>6.5</v>
      </c>
      <c r="F6">
        <f>_xlfn.XLOOKUP(Sheet3!B6,Sheet1!A:A,Sheet1!E:E)</f>
        <v>5.5</v>
      </c>
      <c r="G6">
        <f>_xlfn.XLOOKUP(B6,Sheet1!A:A,Sheet1!F:F)</f>
        <v>9</v>
      </c>
      <c r="H6" cm="1">
        <f t="array" aca="1" ref="H6" ca="1">INDEX(Sheet1!$G$2:$G$3, RANDBETWEEN(1, ROWS(Sheet1!$G$2:$G$3)))</f>
        <v>0</v>
      </c>
    </row>
    <row r="7" spans="1:9" x14ac:dyDescent="0.3">
      <c r="A7" s="2" t="str" cm="1">
        <f t="array" aca="1" ref="A7" ca="1">INDEX(Sheet1!$A$2:$A$46, RANDBETWEEN(1,ROWS(Sheet1!$A$2:$A$46)))</f>
        <v>B025</v>
      </c>
      <c r="B7" s="2" t="s">
        <v>35</v>
      </c>
      <c r="C7" t="str">
        <f>_xlfn.XLOOKUP(B7, Sheet1!A:A, Sheet1!B:B)</f>
        <v>orange pound</v>
      </c>
      <c r="D7">
        <f>_xlfn.XLOOKUP(B7,Sheet1!A:A,Sheet1!C:C)</f>
        <v>8</v>
      </c>
      <c r="E7">
        <f>_xlfn.XLOOKUP(B7,Sheet1!A:A,Sheet1!D:D)</f>
        <v>3.5</v>
      </c>
      <c r="F7">
        <f>_xlfn.XLOOKUP(Sheet3!B7,Sheet1!A:A,Sheet1!E:E)</f>
        <v>3</v>
      </c>
      <c r="G7">
        <f>_xlfn.XLOOKUP(B7,Sheet1!A:A,Sheet1!F:F)</f>
        <v>14</v>
      </c>
      <c r="H7" cm="1">
        <f t="array" aca="1" ref="H7" ca="1">INDEX(Sheet1!$G$2:$G$3, RANDBETWEEN(1, ROWS(Sheet1!$G$2:$G$3)))</f>
        <v>0</v>
      </c>
    </row>
    <row r="8" spans="1:9" x14ac:dyDescent="0.3">
      <c r="A8" s="2" t="str" cm="1">
        <f t="array" aca="1" ref="A8" ca="1">INDEX(Sheet1!$A$2:$A$46, RANDBETWEEN(1,ROWS(Sheet1!$A$2:$A$46)))</f>
        <v>B007</v>
      </c>
      <c r="B8" s="2" t="s">
        <v>70</v>
      </c>
      <c r="C8" t="str">
        <f>_xlfn.XLOOKUP(B8, Sheet1!A:A, Sheet1!B:B)</f>
        <v>pumpkin pie</v>
      </c>
      <c r="D8">
        <f>_xlfn.XLOOKUP(B8,Sheet1!A:A,Sheet1!C:C)</f>
        <v>6</v>
      </c>
      <c r="E8">
        <f>_xlfn.XLOOKUP(B8,Sheet1!A:A,Sheet1!D:D)</f>
        <v>4</v>
      </c>
      <c r="F8">
        <f>_xlfn.XLOOKUP(Sheet3!B8,Sheet1!A:A,Sheet1!E:E)</f>
        <v>3</v>
      </c>
      <c r="G8">
        <f>_xlfn.XLOOKUP(B8,Sheet1!A:A,Sheet1!F:F)</f>
        <v>7</v>
      </c>
      <c r="H8" cm="1">
        <f t="array" aca="1" ref="H8" ca="1">INDEX(Sheet1!$G$2:$G$3, RANDBETWEEN(1, ROWS(Sheet1!$G$2:$G$3)))</f>
        <v>0</v>
      </c>
    </row>
    <row r="9" spans="1:9" x14ac:dyDescent="0.3">
      <c r="A9" s="2" t="str" cm="1">
        <f t="array" aca="1" ref="A9" ca="1">INDEX(Sheet1!$A$2:$A$46, RANDBETWEEN(1,ROWS(Sheet1!$A$2:$A$46)))</f>
        <v>B003</v>
      </c>
      <c r="B9" s="2" t="s">
        <v>58</v>
      </c>
      <c r="C9" t="str">
        <f>_xlfn.XLOOKUP(B9, Sheet1!A:A, Sheet1!B:B)</f>
        <v>cookies &amp; creme cupcakes</v>
      </c>
      <c r="D9">
        <f>_xlfn.XLOOKUP(B9,Sheet1!A:A,Sheet1!C:C)</f>
        <v>15</v>
      </c>
      <c r="E9">
        <f>_xlfn.XLOOKUP(B9,Sheet1!A:A,Sheet1!D:D)</f>
        <v>6</v>
      </c>
      <c r="F9">
        <f>_xlfn.XLOOKUP(Sheet3!B9,Sheet1!A:A,Sheet1!E:E)</f>
        <v>5.5</v>
      </c>
      <c r="G9">
        <f>_xlfn.XLOOKUP(B9,Sheet1!A:A,Sheet1!F:F)</f>
        <v>20</v>
      </c>
      <c r="H9" cm="1">
        <f t="array" aca="1" ref="H9" ca="1">INDEX(Sheet1!$G$2:$G$3, RANDBETWEEN(1, ROWS(Sheet1!$G$2:$G$3)))</f>
        <v>0</v>
      </c>
    </row>
    <row r="10" spans="1:9" x14ac:dyDescent="0.3">
      <c r="A10" s="2" t="str" cm="1">
        <f t="array" aca="1" ref="A10" ca="1">INDEX(Sheet1!$A$2:$A$46, RANDBETWEEN(1,ROWS(Sheet1!$A$2:$A$46)))</f>
        <v>B020</v>
      </c>
      <c r="B10" s="2" t="s">
        <v>90</v>
      </c>
      <c r="C10" t="str">
        <f>_xlfn.XLOOKUP(B10, Sheet1!A:A, Sheet1!B:B)</f>
        <v>mini brownies</v>
      </c>
      <c r="D10">
        <f>_xlfn.XLOOKUP(B10,Sheet1!A:A,Sheet1!C:C)</f>
        <v>12</v>
      </c>
      <c r="E10">
        <f>_xlfn.XLOOKUP(B10,Sheet1!A:A,Sheet1!D:D)</f>
        <v>4.5</v>
      </c>
      <c r="F10">
        <f>_xlfn.XLOOKUP(Sheet3!B10,Sheet1!A:A,Sheet1!E:E)</f>
        <v>4</v>
      </c>
      <c r="G10">
        <f>_xlfn.XLOOKUP(B10,Sheet1!A:A,Sheet1!F:F)</f>
        <v>14</v>
      </c>
      <c r="H10" t="str" cm="1">
        <f t="array" aca="1" ref="H10" ca="1">INDEX(Sheet1!$G$2:$G$3, RANDBETWEEN(1, ROWS(Sheet1!$G$2:$G$3)))</f>
        <v>No</v>
      </c>
    </row>
    <row r="11" spans="1:9" x14ac:dyDescent="0.3">
      <c r="A11" s="2" t="str" cm="1">
        <f t="array" aca="1" ref="A11" ca="1">INDEX(Sheet1!$A$2:$A$46, RANDBETWEEN(1,ROWS(Sheet1!$A$2:$A$46)))</f>
        <v>B032</v>
      </c>
      <c r="B11" s="2" t="s">
        <v>65</v>
      </c>
      <c r="C11" t="str">
        <f>_xlfn.XLOOKUP(B11, Sheet1!A:A, Sheet1!B:B)</f>
        <v>sourdough bread</v>
      </c>
      <c r="D11">
        <f>_xlfn.XLOOKUP(B11,Sheet1!A:A,Sheet1!C:C)</f>
        <v>10</v>
      </c>
      <c r="E11">
        <f>_xlfn.XLOOKUP(B11,Sheet1!A:A,Sheet1!D:D)</f>
        <v>3.5</v>
      </c>
      <c r="F11">
        <f>_xlfn.XLOOKUP(Sheet3!B11,Sheet1!A:A,Sheet1!E:E)</f>
        <v>3</v>
      </c>
      <c r="G11">
        <f>_xlfn.XLOOKUP(B11,Sheet1!A:A,Sheet1!F:F)</f>
        <v>8</v>
      </c>
      <c r="H11" cm="1">
        <f t="array" aca="1" ref="H11" ca="1">INDEX(Sheet1!$G$2:$G$3, RANDBETWEEN(1, ROWS(Sheet1!$G$2:$G$3)))</f>
        <v>0</v>
      </c>
    </row>
    <row r="12" spans="1:9" x14ac:dyDescent="0.3">
      <c r="A12" s="2" t="str" cm="1">
        <f t="array" aca="1" ref="A12" ca="1">INDEX(Sheet1!$A$2:$A$46, RANDBETWEEN(1,ROWS(Sheet1!$A$2:$A$46)))</f>
        <v>B010</v>
      </c>
      <c r="B12" s="2" t="s">
        <v>78</v>
      </c>
      <c r="C12" t="str">
        <f>_xlfn.XLOOKUP(B12, Sheet1!A:A, Sheet1!B:B)</f>
        <v>caramel pie</v>
      </c>
      <c r="D12">
        <f>_xlfn.XLOOKUP(B12,Sheet1!A:A,Sheet1!C:C)</f>
        <v>6</v>
      </c>
      <c r="E12">
        <f>_xlfn.XLOOKUP(B12,Sheet1!A:A,Sheet1!D:D)</f>
        <v>4</v>
      </c>
      <c r="F12">
        <f>_xlfn.XLOOKUP(Sheet3!B12,Sheet1!A:A,Sheet1!E:E)</f>
        <v>3</v>
      </c>
      <c r="G12">
        <f>_xlfn.XLOOKUP(B12,Sheet1!A:A,Sheet1!F:F)</f>
        <v>7</v>
      </c>
      <c r="H12" cm="1">
        <f t="array" aca="1" ref="H12" ca="1">INDEX(Sheet1!$G$2:$G$3, RANDBETWEEN(1, ROWS(Sheet1!$G$2:$G$3)))</f>
        <v>0</v>
      </c>
    </row>
    <row r="13" spans="1:9" x14ac:dyDescent="0.3">
      <c r="A13" s="2" t="str" cm="1">
        <f t="array" aca="1" ref="A13" ca="1">INDEX(Sheet1!$A$2:$A$46, RANDBETWEEN(1,ROWS(Sheet1!$A$2:$A$46)))</f>
        <v>B007</v>
      </c>
      <c r="B13" s="2" t="s">
        <v>65</v>
      </c>
      <c r="C13" t="str">
        <f>_xlfn.XLOOKUP(B13, Sheet1!A:A, Sheet1!B:B)</f>
        <v>sourdough bread</v>
      </c>
      <c r="D13">
        <f>_xlfn.XLOOKUP(B13,Sheet1!A:A,Sheet1!C:C)</f>
        <v>10</v>
      </c>
      <c r="E13">
        <f>_xlfn.XLOOKUP(B13,Sheet1!A:A,Sheet1!D:D)</f>
        <v>3.5</v>
      </c>
      <c r="F13">
        <f>_xlfn.XLOOKUP(Sheet3!B13,Sheet1!A:A,Sheet1!E:E)</f>
        <v>3</v>
      </c>
      <c r="G13">
        <f>_xlfn.XLOOKUP(B13,Sheet1!A:A,Sheet1!F:F)</f>
        <v>8</v>
      </c>
      <c r="H13" t="str" cm="1">
        <f t="array" aca="1" ref="H13" ca="1">INDEX(Sheet1!$G$2:$G$3, RANDBETWEEN(1, ROWS(Sheet1!$G$2:$G$3)))</f>
        <v>No</v>
      </c>
    </row>
    <row r="14" spans="1:9" x14ac:dyDescent="0.3">
      <c r="A14" s="2" t="str" cm="1">
        <f t="array" aca="1" ref="A14" ca="1">INDEX(Sheet1!$A$2:$A$46, RANDBETWEEN(1,ROWS(Sheet1!$A$2:$A$46)))</f>
        <v>B014</v>
      </c>
      <c r="B14" s="2" t="s">
        <v>34</v>
      </c>
      <c r="C14" t="str">
        <f>_xlfn.XLOOKUP(B14, Sheet1!A:A, Sheet1!B:B)</f>
        <v>almond croissant</v>
      </c>
      <c r="D14">
        <f>_xlfn.XLOOKUP(B14,Sheet1!A:A,Sheet1!C:C)</f>
        <v>6</v>
      </c>
      <c r="E14">
        <f>_xlfn.XLOOKUP(B14,Sheet1!A:A,Sheet1!D:D)</f>
        <v>3.5</v>
      </c>
      <c r="F14">
        <f>_xlfn.XLOOKUP(Sheet3!B14,Sheet1!A:A,Sheet1!E:E)</f>
        <v>3</v>
      </c>
      <c r="G14">
        <f>_xlfn.XLOOKUP(B14,Sheet1!A:A,Sheet1!F:F)</f>
        <v>10</v>
      </c>
      <c r="H14" t="str" cm="1">
        <f t="array" aca="1" ref="H14" ca="1">INDEX(Sheet1!$G$2:$G$3, RANDBETWEEN(1, ROWS(Sheet1!$G$2:$G$3)))</f>
        <v>No</v>
      </c>
    </row>
    <row r="15" spans="1:9" x14ac:dyDescent="0.3">
      <c r="A15" s="2" t="str" cm="1">
        <f t="array" aca="1" ref="A15" ca="1">INDEX(Sheet1!$A$2:$A$46, RANDBETWEEN(1,ROWS(Sheet1!$A$2:$A$46)))</f>
        <v>B023</v>
      </c>
      <c r="B15" s="2" t="s">
        <v>63</v>
      </c>
      <c r="C15" t="str">
        <f>_xlfn.XLOOKUP(B15, Sheet1!A:A, Sheet1!B:B)</f>
        <v>chocolate sliced loaf cake</v>
      </c>
      <c r="D15">
        <f>_xlfn.XLOOKUP(B15,Sheet1!A:A,Sheet1!C:C)</f>
        <v>10</v>
      </c>
      <c r="E15">
        <f>_xlfn.XLOOKUP(B15,Sheet1!A:A,Sheet1!D:D)</f>
        <v>4</v>
      </c>
      <c r="F15">
        <f>_xlfn.XLOOKUP(Sheet3!B15,Sheet1!A:A,Sheet1!E:E)</f>
        <v>3.5</v>
      </c>
      <c r="G15">
        <f>_xlfn.XLOOKUP(B15,Sheet1!A:A,Sheet1!F:F)</f>
        <v>10</v>
      </c>
      <c r="H15" cm="1">
        <f t="array" aca="1" ref="H15" ca="1">INDEX(Sheet1!$G$2:$G$3, RANDBETWEEN(1, ROWS(Sheet1!$G$2:$G$3)))</f>
        <v>0</v>
      </c>
    </row>
    <row r="16" spans="1:9" x14ac:dyDescent="0.3">
      <c r="A16" s="2" t="str" cm="1">
        <f t="array" aca="1" ref="A16" ca="1">INDEX(Sheet1!$A$2:$A$46, RANDBETWEEN(1,ROWS(Sheet1!$A$2:$A$46)))</f>
        <v>B003</v>
      </c>
      <c r="B16" s="2" t="s">
        <v>36</v>
      </c>
      <c r="C16" t="str">
        <f>_xlfn.XLOOKUP(B16, Sheet1!A:A, Sheet1!B:B)</f>
        <v>oatmeal raisin cookies</v>
      </c>
      <c r="D16">
        <f>_xlfn.XLOOKUP(B16,Sheet1!A:A,Sheet1!C:C)</f>
        <v>12</v>
      </c>
      <c r="E16">
        <f>_xlfn.XLOOKUP(B16,Sheet1!A:A,Sheet1!D:D)</f>
        <v>3.5</v>
      </c>
      <c r="F16">
        <f>_xlfn.XLOOKUP(Sheet3!B16,Sheet1!A:A,Sheet1!E:E)</f>
        <v>3</v>
      </c>
      <c r="G16">
        <f>_xlfn.XLOOKUP(B16,Sheet1!A:A,Sheet1!F:F)</f>
        <v>14</v>
      </c>
      <c r="H16" cm="1">
        <f t="array" aca="1" ref="H16" ca="1">INDEX(Sheet1!$G$2:$G$3, RANDBETWEEN(1, ROWS(Sheet1!$G$2:$G$3)))</f>
        <v>0</v>
      </c>
    </row>
    <row r="17" spans="1:8" x14ac:dyDescent="0.3">
      <c r="A17" s="2" t="str" cm="1">
        <f t="array" aca="1" ref="A17" ca="1">INDEX(Sheet1!$A$2:$A$46, RANDBETWEEN(1,ROWS(Sheet1!$A$2:$A$46)))</f>
        <v>B012</v>
      </c>
      <c r="B17" s="2" t="s">
        <v>37</v>
      </c>
      <c r="C17" t="str">
        <f>_xlfn.XLOOKUP(B17, Sheet1!A:A, Sheet1!B:B)</f>
        <v>sugar cookies</v>
      </c>
      <c r="D17">
        <f>_xlfn.XLOOKUP(B17,Sheet1!A:A,Sheet1!C:C)</f>
        <v>12</v>
      </c>
      <c r="E17">
        <f>_xlfn.XLOOKUP(B17,Sheet1!A:A,Sheet1!D:D)</f>
        <v>3.5</v>
      </c>
      <c r="F17">
        <f>_xlfn.XLOOKUP(Sheet3!B17,Sheet1!A:A,Sheet1!E:E)</f>
        <v>3</v>
      </c>
      <c r="G17">
        <f>_xlfn.XLOOKUP(B17,Sheet1!A:A,Sheet1!F:F)</f>
        <v>14</v>
      </c>
      <c r="H17" t="str" cm="1">
        <f t="array" aca="1" ref="H17" ca="1">INDEX(Sheet1!$G$2:$G$3, RANDBETWEEN(1, ROWS(Sheet1!$G$2:$G$3)))</f>
        <v>No</v>
      </c>
    </row>
    <row r="18" spans="1:8" x14ac:dyDescent="0.3">
      <c r="A18" s="2" t="str" cm="1">
        <f t="array" aca="1" ref="A18" ca="1">INDEX(Sheet1!$A$2:$A$46, RANDBETWEEN(1,ROWS(Sheet1!$A$2:$A$46)))</f>
        <v>B013</v>
      </c>
      <c r="B18" s="2" t="s">
        <v>55</v>
      </c>
      <c r="C18" t="str">
        <f>_xlfn.XLOOKUP(B18, Sheet1!A:A, Sheet1!B:B)</f>
        <v>cookies &amp; creme cake</v>
      </c>
      <c r="D18">
        <f>_xlfn.XLOOKUP(B18,Sheet1!A:A,Sheet1!C:C)</f>
        <v>4</v>
      </c>
      <c r="E18">
        <f>_xlfn.XLOOKUP(B18,Sheet1!A:A,Sheet1!D:D)</f>
        <v>8.5</v>
      </c>
      <c r="F18">
        <f>_xlfn.XLOOKUP(Sheet3!B18,Sheet1!A:A,Sheet1!E:E)</f>
        <v>6</v>
      </c>
      <c r="G18">
        <f>_xlfn.XLOOKUP(B18,Sheet1!A:A,Sheet1!F:F)</f>
        <v>7</v>
      </c>
      <c r="H18" t="str" cm="1">
        <f t="array" aca="1" ref="H18" ca="1">INDEX(Sheet1!$G$2:$G$3, RANDBETWEEN(1, ROWS(Sheet1!$G$2:$G$3)))</f>
        <v>No</v>
      </c>
    </row>
    <row r="19" spans="1:8" x14ac:dyDescent="0.3">
      <c r="A19" s="2" t="str" cm="1">
        <f t="array" aca="1" ref="A19" ca="1">INDEX(Sheet1!$A$2:$A$46, RANDBETWEEN(1,ROWS(Sheet1!$A$2:$A$46)))</f>
        <v>B003</v>
      </c>
      <c r="B19" s="2" t="s">
        <v>16</v>
      </c>
      <c r="C19" t="str">
        <f>_xlfn.XLOOKUP(B19, Sheet1!A:A, Sheet1!B:B)</f>
        <v>mini croissant</v>
      </c>
      <c r="D19">
        <f>_xlfn.XLOOKUP(B19,Sheet1!A:A,Sheet1!C:C)</f>
        <v>10</v>
      </c>
      <c r="E19">
        <f>_xlfn.XLOOKUP(B19,Sheet1!A:A,Sheet1!D:D)</f>
        <v>5.5</v>
      </c>
      <c r="F19">
        <f>_xlfn.XLOOKUP(Sheet3!B19,Sheet1!A:A,Sheet1!E:E)</f>
        <v>4.5</v>
      </c>
      <c r="G19">
        <f>_xlfn.XLOOKUP(B19,Sheet1!A:A,Sheet1!F:F)</f>
        <v>7</v>
      </c>
      <c r="H19" t="str" cm="1">
        <f t="array" aca="1" ref="H19" ca="1">INDEX(Sheet1!$G$2:$G$3, RANDBETWEEN(1, ROWS(Sheet1!$G$2:$G$3)))</f>
        <v>No</v>
      </c>
    </row>
    <row r="20" spans="1:8" x14ac:dyDescent="0.3">
      <c r="A20" s="2" t="str" cm="1">
        <f t="array" aca="1" ref="A20" ca="1">INDEX(Sheet1!$A$2:$A$46, RANDBETWEEN(1,ROWS(Sheet1!$A$2:$A$46)))</f>
        <v>B013</v>
      </c>
      <c r="B20" s="2" t="s">
        <v>67</v>
      </c>
      <c r="C20" t="str">
        <f>_xlfn.XLOOKUP(B20, Sheet1!A:A, Sheet1!B:B)</f>
        <v>seeded bread</v>
      </c>
      <c r="D20">
        <f>_xlfn.XLOOKUP(B20,Sheet1!A:A,Sheet1!C:C)</f>
        <v>8</v>
      </c>
      <c r="E20">
        <f>_xlfn.XLOOKUP(B20,Sheet1!A:A,Sheet1!D:D)</f>
        <v>3.5</v>
      </c>
      <c r="F20">
        <f>_xlfn.XLOOKUP(Sheet3!B20,Sheet1!A:A,Sheet1!E:E)</f>
        <v>3</v>
      </c>
      <c r="G20">
        <f>_xlfn.XLOOKUP(B20,Sheet1!A:A,Sheet1!F:F)</f>
        <v>8</v>
      </c>
      <c r="H20" t="str" cm="1">
        <f t="array" aca="1" ref="H20" ca="1">INDEX(Sheet1!$G$2:$G$3, RANDBETWEEN(1, ROWS(Sheet1!$G$2:$G$3)))</f>
        <v>No</v>
      </c>
    </row>
    <row r="21" spans="1:8" x14ac:dyDescent="0.3">
      <c r="A21" s="2" t="str" cm="1">
        <f t="array" aca="1" ref="A21" ca="1">INDEX(Sheet1!$A$2:$A$46, RANDBETWEEN(1,ROWS(Sheet1!$A$2:$A$46)))</f>
        <v>B028</v>
      </c>
      <c r="B21" s="2" t="s">
        <v>90</v>
      </c>
      <c r="C21" t="str">
        <f>_xlfn.XLOOKUP(B21, Sheet1!A:A, Sheet1!B:B)</f>
        <v>mini brownies</v>
      </c>
      <c r="D21">
        <f>_xlfn.XLOOKUP(B21,Sheet1!A:A,Sheet1!C:C)</f>
        <v>12</v>
      </c>
      <c r="E21">
        <f>_xlfn.XLOOKUP(B21,Sheet1!A:A,Sheet1!D:D)</f>
        <v>4.5</v>
      </c>
      <c r="F21">
        <f>_xlfn.XLOOKUP(Sheet3!B21,Sheet1!A:A,Sheet1!E:E)</f>
        <v>4</v>
      </c>
      <c r="G21">
        <f>_xlfn.XLOOKUP(B21,Sheet1!A:A,Sheet1!F:F)</f>
        <v>14</v>
      </c>
      <c r="H21" cm="1">
        <f t="array" aca="1" ref="H21" ca="1">INDEX(Sheet1!$G$2:$G$3, RANDBETWEEN(1, ROWS(Sheet1!$G$2:$G$3)))</f>
        <v>0</v>
      </c>
    </row>
    <row r="22" spans="1:8" x14ac:dyDescent="0.3">
      <c r="A22" s="2" t="str" cm="1">
        <f t="array" aca="1" ref="A22" ca="1">INDEX(Sheet1!$A$2:$A$46, RANDBETWEEN(1,ROWS(Sheet1!$A$2:$A$46)))</f>
        <v>B020</v>
      </c>
      <c r="B22" s="2" t="s">
        <v>34</v>
      </c>
      <c r="C22" t="str">
        <f>_xlfn.XLOOKUP(B22, Sheet1!A:A, Sheet1!B:B)</f>
        <v>almond croissant</v>
      </c>
      <c r="D22">
        <f>_xlfn.XLOOKUP(B22,Sheet1!A:A,Sheet1!C:C)</f>
        <v>6</v>
      </c>
      <c r="E22">
        <f>_xlfn.XLOOKUP(B22,Sheet1!A:A,Sheet1!D:D)</f>
        <v>3.5</v>
      </c>
      <c r="F22">
        <f>_xlfn.XLOOKUP(Sheet3!B22,Sheet1!A:A,Sheet1!E:E)</f>
        <v>3</v>
      </c>
      <c r="G22">
        <f>_xlfn.XLOOKUP(B22,Sheet1!A:A,Sheet1!F:F)</f>
        <v>10</v>
      </c>
      <c r="H22" cm="1">
        <f t="array" aca="1" ref="H22" ca="1">INDEX(Sheet1!$G$2:$G$3, RANDBETWEEN(1, ROWS(Sheet1!$G$2:$G$3)))</f>
        <v>0</v>
      </c>
    </row>
    <row r="23" spans="1:8" x14ac:dyDescent="0.3">
      <c r="A23" s="2" t="str" cm="1">
        <f t="array" aca="1" ref="A23" ca="1">INDEX(Sheet1!$A$2:$A$46, RANDBETWEEN(1,ROWS(Sheet1!$A$2:$A$46)))</f>
        <v>B027</v>
      </c>
      <c r="B23" s="2" t="s">
        <v>92</v>
      </c>
      <c r="C23" t="str">
        <f>_xlfn.XLOOKUP(B23, Sheet1!A:A, Sheet1!B:B)</f>
        <v>square brownies</v>
      </c>
      <c r="D23">
        <f>_xlfn.XLOOKUP(B23,Sheet1!A:A,Sheet1!C:C)</f>
        <v>6</v>
      </c>
      <c r="E23">
        <f>_xlfn.XLOOKUP(B23,Sheet1!A:A,Sheet1!D:D)</f>
        <v>4.5</v>
      </c>
      <c r="F23">
        <f>_xlfn.XLOOKUP(Sheet3!B23,Sheet1!A:A,Sheet1!E:E)</f>
        <v>4</v>
      </c>
      <c r="G23">
        <f>_xlfn.XLOOKUP(B23,Sheet1!A:A,Sheet1!F:F)</f>
        <v>14</v>
      </c>
      <c r="H23" cm="1">
        <f t="array" aca="1" ref="H23" ca="1">INDEX(Sheet1!$G$2:$G$3, RANDBETWEEN(1, ROWS(Sheet1!$G$2:$G$3)))</f>
        <v>0</v>
      </c>
    </row>
    <row r="24" spans="1:8" x14ac:dyDescent="0.3">
      <c r="A24" s="2" t="str" cm="1">
        <f t="array" aca="1" ref="A24" ca="1">INDEX(Sheet1!$A$2:$A$46, RANDBETWEEN(1,ROWS(Sheet1!$A$2:$A$46)))</f>
        <v>B023</v>
      </c>
      <c r="B24" s="2" t="s">
        <v>63</v>
      </c>
      <c r="C24" t="str">
        <f>_xlfn.XLOOKUP(B24, Sheet1!A:A, Sheet1!B:B)</f>
        <v>chocolate sliced loaf cake</v>
      </c>
      <c r="D24">
        <f>_xlfn.XLOOKUP(B24,Sheet1!A:A,Sheet1!C:C)</f>
        <v>10</v>
      </c>
      <c r="E24">
        <f>_xlfn.XLOOKUP(B24,Sheet1!A:A,Sheet1!D:D)</f>
        <v>4</v>
      </c>
      <c r="F24">
        <f>_xlfn.XLOOKUP(Sheet3!B24,Sheet1!A:A,Sheet1!E:E)</f>
        <v>3.5</v>
      </c>
      <c r="G24">
        <f>_xlfn.XLOOKUP(B24,Sheet1!A:A,Sheet1!F:F)</f>
        <v>10</v>
      </c>
      <c r="H24" t="str" cm="1">
        <f t="array" aca="1" ref="H24" ca="1">INDEX(Sheet1!$G$2:$G$3, RANDBETWEEN(1, ROWS(Sheet1!$G$2:$G$3)))</f>
        <v>No</v>
      </c>
    </row>
    <row r="25" spans="1:8" x14ac:dyDescent="0.3">
      <c r="A25" s="2" t="str" cm="1">
        <f t="array" aca="1" ref="A25" ca="1">INDEX(Sheet1!$A$2:$A$46, RANDBETWEEN(1,ROWS(Sheet1!$A$2:$A$46)))</f>
        <v>B009</v>
      </c>
      <c r="B25" s="2" t="s">
        <v>41</v>
      </c>
      <c r="C25" t="str">
        <f>_xlfn.XLOOKUP(B25, Sheet1!A:A, Sheet1!B:B)</f>
        <v>frosted blue cookies</v>
      </c>
      <c r="D25">
        <f>_xlfn.XLOOKUP(B25,Sheet1!A:A,Sheet1!C:C)</f>
        <v>15</v>
      </c>
      <c r="E25">
        <f>_xlfn.XLOOKUP(B25,Sheet1!A:A,Sheet1!D:D)</f>
        <v>3</v>
      </c>
      <c r="F25">
        <f>_xlfn.XLOOKUP(Sheet3!B25,Sheet1!A:A,Sheet1!E:E)</f>
        <v>2.5</v>
      </c>
      <c r="G25">
        <f>_xlfn.XLOOKUP(B25,Sheet1!A:A,Sheet1!F:F)</f>
        <v>14</v>
      </c>
      <c r="H25" t="str" cm="1">
        <f t="array" aca="1" ref="H25" ca="1">INDEX(Sheet1!$G$2:$G$3, RANDBETWEEN(1, ROWS(Sheet1!$G$2:$G$3)))</f>
        <v>No</v>
      </c>
    </row>
    <row r="26" spans="1:8" x14ac:dyDescent="0.3">
      <c r="A26" s="2" t="str" cm="1">
        <f t="array" aca="1" ref="A26" ca="1">INDEX(Sheet1!$A$2:$A$46, RANDBETWEEN(1,ROWS(Sheet1!$A$2:$A$46)))</f>
        <v>B026</v>
      </c>
      <c r="B26" s="2" t="s">
        <v>78</v>
      </c>
      <c r="C26" t="str">
        <f>_xlfn.XLOOKUP(B26, Sheet1!A:A, Sheet1!B:B)</f>
        <v>caramel pie</v>
      </c>
      <c r="D26">
        <f>_xlfn.XLOOKUP(B26,Sheet1!A:A,Sheet1!C:C)</f>
        <v>6</v>
      </c>
      <c r="E26">
        <f>_xlfn.XLOOKUP(B26,Sheet1!A:A,Sheet1!D:D)</f>
        <v>4</v>
      </c>
      <c r="F26">
        <f>_xlfn.XLOOKUP(Sheet3!B26,Sheet1!A:A,Sheet1!E:E)</f>
        <v>3</v>
      </c>
      <c r="G26">
        <f>_xlfn.XLOOKUP(B26,Sheet1!A:A,Sheet1!F:F)</f>
        <v>7</v>
      </c>
      <c r="H26" cm="1">
        <f t="array" aca="1" ref="H26" ca="1">INDEX(Sheet1!$G$2:$G$3, RANDBETWEEN(1, ROWS(Sheet1!$G$2:$G$3)))</f>
        <v>0</v>
      </c>
    </row>
    <row r="27" spans="1:8" x14ac:dyDescent="0.3">
      <c r="A27" s="2" t="str" cm="1">
        <f t="array" aca="1" ref="A27" ca="1">INDEX(Sheet1!$A$2:$A$46, RANDBETWEEN(1,ROWS(Sheet1!$A$2:$A$46)))</f>
        <v>B025</v>
      </c>
      <c r="B27" s="2" t="s">
        <v>84</v>
      </c>
      <c r="C27" t="str">
        <f>_xlfn.XLOOKUP(B27, Sheet1!A:A, Sheet1!B:B)</f>
        <v>plain bagels</v>
      </c>
      <c r="D27">
        <f>_xlfn.XLOOKUP(B27,Sheet1!A:A,Sheet1!C:C)</f>
        <v>8</v>
      </c>
      <c r="E27">
        <f>_xlfn.XLOOKUP(B27,Sheet1!A:A,Sheet1!D:D)</f>
        <v>3.5</v>
      </c>
      <c r="F27">
        <f>_xlfn.XLOOKUP(Sheet3!B27,Sheet1!A:A,Sheet1!E:E)</f>
        <v>3</v>
      </c>
      <c r="G27">
        <f>_xlfn.XLOOKUP(B27,Sheet1!A:A,Sheet1!F:F)</f>
        <v>8</v>
      </c>
      <c r="H27" cm="1">
        <f t="array" aca="1" ref="H27" ca="1">INDEX(Sheet1!$G$2:$G$3, RANDBETWEEN(1, ROWS(Sheet1!$G$2:$G$3)))</f>
        <v>0</v>
      </c>
    </row>
    <row r="28" spans="1:8" x14ac:dyDescent="0.3">
      <c r="A28" s="2" t="str" cm="1">
        <f t="array" aca="1" ref="A28" ca="1">INDEX(Sheet1!$A$2:$A$46, RANDBETWEEN(1,ROWS(Sheet1!$A$2:$A$46)))</f>
        <v>B015</v>
      </c>
      <c r="B28" s="2" t="s">
        <v>23</v>
      </c>
      <c r="C28" t="str">
        <f>_xlfn.XLOOKUP(B28, Sheet1!A:A, Sheet1!B:B)</f>
        <v>cheese cake</v>
      </c>
      <c r="D28">
        <f>_xlfn.XLOOKUP(B28,Sheet1!A:A,Sheet1!C:C)</f>
        <v>9</v>
      </c>
      <c r="E28">
        <f>_xlfn.XLOOKUP(B28,Sheet1!A:A,Sheet1!D:D)</f>
        <v>6.5</v>
      </c>
      <c r="F28">
        <f>_xlfn.XLOOKUP(Sheet3!B28,Sheet1!A:A,Sheet1!E:E)</f>
        <v>5.5</v>
      </c>
      <c r="G28">
        <f>_xlfn.XLOOKUP(B28,Sheet1!A:A,Sheet1!F:F)</f>
        <v>9</v>
      </c>
      <c r="H28" t="str" cm="1">
        <f t="array" aca="1" ref="H28" ca="1">INDEX(Sheet1!$G$2:$G$3, RANDBETWEEN(1, ROWS(Sheet1!$G$2:$G$3)))</f>
        <v>No</v>
      </c>
    </row>
    <row r="29" spans="1:8" x14ac:dyDescent="0.3">
      <c r="A29" s="2" t="str" cm="1">
        <f t="array" aca="1" ref="A29" ca="1">INDEX(Sheet1!$A$2:$A$46, RANDBETWEEN(1,ROWS(Sheet1!$A$2:$A$46)))</f>
        <v>B040</v>
      </c>
      <c r="B29" s="2" t="s">
        <v>24</v>
      </c>
      <c r="C29" t="str">
        <f>_xlfn.XLOOKUP(B29, Sheet1!A:A, Sheet1!B:B)</f>
        <v>tiramisu</v>
      </c>
      <c r="D29">
        <f>_xlfn.XLOOKUP(B29,Sheet1!A:A,Sheet1!C:C)</f>
        <v>8</v>
      </c>
      <c r="E29">
        <f>_xlfn.XLOOKUP(B29,Sheet1!A:A,Sheet1!D:D)</f>
        <v>7.5</v>
      </c>
      <c r="F29">
        <f>_xlfn.XLOOKUP(Sheet3!B29,Sheet1!A:A,Sheet1!E:E)</f>
        <v>5.5</v>
      </c>
      <c r="G29">
        <f>_xlfn.XLOOKUP(B29,Sheet1!A:A,Sheet1!F:F)</f>
        <v>7</v>
      </c>
      <c r="H29" t="str" cm="1">
        <f t="array" aca="1" ref="H29" ca="1">INDEX(Sheet1!$G$2:$G$3, RANDBETWEEN(1, ROWS(Sheet1!$G$2:$G$3)))</f>
        <v>No</v>
      </c>
    </row>
    <row r="30" spans="1:8" x14ac:dyDescent="0.3">
      <c r="A30" s="2" t="str" cm="1">
        <f t="array" aca="1" ref="A30" ca="1">INDEX(Sheet1!$A$2:$A$46, RANDBETWEEN(1,ROWS(Sheet1!$A$2:$A$46)))</f>
        <v>B045</v>
      </c>
      <c r="B30" s="2" t="s">
        <v>41</v>
      </c>
      <c r="C30" t="str">
        <f>_xlfn.XLOOKUP(B30, Sheet1!A:A, Sheet1!B:B)</f>
        <v>frosted blue cookies</v>
      </c>
      <c r="D30">
        <f>_xlfn.XLOOKUP(B30,Sheet1!A:A,Sheet1!C:C)</f>
        <v>15</v>
      </c>
      <c r="E30">
        <f>_xlfn.XLOOKUP(B30,Sheet1!A:A,Sheet1!D:D)</f>
        <v>3</v>
      </c>
      <c r="F30">
        <f>_xlfn.XLOOKUP(Sheet3!B30,Sheet1!A:A,Sheet1!E:E)</f>
        <v>2.5</v>
      </c>
      <c r="G30">
        <f>_xlfn.XLOOKUP(B30,Sheet1!A:A,Sheet1!F:F)</f>
        <v>14</v>
      </c>
      <c r="H30" t="str" cm="1">
        <f t="array" aca="1" ref="H30" ca="1">INDEX(Sheet1!$G$2:$G$3, RANDBETWEEN(1, ROWS(Sheet1!$G$2:$G$3)))</f>
        <v>No</v>
      </c>
    </row>
    <row r="31" spans="1:8" x14ac:dyDescent="0.3">
      <c r="A31" s="2" t="str" cm="1">
        <f t="array" aca="1" ref="A31" ca="1">INDEX(Sheet1!$A$2:$A$46, RANDBETWEEN(1,ROWS(Sheet1!$A$2:$A$46)))</f>
        <v>B031</v>
      </c>
      <c r="B31" s="2" t="s">
        <v>63</v>
      </c>
      <c r="C31" t="str">
        <f>_xlfn.XLOOKUP(B31, Sheet1!A:A, Sheet1!B:B)</f>
        <v>chocolate sliced loaf cake</v>
      </c>
      <c r="D31">
        <f>_xlfn.XLOOKUP(B31,Sheet1!A:A,Sheet1!C:C)</f>
        <v>10</v>
      </c>
      <c r="E31">
        <f>_xlfn.XLOOKUP(B31,Sheet1!A:A,Sheet1!D:D)</f>
        <v>4</v>
      </c>
      <c r="F31">
        <f>_xlfn.XLOOKUP(Sheet3!B31,Sheet1!A:A,Sheet1!E:E)</f>
        <v>3.5</v>
      </c>
      <c r="G31">
        <f>_xlfn.XLOOKUP(B31,Sheet1!A:A,Sheet1!F:F)</f>
        <v>10</v>
      </c>
      <c r="H31" cm="1">
        <f t="array" aca="1" ref="H31" ca="1">INDEX(Sheet1!$G$2:$G$3, RANDBETWEEN(1, ROWS(Sheet1!$G$2:$G$3)))</f>
        <v>0</v>
      </c>
    </row>
    <row r="32" spans="1:8" x14ac:dyDescent="0.3">
      <c r="A32" s="2" t="str" cm="1">
        <f t="array" aca="1" ref="A32" ca="1">INDEX(Sheet1!$A$2:$A$46, RANDBETWEEN(1,ROWS(Sheet1!$A$2:$A$46)))</f>
        <v>B043</v>
      </c>
      <c r="B32" s="2" t="s">
        <v>89</v>
      </c>
      <c r="C32" t="str">
        <f>_xlfn.XLOOKUP(B32, Sheet1!A:A, Sheet1!B:B)</f>
        <v>blueberry bagels</v>
      </c>
      <c r="D32">
        <f>_xlfn.XLOOKUP(B32,Sheet1!A:A,Sheet1!C:C)</f>
        <v>8</v>
      </c>
      <c r="E32">
        <f>_xlfn.XLOOKUP(B32,Sheet1!A:A,Sheet1!D:D)</f>
        <v>3.5</v>
      </c>
      <c r="F32">
        <f>_xlfn.XLOOKUP(Sheet3!B32,Sheet1!A:A,Sheet1!E:E)</f>
        <v>3</v>
      </c>
      <c r="G32">
        <f>_xlfn.XLOOKUP(B32,Sheet1!A:A,Sheet1!F:F)</f>
        <v>8</v>
      </c>
      <c r="H32" t="str" cm="1">
        <f t="array" aca="1" ref="H32" ca="1">INDEX(Sheet1!$G$2:$G$3, RANDBETWEEN(1, ROWS(Sheet1!$G$2:$G$3)))</f>
        <v>No</v>
      </c>
    </row>
    <row r="33" spans="1:8" x14ac:dyDescent="0.3">
      <c r="A33" s="2" t="str" cm="1">
        <f t="array" aca="1" ref="A33" ca="1">INDEX(Sheet1!$A$2:$A$46, RANDBETWEEN(1,ROWS(Sheet1!$A$2:$A$46)))</f>
        <v>B044</v>
      </c>
      <c r="B33" s="2" t="s">
        <v>69</v>
      </c>
      <c r="C33" t="str">
        <f>_xlfn.XLOOKUP(B33, Sheet1!A:A, Sheet1!B:B)</f>
        <v>coconut creme pie</v>
      </c>
      <c r="D33">
        <f>_xlfn.XLOOKUP(B33,Sheet1!A:A,Sheet1!C:C)</f>
        <v>6</v>
      </c>
      <c r="E33">
        <f>_xlfn.XLOOKUP(B33,Sheet1!A:A,Sheet1!D:D)</f>
        <v>4</v>
      </c>
      <c r="F33">
        <f>_xlfn.XLOOKUP(Sheet3!B33,Sheet1!A:A,Sheet1!E:E)</f>
        <v>3</v>
      </c>
      <c r="G33">
        <f>_xlfn.XLOOKUP(B33,Sheet1!A:A,Sheet1!F:F)</f>
        <v>7</v>
      </c>
      <c r="H33" cm="1">
        <f t="array" aca="1" ref="H33" ca="1">INDEX(Sheet1!$G$2:$G$3, RANDBETWEEN(1, ROWS(Sheet1!$G$2:$G$3)))</f>
        <v>0</v>
      </c>
    </row>
    <row r="34" spans="1:8" x14ac:dyDescent="0.3">
      <c r="A34" s="2" t="str" cm="1">
        <f t="array" aca="1" ref="A34" ca="1">INDEX(Sheet1!$A$2:$A$46, RANDBETWEEN(1,ROWS(Sheet1!$A$2:$A$46)))</f>
        <v>B028</v>
      </c>
      <c r="B34" s="2" t="s">
        <v>37</v>
      </c>
      <c r="C34" t="str">
        <f>_xlfn.XLOOKUP(B34, Sheet1!A:A, Sheet1!B:B)</f>
        <v>sugar cookies</v>
      </c>
      <c r="D34">
        <f>_xlfn.XLOOKUP(B34,Sheet1!A:A,Sheet1!C:C)</f>
        <v>12</v>
      </c>
      <c r="E34">
        <f>_xlfn.XLOOKUP(B34,Sheet1!A:A,Sheet1!D:D)</f>
        <v>3.5</v>
      </c>
      <c r="F34">
        <f>_xlfn.XLOOKUP(Sheet3!B34,Sheet1!A:A,Sheet1!E:E)</f>
        <v>3</v>
      </c>
      <c r="G34">
        <f>_xlfn.XLOOKUP(B34,Sheet1!A:A,Sheet1!F:F)</f>
        <v>14</v>
      </c>
      <c r="H34" t="str" cm="1">
        <f t="array" aca="1" ref="H34" ca="1">INDEX(Sheet1!$G$2:$G$3, RANDBETWEEN(1, ROWS(Sheet1!$G$2:$G$3)))</f>
        <v>No</v>
      </c>
    </row>
    <row r="35" spans="1:8" x14ac:dyDescent="0.3">
      <c r="A35" s="2" t="str" cm="1">
        <f t="array" aca="1" ref="A35" ca="1">INDEX(Sheet1!$A$2:$A$46, RANDBETWEEN(1,ROWS(Sheet1!$A$2:$A$46)))</f>
        <v>B039</v>
      </c>
      <c r="B35" s="2" t="s">
        <v>92</v>
      </c>
      <c r="C35" t="str">
        <f>_xlfn.XLOOKUP(B35, Sheet1!A:A, Sheet1!B:B)</f>
        <v>square brownies</v>
      </c>
      <c r="D35">
        <f>_xlfn.XLOOKUP(B35,Sheet1!A:A,Sheet1!C:C)</f>
        <v>6</v>
      </c>
      <c r="E35">
        <f>_xlfn.XLOOKUP(B35,Sheet1!A:A,Sheet1!D:D)</f>
        <v>4.5</v>
      </c>
      <c r="F35">
        <f>_xlfn.XLOOKUP(Sheet3!B35,Sheet1!A:A,Sheet1!E:E)</f>
        <v>4</v>
      </c>
      <c r="G35">
        <f>_xlfn.XLOOKUP(B35,Sheet1!A:A,Sheet1!F:F)</f>
        <v>14</v>
      </c>
      <c r="H35" cm="1">
        <f t="array" aca="1" ref="H35" ca="1">INDEX(Sheet1!$G$2:$G$3, RANDBETWEEN(1, ROWS(Sheet1!$G$2:$G$3)))</f>
        <v>0</v>
      </c>
    </row>
    <row r="36" spans="1:8" x14ac:dyDescent="0.3">
      <c r="A36" s="2" t="str" cm="1">
        <f t="array" aca="1" ref="A36" ca="1">INDEX(Sheet1!$A$2:$A$46, RANDBETWEEN(1,ROWS(Sheet1!$A$2:$A$46)))</f>
        <v>B041</v>
      </c>
      <c r="B36" s="2" t="s">
        <v>23</v>
      </c>
      <c r="C36" t="str">
        <f>_xlfn.XLOOKUP(B36, Sheet1!A:A, Sheet1!B:B)</f>
        <v>cheese cake</v>
      </c>
      <c r="D36">
        <f>_xlfn.XLOOKUP(B36,Sheet1!A:A,Sheet1!C:C)</f>
        <v>9</v>
      </c>
      <c r="E36">
        <f>_xlfn.XLOOKUP(B36,Sheet1!A:A,Sheet1!D:D)</f>
        <v>6.5</v>
      </c>
      <c r="F36">
        <f>_xlfn.XLOOKUP(Sheet3!B36,Sheet1!A:A,Sheet1!E:E)</f>
        <v>5.5</v>
      </c>
      <c r="G36">
        <f>_xlfn.XLOOKUP(B36,Sheet1!A:A,Sheet1!F:F)</f>
        <v>9</v>
      </c>
      <c r="H36" t="str" cm="1">
        <f t="array" aca="1" ref="H36" ca="1">INDEX(Sheet1!$G$2:$G$3, RANDBETWEEN(1, ROWS(Sheet1!$G$2:$G$3)))</f>
        <v>No</v>
      </c>
    </row>
    <row r="37" spans="1:8" x14ac:dyDescent="0.3">
      <c r="A37" s="2" t="str" cm="1">
        <f t="array" aca="1" ref="A37" ca="1">INDEX(Sheet1!$A$2:$A$46, RANDBETWEEN(1,ROWS(Sheet1!$A$2:$A$46)))</f>
        <v>B026</v>
      </c>
      <c r="B37" s="2" t="s">
        <v>57</v>
      </c>
      <c r="C37" t="str">
        <f>_xlfn.XLOOKUP(B37, Sheet1!A:A, Sheet1!B:B)</f>
        <v>vanilla cupcakes</v>
      </c>
      <c r="D37">
        <f>_xlfn.XLOOKUP(B37,Sheet1!A:A,Sheet1!C:C)</f>
        <v>8</v>
      </c>
      <c r="E37">
        <f>_xlfn.XLOOKUP(B37,Sheet1!A:A,Sheet1!D:D)</f>
        <v>6</v>
      </c>
      <c r="F37">
        <f>_xlfn.XLOOKUP(Sheet3!B37,Sheet1!A:A,Sheet1!E:E)</f>
        <v>5.5</v>
      </c>
      <c r="G37">
        <f>_xlfn.XLOOKUP(B37,Sheet1!A:A,Sheet1!F:F)</f>
        <v>20</v>
      </c>
      <c r="H37" cm="1">
        <f t="array" aca="1" ref="H37" ca="1">INDEX(Sheet1!$G$2:$G$3, RANDBETWEEN(1, ROWS(Sheet1!$G$2:$G$3)))</f>
        <v>0</v>
      </c>
    </row>
    <row r="38" spans="1:8" x14ac:dyDescent="0.3">
      <c r="A38" s="2" t="str" cm="1">
        <f t="array" aca="1" ref="A38" ca="1">INDEX(Sheet1!$A$2:$A$46, RANDBETWEEN(1,ROWS(Sheet1!$A$2:$A$46)))</f>
        <v>B010</v>
      </c>
      <c r="B38" s="2" t="s">
        <v>92</v>
      </c>
      <c r="C38" t="str">
        <f>_xlfn.XLOOKUP(B38, Sheet1!A:A, Sheet1!B:B)</f>
        <v>square brownies</v>
      </c>
      <c r="D38">
        <f>_xlfn.XLOOKUP(B38,Sheet1!A:A,Sheet1!C:C)</f>
        <v>6</v>
      </c>
      <c r="E38">
        <f>_xlfn.XLOOKUP(B38,Sheet1!A:A,Sheet1!D:D)</f>
        <v>4.5</v>
      </c>
      <c r="F38">
        <f>_xlfn.XLOOKUP(Sheet3!B38,Sheet1!A:A,Sheet1!E:E)</f>
        <v>4</v>
      </c>
      <c r="G38">
        <f>_xlfn.XLOOKUP(B38,Sheet1!A:A,Sheet1!F:F)</f>
        <v>14</v>
      </c>
      <c r="H38" cm="1">
        <f t="array" aca="1" ref="H38" ca="1">INDEX(Sheet1!$G$2:$G$3, RANDBETWEEN(1, ROWS(Sheet1!$G$2:$G$3)))</f>
        <v>0</v>
      </c>
    </row>
    <row r="39" spans="1:8" x14ac:dyDescent="0.3">
      <c r="A39" s="2" t="str" cm="1">
        <f t="array" aca="1" ref="A39" ca="1">INDEX(Sheet1!$A$2:$A$46, RANDBETWEEN(1,ROWS(Sheet1!$A$2:$A$46)))</f>
        <v>B022</v>
      </c>
      <c r="B39" s="2" t="s">
        <v>38</v>
      </c>
      <c r="C39" t="str">
        <f>_xlfn.XLOOKUP(B39, Sheet1!A:A, Sheet1!B:B)</f>
        <v>snickerdoodle cookies</v>
      </c>
      <c r="D39">
        <f>_xlfn.XLOOKUP(B39,Sheet1!A:A,Sheet1!C:C)</f>
        <v>12</v>
      </c>
      <c r="E39">
        <f>_xlfn.XLOOKUP(B39,Sheet1!A:A,Sheet1!D:D)</f>
        <v>3.5</v>
      </c>
      <c r="F39">
        <f>_xlfn.XLOOKUP(Sheet3!B39,Sheet1!A:A,Sheet1!E:E)</f>
        <v>3</v>
      </c>
      <c r="G39">
        <f>_xlfn.XLOOKUP(B39,Sheet1!A:A,Sheet1!F:F)</f>
        <v>14</v>
      </c>
      <c r="H39" cm="1">
        <f t="array" aca="1" ref="H39" ca="1">INDEX(Sheet1!$G$2:$G$3, RANDBETWEEN(1, ROWS(Sheet1!$G$2:$G$3)))</f>
        <v>0</v>
      </c>
    </row>
    <row r="40" spans="1:8" x14ac:dyDescent="0.3">
      <c r="A40" s="2" t="str" cm="1">
        <f t="array" aca="1" ref="A40" ca="1">INDEX(Sheet1!$A$2:$A$46, RANDBETWEEN(1,ROWS(Sheet1!$A$2:$A$46)))</f>
        <v>B025</v>
      </c>
      <c r="B40" s="2" t="s">
        <v>80</v>
      </c>
      <c r="C40" t="str">
        <f>_xlfn.XLOOKUP(B40, Sheet1!A:A, Sheet1!B:B)</f>
        <v>carrot square cake</v>
      </c>
      <c r="D40">
        <f>_xlfn.XLOOKUP(B40,Sheet1!A:A,Sheet1!C:C)</f>
        <v>8</v>
      </c>
      <c r="E40">
        <f>_xlfn.XLOOKUP(B40,Sheet1!A:A,Sheet1!D:D)</f>
        <v>2.5</v>
      </c>
      <c r="F40">
        <f>_xlfn.XLOOKUP(Sheet3!B40,Sheet1!A:A,Sheet1!E:E)</f>
        <v>2</v>
      </c>
      <c r="G40">
        <f>_xlfn.XLOOKUP(B40,Sheet1!A:A,Sheet1!F:F)</f>
        <v>5</v>
      </c>
      <c r="H40" t="str" cm="1">
        <f t="array" aca="1" ref="H40" ca="1">INDEX(Sheet1!$G$2:$G$3, RANDBETWEEN(1, ROWS(Sheet1!$G$2:$G$3)))</f>
        <v>No</v>
      </c>
    </row>
    <row r="41" spans="1:8" x14ac:dyDescent="0.3">
      <c r="A41" s="2" t="str" cm="1">
        <f t="array" aca="1" ref="A41" ca="1">INDEX(Sheet1!$A$2:$A$46, RANDBETWEEN(1,ROWS(Sheet1!$A$2:$A$46)))</f>
        <v>B026</v>
      </c>
      <c r="B41" s="2" t="s">
        <v>92</v>
      </c>
      <c r="C41" t="str">
        <f>_xlfn.XLOOKUP(B41, Sheet1!A:A, Sheet1!B:B)</f>
        <v>square brownies</v>
      </c>
      <c r="D41">
        <f>_xlfn.XLOOKUP(B41,Sheet1!A:A,Sheet1!C:C)</f>
        <v>6</v>
      </c>
      <c r="E41">
        <f>_xlfn.XLOOKUP(B41,Sheet1!A:A,Sheet1!D:D)</f>
        <v>4.5</v>
      </c>
      <c r="F41">
        <f>_xlfn.XLOOKUP(Sheet3!B41,Sheet1!A:A,Sheet1!E:E)</f>
        <v>4</v>
      </c>
      <c r="G41">
        <f>_xlfn.XLOOKUP(B41,Sheet1!A:A,Sheet1!F:F)</f>
        <v>14</v>
      </c>
      <c r="H41" cm="1">
        <f t="array" aca="1" ref="H41" ca="1">INDEX(Sheet1!$G$2:$G$3, RANDBETWEEN(1, ROWS(Sheet1!$G$2:$G$3)))</f>
        <v>0</v>
      </c>
    </row>
    <row r="42" spans="1:8" x14ac:dyDescent="0.3">
      <c r="A42" s="2" t="str" cm="1">
        <f t="array" aca="1" ref="A42" ca="1">INDEX(Sheet1!$A$2:$A$46, RANDBETWEEN(1,ROWS(Sheet1!$A$2:$A$46)))</f>
        <v>B031</v>
      </c>
      <c r="B42" s="2" t="s">
        <v>83</v>
      </c>
      <c r="C42" t="str">
        <f>_xlfn.XLOOKUP(B42, Sheet1!A:A, Sheet1!B:B)</f>
        <v>pumpkin spice muffins</v>
      </c>
      <c r="D42">
        <f>_xlfn.XLOOKUP(B42,Sheet1!A:A,Sheet1!C:C)</f>
        <v>10</v>
      </c>
      <c r="E42">
        <f>_xlfn.XLOOKUP(B42,Sheet1!A:A,Sheet1!D:D)</f>
        <v>4.5</v>
      </c>
      <c r="F42">
        <f>_xlfn.XLOOKUP(Sheet3!B42,Sheet1!A:A,Sheet1!E:E)</f>
        <v>4</v>
      </c>
      <c r="G42">
        <f>_xlfn.XLOOKUP(B42,Sheet1!A:A,Sheet1!F:F)</f>
        <v>10</v>
      </c>
      <c r="H42" cm="1">
        <f t="array" aca="1" ref="H42" ca="1">INDEX(Sheet1!$G$2:$G$3, RANDBETWEEN(1, ROWS(Sheet1!$G$2:$G$3)))</f>
        <v>0</v>
      </c>
    </row>
    <row r="43" spans="1:8" x14ac:dyDescent="0.3">
      <c r="A43" s="2" t="str" cm="1">
        <f t="array" aca="1" ref="A43" ca="1">INDEX(Sheet1!$A$2:$A$46, RANDBETWEEN(1,ROWS(Sheet1!$A$2:$A$46)))</f>
        <v>B028</v>
      </c>
      <c r="B43" s="2" t="s">
        <v>34</v>
      </c>
      <c r="C43" t="str">
        <f>_xlfn.XLOOKUP(B43, Sheet1!A:A, Sheet1!B:B)</f>
        <v>almond croissant</v>
      </c>
      <c r="D43">
        <f>_xlfn.XLOOKUP(B43,Sheet1!A:A,Sheet1!C:C)</f>
        <v>6</v>
      </c>
      <c r="E43">
        <f>_xlfn.XLOOKUP(B43,Sheet1!A:A,Sheet1!D:D)</f>
        <v>3.5</v>
      </c>
      <c r="F43">
        <f>_xlfn.XLOOKUP(Sheet3!B43,Sheet1!A:A,Sheet1!E:E)</f>
        <v>3</v>
      </c>
      <c r="G43">
        <f>_xlfn.XLOOKUP(B43,Sheet1!A:A,Sheet1!F:F)</f>
        <v>10</v>
      </c>
      <c r="H43" t="str" cm="1">
        <f t="array" aca="1" ref="H43" ca="1">INDEX(Sheet1!$G$2:$G$3, RANDBETWEEN(1, ROWS(Sheet1!$G$2:$G$3)))</f>
        <v>No</v>
      </c>
    </row>
    <row r="44" spans="1:8" x14ac:dyDescent="0.3">
      <c r="A44" s="2" t="str" cm="1">
        <f t="array" aca="1" ref="A44" ca="1">INDEX(Sheet1!$A$2:$A$46, RANDBETWEEN(1,ROWS(Sheet1!$A$2:$A$46)))</f>
        <v>B033</v>
      </c>
      <c r="B44" s="2" t="s">
        <v>35</v>
      </c>
      <c r="C44" t="str">
        <f>_xlfn.XLOOKUP(B44, Sheet1!A:A, Sheet1!B:B)</f>
        <v>orange pound</v>
      </c>
      <c r="D44">
        <f>_xlfn.XLOOKUP(B44,Sheet1!A:A,Sheet1!C:C)</f>
        <v>8</v>
      </c>
      <c r="E44">
        <f>_xlfn.XLOOKUP(B44,Sheet1!A:A,Sheet1!D:D)</f>
        <v>3.5</v>
      </c>
      <c r="F44">
        <f>_xlfn.XLOOKUP(Sheet3!B44,Sheet1!A:A,Sheet1!E:E)</f>
        <v>3</v>
      </c>
      <c r="G44">
        <f>_xlfn.XLOOKUP(B44,Sheet1!A:A,Sheet1!F:F)</f>
        <v>14</v>
      </c>
      <c r="H44" t="str" cm="1">
        <f t="array" aca="1" ref="H44" ca="1">INDEX(Sheet1!$G$2:$G$3, RANDBETWEEN(1, ROWS(Sheet1!$G$2:$G$3)))</f>
        <v>No</v>
      </c>
    </row>
    <row r="45" spans="1:8" x14ac:dyDescent="0.3">
      <c r="A45" s="2" t="str" cm="1">
        <f t="array" aca="1" ref="A45" ca="1">INDEX(Sheet1!$A$2:$A$46, RANDBETWEEN(1,ROWS(Sheet1!$A$2:$A$46)))</f>
        <v>B008</v>
      </c>
      <c r="B45" s="2" t="s">
        <v>59</v>
      </c>
      <c r="C45" t="str">
        <f>_xlfn.XLOOKUP(B45, Sheet1!A:A, Sheet1!B:B)</f>
        <v>iced lemon sliced loaf cake</v>
      </c>
      <c r="D45">
        <f>_xlfn.XLOOKUP(B45,Sheet1!A:A,Sheet1!C:C)</f>
        <v>10</v>
      </c>
      <c r="E45">
        <f>_xlfn.XLOOKUP(B45,Sheet1!A:A,Sheet1!D:D)</f>
        <v>4</v>
      </c>
      <c r="F45">
        <f>_xlfn.XLOOKUP(Sheet3!B45,Sheet1!A:A,Sheet1!E:E)</f>
        <v>3.5</v>
      </c>
      <c r="G45">
        <f>_xlfn.XLOOKUP(B45,Sheet1!A:A,Sheet1!F:F)</f>
        <v>10</v>
      </c>
      <c r="H45" cm="1">
        <f t="array" aca="1" ref="H45" ca="1">INDEX(Sheet1!$G$2:$G$3, RANDBETWEEN(1, ROWS(Sheet1!$G$2:$G$3)))</f>
        <v>0</v>
      </c>
    </row>
    <row r="46" spans="1:8" x14ac:dyDescent="0.3">
      <c r="A46" s="2" t="str" cm="1">
        <f t="array" aca="1" ref="A46" ca="1">INDEX(Sheet1!$A$2:$A$46, RANDBETWEEN(1,ROWS(Sheet1!$A$2:$A$46)))</f>
        <v>B033</v>
      </c>
      <c r="B46" s="2" t="s">
        <v>71</v>
      </c>
      <c r="C46" t="str">
        <f>_xlfn.XLOOKUP(B46, Sheet1!A:A, Sheet1!B:B)</f>
        <v>blueberry pie</v>
      </c>
      <c r="D46">
        <f>_xlfn.XLOOKUP(B46,Sheet1!A:A,Sheet1!C:C)</f>
        <v>6</v>
      </c>
      <c r="E46">
        <f>_xlfn.XLOOKUP(B46,Sheet1!A:A,Sheet1!D:D)</f>
        <v>4</v>
      </c>
      <c r="F46">
        <f>_xlfn.XLOOKUP(Sheet3!B46,Sheet1!A:A,Sheet1!E:E)</f>
        <v>3</v>
      </c>
      <c r="G46">
        <f>_xlfn.XLOOKUP(B46,Sheet1!A:A,Sheet1!F:F)</f>
        <v>7</v>
      </c>
      <c r="H46" t="str" cm="1">
        <f t="array" aca="1" ref="H46" ca="1">INDEX(Sheet1!$G$2:$G$3, RANDBETWEEN(1, ROWS(Sheet1!$G$2:$G$3)))</f>
        <v>No</v>
      </c>
    </row>
    <row r="47" spans="1:8" x14ac:dyDescent="0.3">
      <c r="A47" s="2" t="str" cm="1">
        <f t="array" aca="1" ref="A47" ca="1">INDEX(Sheet1!$A$2:$A$46, RANDBETWEEN(1,ROWS(Sheet1!$A$2:$A$46)))</f>
        <v>B015</v>
      </c>
      <c r="B47" s="2" t="s">
        <v>78</v>
      </c>
      <c r="C47" t="str">
        <f>_xlfn.XLOOKUP(B47, Sheet1!A:A, Sheet1!B:B)</f>
        <v>caramel pie</v>
      </c>
      <c r="D47">
        <f>_xlfn.XLOOKUP(B47,Sheet1!A:A,Sheet1!C:C)</f>
        <v>6</v>
      </c>
      <c r="E47">
        <f>_xlfn.XLOOKUP(B47,Sheet1!A:A,Sheet1!D:D)</f>
        <v>4</v>
      </c>
      <c r="F47">
        <f>_xlfn.XLOOKUP(Sheet3!B47,Sheet1!A:A,Sheet1!E:E)</f>
        <v>3</v>
      </c>
      <c r="G47">
        <f>_xlfn.XLOOKUP(B47,Sheet1!A:A,Sheet1!F:F)</f>
        <v>7</v>
      </c>
      <c r="H47" cm="1">
        <f t="array" aca="1" ref="H47" ca="1">INDEX(Sheet1!$G$2:$G$3, RANDBETWEEN(1, ROWS(Sheet1!$G$2:$G$3)))</f>
        <v>0</v>
      </c>
    </row>
    <row r="48" spans="1:8" x14ac:dyDescent="0.3">
      <c r="A48" s="2" t="str" cm="1">
        <f t="array" aca="1" ref="A48" ca="1">INDEX(Sheet1!$A$2:$A$46, RANDBETWEEN(1,ROWS(Sheet1!$A$2:$A$46)))</f>
        <v>B025</v>
      </c>
      <c r="B48" s="2" t="s">
        <v>81</v>
      </c>
      <c r="C48" t="str">
        <f>_xlfn.XLOOKUP(B48, Sheet1!A:A, Sheet1!B:B)</f>
        <v>red velvet square cake</v>
      </c>
      <c r="D48">
        <f>_xlfn.XLOOKUP(B48,Sheet1!A:A,Sheet1!C:C)</f>
        <v>8</v>
      </c>
      <c r="E48">
        <f>_xlfn.XLOOKUP(B48,Sheet1!A:A,Sheet1!D:D)</f>
        <v>2.5</v>
      </c>
      <c r="F48">
        <f>_xlfn.XLOOKUP(Sheet3!B48,Sheet1!A:A,Sheet1!E:E)</f>
        <v>2</v>
      </c>
      <c r="G48">
        <f>_xlfn.XLOOKUP(B48,Sheet1!A:A,Sheet1!F:F)</f>
        <v>5</v>
      </c>
      <c r="H48" t="str" cm="1">
        <f t="array" aca="1" ref="H48" ca="1">INDEX(Sheet1!$G$2:$G$3, RANDBETWEEN(1, ROWS(Sheet1!$G$2:$G$3)))</f>
        <v>No</v>
      </c>
    </row>
    <row r="49" spans="1:8" x14ac:dyDescent="0.3">
      <c r="A49" s="2" t="str" cm="1">
        <f t="array" aca="1" ref="A49" ca="1">INDEX(Sheet1!$A$2:$A$46, RANDBETWEEN(1,ROWS(Sheet1!$A$2:$A$46)))</f>
        <v>B044</v>
      </c>
      <c r="B49" s="2" t="s">
        <v>41</v>
      </c>
      <c r="C49" t="str">
        <f>_xlfn.XLOOKUP(B49, Sheet1!A:A, Sheet1!B:B)</f>
        <v>frosted blue cookies</v>
      </c>
      <c r="D49">
        <f>_xlfn.XLOOKUP(B49,Sheet1!A:A,Sheet1!C:C)</f>
        <v>15</v>
      </c>
      <c r="E49">
        <f>_xlfn.XLOOKUP(B49,Sheet1!A:A,Sheet1!D:D)</f>
        <v>3</v>
      </c>
      <c r="F49">
        <f>_xlfn.XLOOKUP(Sheet3!B49,Sheet1!A:A,Sheet1!E:E)</f>
        <v>2.5</v>
      </c>
      <c r="G49">
        <f>_xlfn.XLOOKUP(B49,Sheet1!A:A,Sheet1!F:F)</f>
        <v>14</v>
      </c>
      <c r="H49" t="str" cm="1">
        <f t="array" aca="1" ref="H49" ca="1">INDEX(Sheet1!$G$2:$G$3, RANDBETWEEN(1, ROWS(Sheet1!$G$2:$G$3)))</f>
        <v>No</v>
      </c>
    </row>
    <row r="50" spans="1:8" x14ac:dyDescent="0.3">
      <c r="A50" s="2" t="str" cm="1">
        <f t="array" aca="1" ref="A50" ca="1">INDEX(Sheet1!$A$2:$A$46, RANDBETWEEN(1,ROWS(Sheet1!$A$2:$A$46)))</f>
        <v>B035</v>
      </c>
      <c r="B50" s="2" t="s">
        <v>78</v>
      </c>
      <c r="C50" t="str">
        <f>_xlfn.XLOOKUP(B50, Sheet1!A:A, Sheet1!B:B)</f>
        <v>caramel pie</v>
      </c>
      <c r="D50">
        <f>_xlfn.XLOOKUP(B50,Sheet1!A:A,Sheet1!C:C)</f>
        <v>6</v>
      </c>
      <c r="E50">
        <f>_xlfn.XLOOKUP(B50,Sheet1!A:A,Sheet1!D:D)</f>
        <v>4</v>
      </c>
      <c r="F50">
        <f>_xlfn.XLOOKUP(Sheet3!B50,Sheet1!A:A,Sheet1!E:E)</f>
        <v>3</v>
      </c>
      <c r="G50">
        <f>_xlfn.XLOOKUP(B50,Sheet1!A:A,Sheet1!F:F)</f>
        <v>7</v>
      </c>
      <c r="H50" t="str" cm="1">
        <f t="array" aca="1" ref="H50" ca="1">INDEX(Sheet1!$G$2:$G$3, RANDBETWEEN(1, ROWS(Sheet1!$G$2:$G$3)))</f>
        <v>No</v>
      </c>
    </row>
    <row r="51" spans="1:8" x14ac:dyDescent="0.3">
      <c r="A51" s="2" t="str" cm="1">
        <f t="array" aca="1" ref="A51" ca="1">INDEX(Sheet1!$A$2:$A$46, RANDBETWEEN(1,ROWS(Sheet1!$A$2:$A$46)))</f>
        <v>B023</v>
      </c>
      <c r="B51" s="2" t="s">
        <v>60</v>
      </c>
      <c r="C51" t="str">
        <f>_xlfn.XLOOKUP(B51, Sheet1!A:A, Sheet1!B:B)</f>
        <v>banana nut sliced loaf cake</v>
      </c>
      <c r="D51">
        <f>_xlfn.XLOOKUP(B51,Sheet1!A:A,Sheet1!C:C)</f>
        <v>10</v>
      </c>
      <c r="E51">
        <f>_xlfn.XLOOKUP(B51,Sheet1!A:A,Sheet1!D:D)</f>
        <v>4</v>
      </c>
      <c r="F51">
        <f>_xlfn.XLOOKUP(Sheet3!B51,Sheet1!A:A,Sheet1!E:E)</f>
        <v>3.5</v>
      </c>
      <c r="G51">
        <f>_xlfn.XLOOKUP(B51,Sheet1!A:A,Sheet1!F:F)</f>
        <v>10</v>
      </c>
      <c r="H51" t="str" cm="1">
        <f t="array" aca="1" ref="H51" ca="1">INDEX(Sheet1!$G$2:$G$3, RANDBETWEEN(1, ROWS(Sheet1!$G$2:$G$3)))</f>
        <v>No</v>
      </c>
    </row>
    <row r="52" spans="1:8" x14ac:dyDescent="0.3">
      <c r="A52" s="2" t="str" cm="1">
        <f t="array" aca="1" ref="A52" ca="1">INDEX(Sheet1!$A$2:$A$46, RANDBETWEEN(1,ROWS(Sheet1!$A$2:$A$46)))</f>
        <v>B033</v>
      </c>
      <c r="B52" s="2" t="s">
        <v>71</v>
      </c>
      <c r="C52" t="str">
        <f>_xlfn.XLOOKUP(B52, Sheet1!A:A, Sheet1!B:B)</f>
        <v>blueberry pie</v>
      </c>
      <c r="D52">
        <f>_xlfn.XLOOKUP(B52,Sheet1!A:A,Sheet1!C:C)</f>
        <v>6</v>
      </c>
      <c r="E52">
        <f>_xlfn.XLOOKUP(B52,Sheet1!A:A,Sheet1!D:D)</f>
        <v>4</v>
      </c>
      <c r="F52">
        <f>_xlfn.XLOOKUP(Sheet3!B52,Sheet1!A:A,Sheet1!E:E)</f>
        <v>3</v>
      </c>
      <c r="G52">
        <f>_xlfn.XLOOKUP(B52,Sheet1!A:A,Sheet1!F:F)</f>
        <v>7</v>
      </c>
      <c r="H52" cm="1">
        <f t="array" aca="1" ref="H52" ca="1">INDEX(Sheet1!$G$2:$G$3, RANDBETWEEN(1, ROWS(Sheet1!$G$2:$G$3)))</f>
        <v>0</v>
      </c>
    </row>
    <row r="53" spans="1:8" x14ac:dyDescent="0.3">
      <c r="A53" s="2" t="str" cm="1">
        <f t="array" aca="1" ref="A53" ca="1">INDEX(Sheet1!$A$2:$A$46, RANDBETWEEN(1,ROWS(Sheet1!$A$2:$A$46)))</f>
        <v>B013</v>
      </c>
      <c r="B53" s="2" t="s">
        <v>64</v>
      </c>
      <c r="C53" t="str">
        <f>_xlfn.XLOOKUP(B53, Sheet1!A:A, Sheet1!B:B)</f>
        <v>marble bread</v>
      </c>
      <c r="D53">
        <f>_xlfn.XLOOKUP(B53,Sheet1!A:A,Sheet1!C:C)</f>
        <v>8</v>
      </c>
      <c r="E53">
        <f>_xlfn.XLOOKUP(B53,Sheet1!A:A,Sheet1!D:D)</f>
        <v>3.5</v>
      </c>
      <c r="F53">
        <f>_xlfn.XLOOKUP(Sheet3!B53,Sheet1!A:A,Sheet1!E:E)</f>
        <v>3</v>
      </c>
      <c r="G53">
        <f>_xlfn.XLOOKUP(B53,Sheet1!A:A,Sheet1!F:F)</f>
        <v>8</v>
      </c>
      <c r="H53" t="str" cm="1">
        <f t="array" aca="1" ref="H53" ca="1">INDEX(Sheet1!$G$2:$G$3, RANDBETWEEN(1, ROWS(Sheet1!$G$2:$G$3)))</f>
        <v>No</v>
      </c>
    </row>
    <row r="54" spans="1:8" x14ac:dyDescent="0.3">
      <c r="A54" s="2" t="str" cm="1">
        <f t="array" aca="1" ref="A54" ca="1">INDEX(Sheet1!$A$2:$A$46, RANDBETWEEN(1,ROWS(Sheet1!$A$2:$A$46)))</f>
        <v>B027</v>
      </c>
      <c r="B54" s="2" t="s">
        <v>61</v>
      </c>
      <c r="C54" t="str">
        <f>_xlfn.XLOOKUP(B54, Sheet1!A:A, Sheet1!B:B)</f>
        <v>marble sliced loaf cake</v>
      </c>
      <c r="D54">
        <f>_xlfn.XLOOKUP(B54,Sheet1!A:A,Sheet1!C:C)</f>
        <v>10</v>
      </c>
      <c r="E54">
        <f>_xlfn.XLOOKUP(B54,Sheet1!A:A,Sheet1!D:D)</f>
        <v>4</v>
      </c>
      <c r="F54">
        <f>_xlfn.XLOOKUP(Sheet3!B54,Sheet1!A:A,Sheet1!E:E)</f>
        <v>3.5</v>
      </c>
      <c r="G54">
        <f>_xlfn.XLOOKUP(B54,Sheet1!A:A,Sheet1!F:F)</f>
        <v>10</v>
      </c>
      <c r="H54" t="str" cm="1">
        <f t="array" aca="1" ref="H54" ca="1">INDEX(Sheet1!$G$2:$G$3, RANDBETWEEN(1, ROWS(Sheet1!$G$2:$G$3)))</f>
        <v>No</v>
      </c>
    </row>
    <row r="55" spans="1:8" x14ac:dyDescent="0.3">
      <c r="A55" s="2" t="str" cm="1">
        <f t="array" aca="1" ref="A55" ca="1">INDEX(Sheet1!$A$2:$A$46, RANDBETWEEN(1,ROWS(Sheet1!$A$2:$A$46)))</f>
        <v>B031</v>
      </c>
      <c r="B55" s="2" t="s">
        <v>66</v>
      </c>
      <c r="C55" t="str">
        <f>_xlfn.XLOOKUP(B55, Sheet1!A:A, Sheet1!B:B)</f>
        <v>pumpernickel bread</v>
      </c>
      <c r="D55">
        <f>_xlfn.XLOOKUP(B55,Sheet1!A:A,Sheet1!C:C)</f>
        <v>8</v>
      </c>
      <c r="E55">
        <f>_xlfn.XLOOKUP(B55,Sheet1!A:A,Sheet1!D:D)</f>
        <v>3.5</v>
      </c>
      <c r="F55">
        <f>_xlfn.XLOOKUP(Sheet3!B55,Sheet1!A:A,Sheet1!E:E)</f>
        <v>3</v>
      </c>
      <c r="G55">
        <f>_xlfn.XLOOKUP(B55,Sheet1!A:A,Sheet1!F:F)</f>
        <v>8</v>
      </c>
      <c r="H55" cm="1">
        <f t="array" aca="1" ref="H55" ca="1">INDEX(Sheet1!$G$2:$G$3, RANDBETWEEN(1, ROWS(Sheet1!$G$2:$G$3)))</f>
        <v>0</v>
      </c>
    </row>
    <row r="56" spans="1:8" x14ac:dyDescent="0.3">
      <c r="A56" s="2" t="str" cm="1">
        <f t="array" aca="1" ref="A56" ca="1">INDEX(Sheet1!$A$2:$A$46, RANDBETWEEN(1,ROWS(Sheet1!$A$2:$A$46)))</f>
        <v>B015</v>
      </c>
      <c r="B56" s="2" t="s">
        <v>40</v>
      </c>
      <c r="C56" t="str">
        <f>_xlfn.XLOOKUP(B56, Sheet1!A:A, Sheet1!B:B)</f>
        <v>frosted pink cookies</v>
      </c>
      <c r="D56">
        <f>_xlfn.XLOOKUP(B56,Sheet1!A:A,Sheet1!C:C)</f>
        <v>15</v>
      </c>
      <c r="E56">
        <f>_xlfn.XLOOKUP(B56,Sheet1!A:A,Sheet1!D:D)</f>
        <v>3</v>
      </c>
      <c r="F56">
        <f>_xlfn.XLOOKUP(Sheet3!B56,Sheet1!A:A,Sheet1!E:E)</f>
        <v>2.5</v>
      </c>
      <c r="G56">
        <f>_xlfn.XLOOKUP(B56,Sheet1!A:A,Sheet1!F:F)</f>
        <v>14</v>
      </c>
      <c r="H56" cm="1">
        <f t="array" aca="1" ref="H56" ca="1">INDEX(Sheet1!$G$2:$G$3, RANDBETWEEN(1, ROWS(Sheet1!$G$2:$G$3)))</f>
        <v>0</v>
      </c>
    </row>
    <row r="57" spans="1:8" x14ac:dyDescent="0.3">
      <c r="A57" s="2" t="str" cm="1">
        <f t="array" aca="1" ref="A57" ca="1">INDEX(Sheet1!$A$2:$A$46, RANDBETWEEN(1,ROWS(Sheet1!$A$2:$A$46)))</f>
        <v>B030</v>
      </c>
      <c r="B57" s="2" t="s">
        <v>23</v>
      </c>
      <c r="C57" t="str">
        <f>_xlfn.XLOOKUP(B57, Sheet1!A:A, Sheet1!B:B)</f>
        <v>cheese cake</v>
      </c>
      <c r="D57">
        <f>_xlfn.XLOOKUP(B57,Sheet1!A:A,Sheet1!C:C)</f>
        <v>9</v>
      </c>
      <c r="E57">
        <f>_xlfn.XLOOKUP(B57,Sheet1!A:A,Sheet1!D:D)</f>
        <v>6.5</v>
      </c>
      <c r="F57">
        <f>_xlfn.XLOOKUP(Sheet3!B57,Sheet1!A:A,Sheet1!E:E)</f>
        <v>5.5</v>
      </c>
      <c r="G57">
        <f>_xlfn.XLOOKUP(B57,Sheet1!A:A,Sheet1!F:F)</f>
        <v>9</v>
      </c>
      <c r="H57" t="str" cm="1">
        <f t="array" aca="1" ref="H57" ca="1">INDEX(Sheet1!$G$2:$G$3, RANDBETWEEN(1, ROWS(Sheet1!$G$2:$G$3)))</f>
        <v>No</v>
      </c>
    </row>
    <row r="58" spans="1:8" x14ac:dyDescent="0.3">
      <c r="A58" s="2" t="str" cm="1">
        <f t="array" aca="1" ref="A58" ca="1">INDEX(Sheet1!$A$2:$A$46, RANDBETWEEN(1,ROWS(Sheet1!$A$2:$A$46)))</f>
        <v>B036</v>
      </c>
      <c r="B58" s="2" t="s">
        <v>68</v>
      </c>
      <c r="C58" t="str">
        <f>_xlfn.XLOOKUP(B58, Sheet1!A:A, Sheet1!B:B)</f>
        <v>oreja cookies</v>
      </c>
      <c r="D58">
        <f>_xlfn.XLOOKUP(B58,Sheet1!A:A,Sheet1!C:C)</f>
        <v>15</v>
      </c>
      <c r="E58">
        <f>_xlfn.XLOOKUP(B58,Sheet1!A:A,Sheet1!D:D)</f>
        <v>4</v>
      </c>
      <c r="F58">
        <f>_xlfn.XLOOKUP(Sheet3!B58,Sheet1!A:A,Sheet1!E:E)</f>
        <v>3</v>
      </c>
      <c r="G58">
        <f>_xlfn.XLOOKUP(B58,Sheet1!A:A,Sheet1!F:F)</f>
        <v>14</v>
      </c>
      <c r="H58" t="str" cm="1">
        <f t="array" aca="1" ref="H58" ca="1">INDEX(Sheet1!$G$2:$G$3, RANDBETWEEN(1, ROWS(Sheet1!$G$2:$G$3)))</f>
        <v>No</v>
      </c>
    </row>
    <row r="59" spans="1:8" x14ac:dyDescent="0.3">
      <c r="A59" s="2" t="str" cm="1">
        <f t="array" aca="1" ref="A59" ca="1">INDEX(Sheet1!$A$2:$A$46, RANDBETWEEN(1,ROWS(Sheet1!$A$2:$A$46)))</f>
        <v>B042</v>
      </c>
      <c r="B59" s="2" t="s">
        <v>20</v>
      </c>
      <c r="C59" t="str">
        <f>_xlfn.XLOOKUP(B59, Sheet1!A:A, Sheet1!B:B)</f>
        <v>banana nut muffins</v>
      </c>
      <c r="D59">
        <f>_xlfn.XLOOKUP(B59,Sheet1!A:A,Sheet1!C:C)</f>
        <v>10</v>
      </c>
      <c r="E59">
        <f>_xlfn.XLOOKUP(B59,Sheet1!A:A,Sheet1!D:D)</f>
        <v>4.5</v>
      </c>
      <c r="F59">
        <f>_xlfn.XLOOKUP(Sheet3!B59,Sheet1!A:A,Sheet1!E:E)</f>
        <v>4</v>
      </c>
      <c r="G59">
        <f>_xlfn.XLOOKUP(B59,Sheet1!A:A,Sheet1!F:F)</f>
        <v>10</v>
      </c>
      <c r="H59" t="str" cm="1">
        <f t="array" aca="1" ref="H59" ca="1">INDEX(Sheet1!$G$2:$G$3, RANDBETWEEN(1, ROWS(Sheet1!$G$2:$G$3)))</f>
        <v>No</v>
      </c>
    </row>
    <row r="60" spans="1:8" x14ac:dyDescent="0.3">
      <c r="A60" s="2" t="str" cm="1">
        <f t="array" aca="1" ref="A60" ca="1">INDEX(Sheet1!$A$2:$A$46, RANDBETWEEN(1,ROWS(Sheet1!$A$2:$A$46)))</f>
        <v>B030</v>
      </c>
      <c r="B60" s="2" t="s">
        <v>81</v>
      </c>
      <c r="C60" t="str">
        <f>_xlfn.XLOOKUP(B60, Sheet1!A:A, Sheet1!B:B)</f>
        <v>red velvet square cake</v>
      </c>
      <c r="D60">
        <f>_xlfn.XLOOKUP(B60,Sheet1!A:A,Sheet1!C:C)</f>
        <v>8</v>
      </c>
      <c r="E60">
        <f>_xlfn.XLOOKUP(B60,Sheet1!A:A,Sheet1!D:D)</f>
        <v>2.5</v>
      </c>
      <c r="F60">
        <f>_xlfn.XLOOKUP(Sheet3!B60,Sheet1!A:A,Sheet1!E:E)</f>
        <v>2</v>
      </c>
      <c r="G60">
        <f>_xlfn.XLOOKUP(B60,Sheet1!A:A,Sheet1!F:F)</f>
        <v>5</v>
      </c>
      <c r="H60" t="str" cm="1">
        <f t="array" aca="1" ref="H60" ca="1">INDEX(Sheet1!$G$2:$G$3, RANDBETWEEN(1, ROWS(Sheet1!$G$2:$G$3)))</f>
        <v>No</v>
      </c>
    </row>
    <row r="61" spans="1:8" x14ac:dyDescent="0.3">
      <c r="A61" s="2" t="str" cm="1">
        <f t="array" aca="1" ref="A61" ca="1">INDEX(Sheet1!$A$2:$A$46, RANDBETWEEN(1,ROWS(Sheet1!$A$2:$A$46)))</f>
        <v>B044</v>
      </c>
      <c r="B61" s="2" t="s">
        <v>23</v>
      </c>
      <c r="C61" t="str">
        <f>_xlfn.XLOOKUP(B61, Sheet1!A:A, Sheet1!B:B)</f>
        <v>cheese cake</v>
      </c>
      <c r="D61">
        <f>_xlfn.XLOOKUP(B61,Sheet1!A:A,Sheet1!C:C)</f>
        <v>9</v>
      </c>
      <c r="E61">
        <f>_xlfn.XLOOKUP(B61,Sheet1!A:A,Sheet1!D:D)</f>
        <v>6.5</v>
      </c>
      <c r="F61">
        <f>_xlfn.XLOOKUP(Sheet3!B61,Sheet1!A:A,Sheet1!E:E)</f>
        <v>5.5</v>
      </c>
      <c r="G61">
        <f>_xlfn.XLOOKUP(B61,Sheet1!A:A,Sheet1!F:F)</f>
        <v>9</v>
      </c>
      <c r="H61" t="str" cm="1">
        <f t="array" aca="1" ref="H61" ca="1">INDEX(Sheet1!$G$2:$G$3, RANDBETWEEN(1, ROWS(Sheet1!$G$2:$G$3)))</f>
        <v>No</v>
      </c>
    </row>
    <row r="62" spans="1:8" x14ac:dyDescent="0.3">
      <c r="A62" s="2" t="str" cm="1">
        <f t="array" aca="1" ref="A62" ca="1">INDEX(Sheet1!$A$2:$A$46, RANDBETWEEN(1,ROWS(Sheet1!$A$2:$A$46)))</f>
        <v>B023</v>
      </c>
      <c r="B62" s="2" t="s">
        <v>90</v>
      </c>
      <c r="C62" t="str">
        <f>_xlfn.XLOOKUP(B62, Sheet1!A:A, Sheet1!B:B)</f>
        <v>mini brownies</v>
      </c>
      <c r="D62">
        <f>_xlfn.XLOOKUP(B62,Sheet1!A:A,Sheet1!C:C)</f>
        <v>12</v>
      </c>
      <c r="E62">
        <f>_xlfn.XLOOKUP(B62,Sheet1!A:A,Sheet1!D:D)</f>
        <v>4.5</v>
      </c>
      <c r="F62">
        <f>_xlfn.XLOOKUP(Sheet3!B62,Sheet1!A:A,Sheet1!E:E)</f>
        <v>4</v>
      </c>
      <c r="G62">
        <f>_xlfn.XLOOKUP(B62,Sheet1!A:A,Sheet1!F:F)</f>
        <v>14</v>
      </c>
      <c r="H62" t="str" cm="1">
        <f t="array" aca="1" ref="H62" ca="1">INDEX(Sheet1!$G$2:$G$3, RANDBETWEEN(1, ROWS(Sheet1!$G$2:$G$3)))</f>
        <v>No</v>
      </c>
    </row>
    <row r="63" spans="1:8" x14ac:dyDescent="0.3">
      <c r="A63" s="2" t="str" cm="1">
        <f t="array" aca="1" ref="A63" ca="1">INDEX(Sheet1!$A$2:$A$46, RANDBETWEEN(1,ROWS(Sheet1!$A$2:$A$46)))</f>
        <v>B036</v>
      </c>
      <c r="B63" s="2" t="s">
        <v>66</v>
      </c>
      <c r="C63" t="str">
        <f>_xlfn.XLOOKUP(B63, Sheet1!A:A, Sheet1!B:B)</f>
        <v>pumpernickel bread</v>
      </c>
      <c r="D63">
        <f>_xlfn.XLOOKUP(B63,Sheet1!A:A,Sheet1!C:C)</f>
        <v>8</v>
      </c>
      <c r="E63">
        <f>_xlfn.XLOOKUP(B63,Sheet1!A:A,Sheet1!D:D)</f>
        <v>3.5</v>
      </c>
      <c r="F63">
        <f>_xlfn.XLOOKUP(Sheet3!B63,Sheet1!A:A,Sheet1!E:E)</f>
        <v>3</v>
      </c>
      <c r="G63">
        <f>_xlfn.XLOOKUP(B63,Sheet1!A:A,Sheet1!F:F)</f>
        <v>8</v>
      </c>
      <c r="H63" cm="1">
        <f t="array" aca="1" ref="H63" ca="1">INDEX(Sheet1!$G$2:$G$3, RANDBETWEEN(1, ROWS(Sheet1!$G$2:$G$3)))</f>
        <v>0</v>
      </c>
    </row>
    <row r="64" spans="1:8" x14ac:dyDescent="0.3">
      <c r="A64" s="2" t="str" cm="1">
        <f t="array" aca="1" ref="A64" ca="1">INDEX(Sheet1!$A$2:$A$46, RANDBETWEEN(1,ROWS(Sheet1!$A$2:$A$46)))</f>
        <v>B041</v>
      </c>
      <c r="B64" s="2" t="s">
        <v>79</v>
      </c>
      <c r="C64" t="str">
        <f>_xlfn.XLOOKUP(B64, Sheet1!A:A, Sheet1!B:B)</f>
        <v>chocolate square cake</v>
      </c>
      <c r="D64">
        <f>_xlfn.XLOOKUP(B64,Sheet1!A:A,Sheet1!C:C)</f>
        <v>8</v>
      </c>
      <c r="E64">
        <f>_xlfn.XLOOKUP(B64,Sheet1!A:A,Sheet1!D:D)</f>
        <v>2.5</v>
      </c>
      <c r="F64">
        <f>_xlfn.XLOOKUP(Sheet3!B64,Sheet1!A:A,Sheet1!E:E)</f>
        <v>2</v>
      </c>
      <c r="G64">
        <f>_xlfn.XLOOKUP(B64,Sheet1!A:A,Sheet1!F:F)</f>
        <v>5</v>
      </c>
      <c r="H64" cm="1">
        <f t="array" aca="1" ref="H64" ca="1">INDEX(Sheet1!$G$2:$G$3, RANDBETWEEN(1, ROWS(Sheet1!$G$2:$G$3)))</f>
        <v>0</v>
      </c>
    </row>
    <row r="65" spans="1:8" x14ac:dyDescent="0.3">
      <c r="A65" s="2" t="str" cm="1">
        <f t="array" aca="1" ref="A65" ca="1">INDEX(Sheet1!$A$2:$A$46, RANDBETWEEN(1,ROWS(Sheet1!$A$2:$A$46)))</f>
        <v>B040</v>
      </c>
      <c r="B65" s="2" t="s">
        <v>59</v>
      </c>
      <c r="C65" t="str">
        <f>_xlfn.XLOOKUP(B65, Sheet1!A:A, Sheet1!B:B)</f>
        <v>iced lemon sliced loaf cake</v>
      </c>
      <c r="D65">
        <f>_xlfn.XLOOKUP(B65,Sheet1!A:A,Sheet1!C:C)</f>
        <v>10</v>
      </c>
      <c r="E65">
        <f>_xlfn.XLOOKUP(B65,Sheet1!A:A,Sheet1!D:D)</f>
        <v>4</v>
      </c>
      <c r="F65">
        <f>_xlfn.XLOOKUP(Sheet3!B65,Sheet1!A:A,Sheet1!E:E)</f>
        <v>3.5</v>
      </c>
      <c r="G65">
        <f>_xlfn.XLOOKUP(B65,Sheet1!A:A,Sheet1!F:F)</f>
        <v>10</v>
      </c>
      <c r="H65" cm="1">
        <f t="array" aca="1" ref="H65" ca="1">INDEX(Sheet1!$G$2:$G$3, RANDBETWEEN(1, ROWS(Sheet1!$G$2:$G$3)))</f>
        <v>0</v>
      </c>
    </row>
    <row r="66" spans="1:8" x14ac:dyDescent="0.3">
      <c r="A66" s="2" t="str" cm="1">
        <f t="array" aca="1" ref="A66" ca="1">INDEX(Sheet1!$A$2:$A$46, RANDBETWEEN(1,ROWS(Sheet1!$A$2:$A$46)))</f>
        <v>B008</v>
      </c>
      <c r="B66" s="2" t="s">
        <v>71</v>
      </c>
      <c r="C66" t="str">
        <f>_xlfn.XLOOKUP(B66, Sheet1!A:A, Sheet1!B:B)</f>
        <v>blueberry pie</v>
      </c>
      <c r="D66">
        <f>_xlfn.XLOOKUP(B66,Sheet1!A:A,Sheet1!C:C)</f>
        <v>6</v>
      </c>
      <c r="E66">
        <f>_xlfn.XLOOKUP(B66,Sheet1!A:A,Sheet1!D:D)</f>
        <v>4</v>
      </c>
      <c r="F66">
        <f>_xlfn.XLOOKUP(Sheet3!B66,Sheet1!A:A,Sheet1!E:E)</f>
        <v>3</v>
      </c>
      <c r="G66">
        <f>_xlfn.XLOOKUP(B66,Sheet1!A:A,Sheet1!F:F)</f>
        <v>7</v>
      </c>
      <c r="H66" cm="1">
        <f t="array" aca="1" ref="H66" ca="1">INDEX(Sheet1!$G$2:$G$3, RANDBETWEEN(1, ROWS(Sheet1!$G$2:$G$3)))</f>
        <v>0</v>
      </c>
    </row>
    <row r="67" spans="1:8" x14ac:dyDescent="0.3">
      <c r="A67" s="2" t="str" cm="1">
        <f t="array" aca="1" ref="A67" ca="1">INDEX(Sheet1!$A$2:$A$46, RANDBETWEEN(1,ROWS(Sheet1!$A$2:$A$46)))</f>
        <v>B020</v>
      </c>
      <c r="B67" s="2" t="s">
        <v>89</v>
      </c>
      <c r="C67" t="str">
        <f>_xlfn.XLOOKUP(B67, Sheet1!A:A, Sheet1!B:B)</f>
        <v>blueberry bagels</v>
      </c>
      <c r="D67">
        <f>_xlfn.XLOOKUP(B67,Sheet1!A:A,Sheet1!C:C)</f>
        <v>8</v>
      </c>
      <c r="E67">
        <f>_xlfn.XLOOKUP(B67,Sheet1!A:A,Sheet1!D:D)</f>
        <v>3.5</v>
      </c>
      <c r="F67">
        <f>_xlfn.XLOOKUP(Sheet3!B67,Sheet1!A:A,Sheet1!E:E)</f>
        <v>3</v>
      </c>
      <c r="G67">
        <f>_xlfn.XLOOKUP(B67,Sheet1!A:A,Sheet1!F:F)</f>
        <v>8</v>
      </c>
      <c r="H67" cm="1">
        <f t="array" aca="1" ref="H67" ca="1">INDEX(Sheet1!$G$2:$G$3, RANDBETWEEN(1, ROWS(Sheet1!$G$2:$G$3)))</f>
        <v>0</v>
      </c>
    </row>
    <row r="68" spans="1:8" x14ac:dyDescent="0.3">
      <c r="A68" s="2" t="str" cm="1">
        <f t="array" aca="1" ref="A68" ca="1">INDEX(Sheet1!$A$2:$A$46, RANDBETWEEN(1,ROWS(Sheet1!$A$2:$A$46)))</f>
        <v>B023</v>
      </c>
      <c r="B68" s="2" t="s">
        <v>37</v>
      </c>
      <c r="C68" t="str">
        <f>_xlfn.XLOOKUP(B68, Sheet1!A:A, Sheet1!B:B)</f>
        <v>sugar cookies</v>
      </c>
      <c r="D68">
        <f>_xlfn.XLOOKUP(B68,Sheet1!A:A,Sheet1!C:C)</f>
        <v>12</v>
      </c>
      <c r="E68">
        <f>_xlfn.XLOOKUP(B68,Sheet1!A:A,Sheet1!D:D)</f>
        <v>3.5</v>
      </c>
      <c r="F68">
        <f>_xlfn.XLOOKUP(Sheet3!B68,Sheet1!A:A,Sheet1!E:E)</f>
        <v>3</v>
      </c>
      <c r="G68">
        <f>_xlfn.XLOOKUP(B68,Sheet1!A:A,Sheet1!F:F)</f>
        <v>14</v>
      </c>
      <c r="H68" t="str" cm="1">
        <f t="array" aca="1" ref="H68" ca="1">INDEX(Sheet1!$G$2:$G$3, RANDBETWEEN(1, ROWS(Sheet1!$G$2:$G$3)))</f>
        <v>No</v>
      </c>
    </row>
    <row r="69" spans="1:8" x14ac:dyDescent="0.3">
      <c r="A69" s="2" t="str" cm="1">
        <f t="array" aca="1" ref="A69" ca="1">INDEX(Sheet1!$A$2:$A$46, RANDBETWEEN(1,ROWS(Sheet1!$A$2:$A$46)))</f>
        <v>B027</v>
      </c>
      <c r="B69" s="2" t="s">
        <v>83</v>
      </c>
      <c r="C69" t="str">
        <f>_xlfn.XLOOKUP(B69, Sheet1!A:A, Sheet1!B:B)</f>
        <v>pumpkin spice muffins</v>
      </c>
      <c r="D69">
        <f>_xlfn.XLOOKUP(B69,Sheet1!A:A,Sheet1!C:C)</f>
        <v>10</v>
      </c>
      <c r="E69">
        <f>_xlfn.XLOOKUP(B69,Sheet1!A:A,Sheet1!D:D)</f>
        <v>4.5</v>
      </c>
      <c r="F69">
        <f>_xlfn.XLOOKUP(Sheet3!B69,Sheet1!A:A,Sheet1!E:E)</f>
        <v>4</v>
      </c>
      <c r="G69">
        <f>_xlfn.XLOOKUP(B69,Sheet1!A:A,Sheet1!F:F)</f>
        <v>10</v>
      </c>
      <c r="H69" cm="1">
        <f t="array" aca="1" ref="H69" ca="1">INDEX(Sheet1!$G$2:$G$3, RANDBETWEEN(1, ROWS(Sheet1!$G$2:$G$3)))</f>
        <v>0</v>
      </c>
    </row>
    <row r="70" spans="1:8" x14ac:dyDescent="0.3">
      <c r="A70" s="2" t="str" cm="1">
        <f t="array" aca="1" ref="A70" ca="1">INDEX(Sheet1!$A$2:$A$46, RANDBETWEEN(1,ROWS(Sheet1!$A$2:$A$46)))</f>
        <v>B037</v>
      </c>
      <c r="B70" s="2" t="s">
        <v>41</v>
      </c>
      <c r="C70" t="str">
        <f>_xlfn.XLOOKUP(B70, Sheet1!A:A, Sheet1!B:B)</f>
        <v>frosted blue cookies</v>
      </c>
      <c r="D70">
        <f>_xlfn.XLOOKUP(B70,Sheet1!A:A,Sheet1!C:C)</f>
        <v>15</v>
      </c>
      <c r="E70">
        <f>_xlfn.XLOOKUP(B70,Sheet1!A:A,Sheet1!D:D)</f>
        <v>3</v>
      </c>
      <c r="F70">
        <f>_xlfn.XLOOKUP(Sheet3!B70,Sheet1!A:A,Sheet1!E:E)</f>
        <v>2.5</v>
      </c>
      <c r="G70">
        <f>_xlfn.XLOOKUP(B70,Sheet1!A:A,Sheet1!F:F)</f>
        <v>14</v>
      </c>
      <c r="H70" t="str" cm="1">
        <f t="array" aca="1" ref="H70" ca="1">INDEX(Sheet1!$G$2:$G$3, RANDBETWEEN(1, ROWS(Sheet1!$G$2:$G$3)))</f>
        <v>No</v>
      </c>
    </row>
    <row r="71" spans="1:8" x14ac:dyDescent="0.3">
      <c r="A71" s="2" t="str" cm="1">
        <f t="array" aca="1" ref="A71" ca="1">INDEX(Sheet1!$A$2:$A$46, RANDBETWEEN(1,ROWS(Sheet1!$A$2:$A$46)))</f>
        <v>B023</v>
      </c>
      <c r="B71" s="2" t="s">
        <v>57</v>
      </c>
      <c r="C71" t="str">
        <f>_xlfn.XLOOKUP(B71, Sheet1!A:A, Sheet1!B:B)</f>
        <v>vanilla cupcakes</v>
      </c>
      <c r="D71">
        <f>_xlfn.XLOOKUP(B71,Sheet1!A:A,Sheet1!C:C)</f>
        <v>8</v>
      </c>
      <c r="E71">
        <f>_xlfn.XLOOKUP(B71,Sheet1!A:A,Sheet1!D:D)</f>
        <v>6</v>
      </c>
      <c r="F71">
        <f>_xlfn.XLOOKUP(Sheet3!B71,Sheet1!A:A,Sheet1!E:E)</f>
        <v>5.5</v>
      </c>
      <c r="G71">
        <f>_xlfn.XLOOKUP(B71,Sheet1!A:A,Sheet1!F:F)</f>
        <v>20</v>
      </c>
      <c r="H71" cm="1">
        <f t="array" aca="1" ref="H71" ca="1">INDEX(Sheet1!$G$2:$G$3, RANDBETWEEN(1, ROWS(Sheet1!$G$2:$G$3)))</f>
        <v>0</v>
      </c>
    </row>
    <row r="72" spans="1:8" x14ac:dyDescent="0.3">
      <c r="A72" s="2" t="str" cm="1">
        <f t="array" aca="1" ref="A72" ca="1">INDEX(Sheet1!$A$2:$A$46, RANDBETWEEN(1,ROWS(Sheet1!$A$2:$A$46)))</f>
        <v>B006</v>
      </c>
      <c r="B72" s="2" t="s">
        <v>70</v>
      </c>
      <c r="C72" t="str">
        <f>_xlfn.XLOOKUP(B72, Sheet1!A:A, Sheet1!B:B)</f>
        <v>pumpkin pie</v>
      </c>
      <c r="D72">
        <f>_xlfn.XLOOKUP(B72,Sheet1!A:A,Sheet1!C:C)</f>
        <v>6</v>
      </c>
      <c r="E72">
        <f>_xlfn.XLOOKUP(B72,Sheet1!A:A,Sheet1!D:D)</f>
        <v>4</v>
      </c>
      <c r="F72">
        <f>_xlfn.XLOOKUP(Sheet3!B72,Sheet1!A:A,Sheet1!E:E)</f>
        <v>3</v>
      </c>
      <c r="G72">
        <f>_xlfn.XLOOKUP(B72,Sheet1!A:A,Sheet1!F:F)</f>
        <v>7</v>
      </c>
      <c r="H72" cm="1">
        <f t="array" aca="1" ref="H72" ca="1">INDEX(Sheet1!$G$2:$G$3, RANDBETWEEN(1, ROWS(Sheet1!$G$2:$G$3)))</f>
        <v>0</v>
      </c>
    </row>
    <row r="73" spans="1:8" x14ac:dyDescent="0.3">
      <c r="A73" s="2" t="str" cm="1">
        <f t="array" aca="1" ref="A73" ca="1">INDEX(Sheet1!$A$2:$A$46, RANDBETWEEN(1,ROWS(Sheet1!$A$2:$A$46)))</f>
        <v>B013</v>
      </c>
      <c r="B73" s="2" t="s">
        <v>63</v>
      </c>
      <c r="C73" t="str">
        <f>_xlfn.XLOOKUP(B73, Sheet1!A:A, Sheet1!B:B)</f>
        <v>chocolate sliced loaf cake</v>
      </c>
      <c r="D73">
        <f>_xlfn.XLOOKUP(B73,Sheet1!A:A,Sheet1!C:C)</f>
        <v>10</v>
      </c>
      <c r="E73">
        <f>_xlfn.XLOOKUP(B73,Sheet1!A:A,Sheet1!D:D)</f>
        <v>4</v>
      </c>
      <c r="F73">
        <f>_xlfn.XLOOKUP(Sheet3!B73,Sheet1!A:A,Sheet1!E:E)</f>
        <v>3.5</v>
      </c>
      <c r="G73">
        <f>_xlfn.XLOOKUP(B73,Sheet1!A:A,Sheet1!F:F)</f>
        <v>10</v>
      </c>
      <c r="H73" cm="1">
        <f t="array" aca="1" ref="H73" ca="1">INDEX(Sheet1!$G$2:$G$3, RANDBETWEEN(1, ROWS(Sheet1!$G$2:$G$3)))</f>
        <v>0</v>
      </c>
    </row>
    <row r="74" spans="1:8" x14ac:dyDescent="0.3">
      <c r="A74" s="2" t="str" cm="1">
        <f t="array" aca="1" ref="A74" ca="1">INDEX(Sheet1!$A$2:$A$46, RANDBETWEEN(1,ROWS(Sheet1!$A$2:$A$46)))</f>
        <v>B034</v>
      </c>
      <c r="B74" s="2" t="s">
        <v>59</v>
      </c>
      <c r="C74" t="str">
        <f>_xlfn.XLOOKUP(B74, Sheet1!A:A, Sheet1!B:B)</f>
        <v>iced lemon sliced loaf cake</v>
      </c>
      <c r="D74">
        <f>_xlfn.XLOOKUP(B74,Sheet1!A:A,Sheet1!C:C)</f>
        <v>10</v>
      </c>
      <c r="E74">
        <f>_xlfn.XLOOKUP(B74,Sheet1!A:A,Sheet1!D:D)</f>
        <v>4</v>
      </c>
      <c r="F74">
        <f>_xlfn.XLOOKUP(Sheet3!B74,Sheet1!A:A,Sheet1!E:E)</f>
        <v>3.5</v>
      </c>
      <c r="G74">
        <f>_xlfn.XLOOKUP(B74,Sheet1!A:A,Sheet1!F:F)</f>
        <v>10</v>
      </c>
      <c r="H74" cm="1">
        <f t="array" aca="1" ref="H74" ca="1">INDEX(Sheet1!$G$2:$G$3, RANDBETWEEN(1, ROWS(Sheet1!$G$2:$G$3)))</f>
        <v>0</v>
      </c>
    </row>
    <row r="75" spans="1:8" x14ac:dyDescent="0.3">
      <c r="A75" s="2" t="str" cm="1">
        <f t="array" aca="1" ref="A75" ca="1">INDEX(Sheet1!$A$2:$A$46, RANDBETWEEN(1,ROWS(Sheet1!$A$2:$A$46)))</f>
        <v>B021</v>
      </c>
      <c r="B75" s="2" t="s">
        <v>41</v>
      </c>
      <c r="C75" t="str">
        <f>_xlfn.XLOOKUP(B75, Sheet1!A:A, Sheet1!B:B)</f>
        <v>frosted blue cookies</v>
      </c>
      <c r="D75">
        <f>_xlfn.XLOOKUP(B75,Sheet1!A:A,Sheet1!C:C)</f>
        <v>15</v>
      </c>
      <c r="E75">
        <f>_xlfn.XLOOKUP(B75,Sheet1!A:A,Sheet1!D:D)</f>
        <v>3</v>
      </c>
      <c r="F75">
        <f>_xlfn.XLOOKUP(Sheet3!B75,Sheet1!A:A,Sheet1!E:E)</f>
        <v>2.5</v>
      </c>
      <c r="G75">
        <f>_xlfn.XLOOKUP(B75,Sheet1!A:A,Sheet1!F:F)</f>
        <v>14</v>
      </c>
      <c r="H75" t="str" cm="1">
        <f t="array" aca="1" ref="H75" ca="1">INDEX(Sheet1!$G$2:$G$3, RANDBETWEEN(1, ROWS(Sheet1!$G$2:$G$3)))</f>
        <v>No</v>
      </c>
    </row>
    <row r="76" spans="1:8" x14ac:dyDescent="0.3">
      <c r="A76" s="2" t="str" cm="1">
        <f t="array" aca="1" ref="A76" ca="1">INDEX(Sheet1!$A$2:$A$46, RANDBETWEEN(1,ROWS(Sheet1!$A$2:$A$46)))</f>
        <v>B033</v>
      </c>
      <c r="B76" s="2" t="s">
        <v>68</v>
      </c>
      <c r="C76" t="str">
        <f>_xlfn.XLOOKUP(B76, Sheet1!A:A, Sheet1!B:B)</f>
        <v>oreja cookies</v>
      </c>
      <c r="D76">
        <f>_xlfn.XLOOKUP(B76,Sheet1!A:A,Sheet1!C:C)</f>
        <v>15</v>
      </c>
      <c r="E76">
        <f>_xlfn.XLOOKUP(B76,Sheet1!A:A,Sheet1!D:D)</f>
        <v>4</v>
      </c>
      <c r="F76">
        <f>_xlfn.XLOOKUP(Sheet3!B76,Sheet1!A:A,Sheet1!E:E)</f>
        <v>3</v>
      </c>
      <c r="G76">
        <f>_xlfn.XLOOKUP(B76,Sheet1!A:A,Sheet1!F:F)</f>
        <v>14</v>
      </c>
      <c r="H76" t="str" cm="1">
        <f t="array" aca="1" ref="H76" ca="1">INDEX(Sheet1!$G$2:$G$3, RANDBETWEEN(1, ROWS(Sheet1!$G$2:$G$3)))</f>
        <v>No</v>
      </c>
    </row>
    <row r="77" spans="1:8" x14ac:dyDescent="0.3">
      <c r="A77" s="2" t="str" cm="1">
        <f t="array" aca="1" ref="A77" ca="1">INDEX(Sheet1!$A$2:$A$46, RANDBETWEEN(1,ROWS(Sheet1!$A$2:$A$46)))</f>
        <v>B005</v>
      </c>
      <c r="B77" s="2" t="s">
        <v>89</v>
      </c>
      <c r="C77" t="str">
        <f>_xlfn.XLOOKUP(B77, Sheet1!A:A, Sheet1!B:B)</f>
        <v>blueberry bagels</v>
      </c>
      <c r="D77">
        <f>_xlfn.XLOOKUP(B77,Sheet1!A:A,Sheet1!C:C)</f>
        <v>8</v>
      </c>
      <c r="E77">
        <f>_xlfn.XLOOKUP(B77,Sheet1!A:A,Sheet1!D:D)</f>
        <v>3.5</v>
      </c>
      <c r="F77">
        <f>_xlfn.XLOOKUP(Sheet3!B77,Sheet1!A:A,Sheet1!E:E)</f>
        <v>3</v>
      </c>
      <c r="G77">
        <f>_xlfn.XLOOKUP(B77,Sheet1!A:A,Sheet1!F:F)</f>
        <v>8</v>
      </c>
      <c r="H77" t="str" cm="1">
        <f t="array" aca="1" ref="H77" ca="1">INDEX(Sheet1!$G$2:$G$3, RANDBETWEEN(1, ROWS(Sheet1!$G$2:$G$3)))</f>
        <v>No</v>
      </c>
    </row>
    <row r="78" spans="1:8" x14ac:dyDescent="0.3">
      <c r="A78" s="2" t="str" cm="1">
        <f t="array" aca="1" ref="A78" ca="1">INDEX(Sheet1!$A$2:$A$46, RANDBETWEEN(1,ROWS(Sheet1!$A$2:$A$46)))</f>
        <v>B022</v>
      </c>
      <c r="B78" s="2" t="s">
        <v>10</v>
      </c>
      <c r="C78" t="str">
        <f>_xlfn.XLOOKUP(B78, Sheet1!A:A, Sheet1!B:B)</f>
        <v>croissant</v>
      </c>
      <c r="D78">
        <f>_xlfn.XLOOKUP(B78,Sheet1!A:A,Sheet1!C:C)</f>
        <v>10</v>
      </c>
      <c r="E78">
        <f>_xlfn.XLOOKUP(B78,Sheet1!A:A,Sheet1!D:D)</f>
        <v>5.5</v>
      </c>
      <c r="F78">
        <f>_xlfn.XLOOKUP(Sheet3!B78,Sheet1!A:A,Sheet1!E:E)</f>
        <v>4.5</v>
      </c>
      <c r="G78">
        <f>_xlfn.XLOOKUP(B78,Sheet1!A:A,Sheet1!F:F)</f>
        <v>7</v>
      </c>
      <c r="H78" t="str" cm="1">
        <f t="array" aca="1" ref="H78" ca="1">INDEX(Sheet1!$G$2:$G$3, RANDBETWEEN(1, ROWS(Sheet1!$G$2:$G$3)))</f>
        <v>No</v>
      </c>
    </row>
    <row r="79" spans="1:8" x14ac:dyDescent="0.3">
      <c r="A79" s="2" t="str" cm="1">
        <f t="array" aca="1" ref="A79" ca="1">INDEX(Sheet1!$A$2:$A$46, RANDBETWEEN(1,ROWS(Sheet1!$A$2:$A$46)))</f>
        <v>B039</v>
      </c>
      <c r="B79" s="2" t="s">
        <v>89</v>
      </c>
      <c r="C79" t="str">
        <f>_xlfn.XLOOKUP(B79, Sheet1!A:A, Sheet1!B:B)</f>
        <v>blueberry bagels</v>
      </c>
      <c r="D79">
        <f>_xlfn.XLOOKUP(B79,Sheet1!A:A,Sheet1!C:C)</f>
        <v>8</v>
      </c>
      <c r="E79">
        <f>_xlfn.XLOOKUP(B79,Sheet1!A:A,Sheet1!D:D)</f>
        <v>3.5</v>
      </c>
      <c r="F79">
        <f>_xlfn.XLOOKUP(Sheet3!B79,Sheet1!A:A,Sheet1!E:E)</f>
        <v>3</v>
      </c>
      <c r="G79">
        <f>_xlfn.XLOOKUP(B79,Sheet1!A:A,Sheet1!F:F)</f>
        <v>8</v>
      </c>
      <c r="H79" t="str" cm="1">
        <f t="array" aca="1" ref="H79" ca="1">INDEX(Sheet1!$G$2:$G$3, RANDBETWEEN(1, ROWS(Sheet1!$G$2:$G$3)))</f>
        <v>No</v>
      </c>
    </row>
    <row r="80" spans="1:8" x14ac:dyDescent="0.3">
      <c r="A80" s="2" t="str" cm="1">
        <f t="array" aca="1" ref="A80" ca="1">INDEX(Sheet1!$A$2:$A$46, RANDBETWEEN(1,ROWS(Sheet1!$A$2:$A$46)))</f>
        <v>B001</v>
      </c>
      <c r="B80" s="2" t="s">
        <v>24</v>
      </c>
      <c r="C80" t="str">
        <f>_xlfn.XLOOKUP(B80, Sheet1!A:A, Sheet1!B:B)</f>
        <v>tiramisu</v>
      </c>
      <c r="D80">
        <f>_xlfn.XLOOKUP(B80,Sheet1!A:A,Sheet1!C:C)</f>
        <v>8</v>
      </c>
      <c r="E80">
        <f>_xlfn.XLOOKUP(B80,Sheet1!A:A,Sheet1!D:D)</f>
        <v>7.5</v>
      </c>
      <c r="F80">
        <f>_xlfn.XLOOKUP(Sheet3!B80,Sheet1!A:A,Sheet1!E:E)</f>
        <v>5.5</v>
      </c>
      <c r="G80">
        <f>_xlfn.XLOOKUP(B80,Sheet1!A:A,Sheet1!F:F)</f>
        <v>7</v>
      </c>
      <c r="H80" t="str" cm="1">
        <f t="array" aca="1" ref="H80" ca="1">INDEX(Sheet1!$G$2:$G$3, RANDBETWEEN(1, ROWS(Sheet1!$G$2:$G$3)))</f>
        <v>No</v>
      </c>
    </row>
    <row r="81" spans="1:8" x14ac:dyDescent="0.3">
      <c r="A81" s="2" t="str" cm="1">
        <f t="array" aca="1" ref="A81" ca="1">INDEX(Sheet1!$A$2:$A$46, RANDBETWEEN(1,ROWS(Sheet1!$A$2:$A$46)))</f>
        <v>B020</v>
      </c>
      <c r="B81" s="2" t="s">
        <v>82</v>
      </c>
      <c r="C81" t="str">
        <f>_xlfn.XLOOKUP(B81, Sheet1!A:A, Sheet1!B:B)</f>
        <v>white square cake</v>
      </c>
      <c r="D81">
        <f>_xlfn.XLOOKUP(B81,Sheet1!A:A,Sheet1!C:C)</f>
        <v>8</v>
      </c>
      <c r="E81">
        <f>_xlfn.XLOOKUP(B81,Sheet1!A:A,Sheet1!D:D)</f>
        <v>2.5</v>
      </c>
      <c r="F81">
        <f>_xlfn.XLOOKUP(Sheet3!B81,Sheet1!A:A,Sheet1!E:E)</f>
        <v>2</v>
      </c>
      <c r="G81">
        <f>_xlfn.XLOOKUP(B81,Sheet1!A:A,Sheet1!F:F)</f>
        <v>5</v>
      </c>
      <c r="H81" t="str" cm="1">
        <f t="array" aca="1" ref="H81" ca="1">INDEX(Sheet1!$G$2:$G$3, RANDBETWEEN(1, ROWS(Sheet1!$G$2:$G$3)))</f>
        <v>No</v>
      </c>
    </row>
    <row r="82" spans="1:8" x14ac:dyDescent="0.3">
      <c r="A82" s="2" t="str" cm="1">
        <f t="array" aca="1" ref="A82" ca="1">INDEX(Sheet1!$A$2:$A$46, RANDBETWEEN(1,ROWS(Sheet1!$A$2:$A$46)))</f>
        <v>B037</v>
      </c>
      <c r="B82" s="2" t="s">
        <v>10</v>
      </c>
      <c r="C82" t="str">
        <f>_xlfn.XLOOKUP(B82, Sheet1!A:A, Sheet1!B:B)</f>
        <v>croissant</v>
      </c>
      <c r="D82">
        <f>_xlfn.XLOOKUP(B82,Sheet1!A:A,Sheet1!C:C)</f>
        <v>10</v>
      </c>
      <c r="E82">
        <f>_xlfn.XLOOKUP(B82,Sheet1!A:A,Sheet1!D:D)</f>
        <v>5.5</v>
      </c>
      <c r="F82">
        <f>_xlfn.XLOOKUP(Sheet3!B82,Sheet1!A:A,Sheet1!E:E)</f>
        <v>4.5</v>
      </c>
      <c r="G82">
        <f>_xlfn.XLOOKUP(B82,Sheet1!A:A,Sheet1!F:F)</f>
        <v>7</v>
      </c>
      <c r="H82" cm="1">
        <f t="array" aca="1" ref="H82" ca="1">INDEX(Sheet1!$G$2:$G$3, RANDBETWEEN(1, ROWS(Sheet1!$G$2:$G$3)))</f>
        <v>0</v>
      </c>
    </row>
    <row r="83" spans="1:8" x14ac:dyDescent="0.3">
      <c r="A83" s="2" t="str" cm="1">
        <f t="array" aca="1" ref="A83" ca="1">INDEX(Sheet1!$A$2:$A$46, RANDBETWEEN(1,ROWS(Sheet1!$A$2:$A$46)))</f>
        <v>B016</v>
      </c>
      <c r="B83" s="2" t="s">
        <v>34</v>
      </c>
      <c r="C83" t="str">
        <f>_xlfn.XLOOKUP(B83, Sheet1!A:A, Sheet1!B:B)</f>
        <v>almond croissant</v>
      </c>
      <c r="D83">
        <f>_xlfn.XLOOKUP(B83,Sheet1!A:A,Sheet1!C:C)</f>
        <v>6</v>
      </c>
      <c r="E83">
        <f>_xlfn.XLOOKUP(B83,Sheet1!A:A,Sheet1!D:D)</f>
        <v>3.5</v>
      </c>
      <c r="F83">
        <f>_xlfn.XLOOKUP(Sheet3!B83,Sheet1!A:A,Sheet1!E:E)</f>
        <v>3</v>
      </c>
      <c r="G83">
        <f>_xlfn.XLOOKUP(B83,Sheet1!A:A,Sheet1!F:F)</f>
        <v>10</v>
      </c>
      <c r="H83" cm="1">
        <f t="array" aca="1" ref="H83" ca="1">INDEX(Sheet1!$G$2:$G$3, RANDBETWEEN(1, ROWS(Sheet1!$G$2:$G$3)))</f>
        <v>0</v>
      </c>
    </row>
    <row r="84" spans="1:8" x14ac:dyDescent="0.3">
      <c r="A84" s="2" t="str" cm="1">
        <f t="array" aca="1" ref="A84" ca="1">INDEX(Sheet1!$A$2:$A$46, RANDBETWEEN(1,ROWS(Sheet1!$A$2:$A$46)))</f>
        <v>B026</v>
      </c>
      <c r="B84" s="2" t="s">
        <v>59</v>
      </c>
      <c r="C84" t="str">
        <f>_xlfn.XLOOKUP(B84, Sheet1!A:A, Sheet1!B:B)</f>
        <v>iced lemon sliced loaf cake</v>
      </c>
      <c r="D84">
        <f>_xlfn.XLOOKUP(B84,Sheet1!A:A,Sheet1!C:C)</f>
        <v>10</v>
      </c>
      <c r="E84">
        <f>_xlfn.XLOOKUP(B84,Sheet1!A:A,Sheet1!D:D)</f>
        <v>4</v>
      </c>
      <c r="F84">
        <f>_xlfn.XLOOKUP(Sheet3!B84,Sheet1!A:A,Sheet1!E:E)</f>
        <v>3.5</v>
      </c>
      <c r="G84">
        <f>_xlfn.XLOOKUP(B84,Sheet1!A:A,Sheet1!F:F)</f>
        <v>10</v>
      </c>
      <c r="H84" t="str" cm="1">
        <f t="array" aca="1" ref="H84" ca="1">INDEX(Sheet1!$G$2:$G$3, RANDBETWEEN(1, ROWS(Sheet1!$G$2:$G$3)))</f>
        <v>No</v>
      </c>
    </row>
    <row r="85" spans="1:8" x14ac:dyDescent="0.3">
      <c r="A85" s="2" t="str" cm="1">
        <f t="array" aca="1" ref="A85" ca="1">INDEX(Sheet1!$A$2:$A$46, RANDBETWEEN(1,ROWS(Sheet1!$A$2:$A$46)))</f>
        <v>B002</v>
      </c>
      <c r="B85" s="2" t="s">
        <v>20</v>
      </c>
      <c r="C85" t="str">
        <f>_xlfn.XLOOKUP(B85, Sheet1!A:A, Sheet1!B:B)</f>
        <v>banana nut muffins</v>
      </c>
      <c r="D85">
        <f>_xlfn.XLOOKUP(B85,Sheet1!A:A,Sheet1!C:C)</f>
        <v>10</v>
      </c>
      <c r="E85">
        <f>_xlfn.XLOOKUP(B85,Sheet1!A:A,Sheet1!D:D)</f>
        <v>4.5</v>
      </c>
      <c r="F85">
        <f>_xlfn.XLOOKUP(Sheet3!B85,Sheet1!A:A,Sheet1!E:E)</f>
        <v>4</v>
      </c>
      <c r="G85">
        <f>_xlfn.XLOOKUP(B85,Sheet1!A:A,Sheet1!F:F)</f>
        <v>10</v>
      </c>
      <c r="H85" cm="1">
        <f t="array" aca="1" ref="H85" ca="1">INDEX(Sheet1!$G$2:$G$3, RANDBETWEEN(1, ROWS(Sheet1!$G$2:$G$3)))</f>
        <v>0</v>
      </c>
    </row>
    <row r="86" spans="1:8" x14ac:dyDescent="0.3">
      <c r="A86" s="2" t="str" cm="1">
        <f t="array" aca="1" ref="A86" ca="1">INDEX(Sheet1!$A$2:$A$46, RANDBETWEEN(1,ROWS(Sheet1!$A$2:$A$46)))</f>
        <v>B020</v>
      </c>
      <c r="B86" s="2" t="s">
        <v>84</v>
      </c>
      <c r="C86" t="str">
        <f>_xlfn.XLOOKUP(B86, Sheet1!A:A, Sheet1!B:B)</f>
        <v>plain bagels</v>
      </c>
      <c r="D86">
        <f>_xlfn.XLOOKUP(B86,Sheet1!A:A,Sheet1!C:C)</f>
        <v>8</v>
      </c>
      <c r="E86">
        <f>_xlfn.XLOOKUP(B86,Sheet1!A:A,Sheet1!D:D)</f>
        <v>3.5</v>
      </c>
      <c r="F86">
        <f>_xlfn.XLOOKUP(Sheet3!B86,Sheet1!A:A,Sheet1!E:E)</f>
        <v>3</v>
      </c>
      <c r="G86">
        <f>_xlfn.XLOOKUP(B86,Sheet1!A:A,Sheet1!F:F)</f>
        <v>8</v>
      </c>
      <c r="H86" cm="1">
        <f t="array" aca="1" ref="H86" ca="1">INDEX(Sheet1!$G$2:$G$3, RANDBETWEEN(1, ROWS(Sheet1!$G$2:$G$3)))</f>
        <v>0</v>
      </c>
    </row>
    <row r="87" spans="1:8" x14ac:dyDescent="0.3">
      <c r="A87" s="2" t="str" cm="1">
        <f t="array" aca="1" ref="A87" ca="1">INDEX(Sheet1!$A$2:$A$46, RANDBETWEEN(1,ROWS(Sheet1!$A$2:$A$46)))</f>
        <v>B037</v>
      </c>
      <c r="B87" s="2" t="s">
        <v>21</v>
      </c>
      <c r="C87" t="str">
        <f>_xlfn.XLOOKUP(B87, Sheet1!A:A, Sheet1!B:B)</f>
        <v>butter cake</v>
      </c>
      <c r="D87">
        <f>_xlfn.XLOOKUP(B87,Sheet1!A:A,Sheet1!C:C)</f>
        <v>8</v>
      </c>
      <c r="E87">
        <f>_xlfn.XLOOKUP(B87,Sheet1!A:A,Sheet1!D:D)</f>
        <v>4</v>
      </c>
      <c r="F87">
        <f>_xlfn.XLOOKUP(Sheet3!B87,Sheet1!A:A,Sheet1!E:E)</f>
        <v>3</v>
      </c>
      <c r="G87">
        <f>_xlfn.XLOOKUP(B87,Sheet1!A:A,Sheet1!F:F)</f>
        <v>14</v>
      </c>
      <c r="H87" cm="1">
        <f t="array" aca="1" ref="H87" ca="1">INDEX(Sheet1!$G$2:$G$3, RANDBETWEEN(1, ROWS(Sheet1!$G$2:$G$3)))</f>
        <v>0</v>
      </c>
    </row>
    <row r="88" spans="1:8" x14ac:dyDescent="0.3">
      <c r="A88" s="2" t="str" cm="1">
        <f t="array" aca="1" ref="A88" ca="1">INDEX(Sheet1!$A$2:$A$46, RANDBETWEEN(1,ROWS(Sheet1!$A$2:$A$46)))</f>
        <v>B043</v>
      </c>
      <c r="B88" s="2" t="s">
        <v>21</v>
      </c>
      <c r="C88" t="str">
        <f>_xlfn.XLOOKUP(B88, Sheet1!A:A, Sheet1!B:B)</f>
        <v>butter cake</v>
      </c>
      <c r="D88">
        <f>_xlfn.XLOOKUP(B88,Sheet1!A:A,Sheet1!C:C)</f>
        <v>8</v>
      </c>
      <c r="E88">
        <f>_xlfn.XLOOKUP(B88,Sheet1!A:A,Sheet1!D:D)</f>
        <v>4</v>
      </c>
      <c r="F88">
        <f>_xlfn.XLOOKUP(Sheet3!B88,Sheet1!A:A,Sheet1!E:E)</f>
        <v>3</v>
      </c>
      <c r="G88">
        <f>_xlfn.XLOOKUP(B88,Sheet1!A:A,Sheet1!F:F)</f>
        <v>14</v>
      </c>
      <c r="H88" cm="1">
        <f t="array" aca="1" ref="H88" ca="1">INDEX(Sheet1!$G$2:$G$3, RANDBETWEEN(1, ROWS(Sheet1!$G$2:$G$3)))</f>
        <v>0</v>
      </c>
    </row>
    <row r="89" spans="1:8" x14ac:dyDescent="0.3">
      <c r="A89" s="2" t="str" cm="1">
        <f t="array" aca="1" ref="A89" ca="1">INDEX(Sheet1!$A$2:$A$46, RANDBETWEEN(1,ROWS(Sheet1!$A$2:$A$46)))</f>
        <v>B004</v>
      </c>
      <c r="B89" s="2" t="s">
        <v>19</v>
      </c>
      <c r="C89" t="str">
        <f>_xlfn.XLOOKUP(B89, Sheet1!A:A, Sheet1!B:B)</f>
        <v>blueberry muffins</v>
      </c>
      <c r="D89">
        <f>_xlfn.XLOOKUP(B89,Sheet1!A:A,Sheet1!C:C)</f>
        <v>10</v>
      </c>
      <c r="E89">
        <f>_xlfn.XLOOKUP(B89,Sheet1!A:A,Sheet1!D:D)</f>
        <v>4.5</v>
      </c>
      <c r="F89">
        <f>_xlfn.XLOOKUP(Sheet3!B89,Sheet1!A:A,Sheet1!E:E)</f>
        <v>4</v>
      </c>
      <c r="G89">
        <f>_xlfn.XLOOKUP(B89,Sheet1!A:A,Sheet1!F:F)</f>
        <v>10</v>
      </c>
      <c r="H89" t="str" cm="1">
        <f t="array" aca="1" ref="H89" ca="1">INDEX(Sheet1!$G$2:$G$3, RANDBETWEEN(1, ROWS(Sheet1!$G$2:$G$3)))</f>
        <v>No</v>
      </c>
    </row>
    <row r="90" spans="1:8" x14ac:dyDescent="0.3">
      <c r="A90" s="2" t="str" cm="1">
        <f t="array" aca="1" ref="A90" ca="1">INDEX(Sheet1!$A$2:$A$46, RANDBETWEEN(1,ROWS(Sheet1!$A$2:$A$46)))</f>
        <v>B015</v>
      </c>
      <c r="B90" s="2" t="s">
        <v>63</v>
      </c>
      <c r="C90" t="str">
        <f>_xlfn.XLOOKUP(B90, Sheet1!A:A, Sheet1!B:B)</f>
        <v>chocolate sliced loaf cake</v>
      </c>
      <c r="D90">
        <f>_xlfn.XLOOKUP(B90,Sheet1!A:A,Sheet1!C:C)</f>
        <v>10</v>
      </c>
      <c r="E90">
        <f>_xlfn.XLOOKUP(B90,Sheet1!A:A,Sheet1!D:D)</f>
        <v>4</v>
      </c>
      <c r="F90">
        <f>_xlfn.XLOOKUP(Sheet3!B90,Sheet1!A:A,Sheet1!E:E)</f>
        <v>3.5</v>
      </c>
      <c r="G90">
        <f>_xlfn.XLOOKUP(B90,Sheet1!A:A,Sheet1!F:F)</f>
        <v>10</v>
      </c>
      <c r="H90" cm="1">
        <f t="array" aca="1" ref="H90" ca="1">INDEX(Sheet1!$G$2:$G$3, RANDBETWEEN(1, ROWS(Sheet1!$G$2:$G$3)))</f>
        <v>0</v>
      </c>
    </row>
    <row r="91" spans="1:8" x14ac:dyDescent="0.3">
      <c r="A91" s="2" t="str" cm="1">
        <f t="array" aca="1" ref="A91" ca="1">INDEX(Sheet1!$A$2:$A$46, RANDBETWEEN(1,ROWS(Sheet1!$A$2:$A$46)))</f>
        <v>B008</v>
      </c>
      <c r="B91" s="2" t="s">
        <v>90</v>
      </c>
      <c r="C91" t="str">
        <f>_xlfn.XLOOKUP(B91, Sheet1!A:A, Sheet1!B:B)</f>
        <v>mini brownies</v>
      </c>
      <c r="D91">
        <f>_xlfn.XLOOKUP(B91,Sheet1!A:A,Sheet1!C:C)</f>
        <v>12</v>
      </c>
      <c r="E91">
        <f>_xlfn.XLOOKUP(B91,Sheet1!A:A,Sheet1!D:D)</f>
        <v>4.5</v>
      </c>
      <c r="F91">
        <f>_xlfn.XLOOKUP(Sheet3!B91,Sheet1!A:A,Sheet1!E:E)</f>
        <v>4</v>
      </c>
      <c r="G91">
        <f>_xlfn.XLOOKUP(B91,Sheet1!A:A,Sheet1!F:F)</f>
        <v>14</v>
      </c>
      <c r="H91" t="str" cm="1">
        <f t="array" aca="1" ref="H91" ca="1">INDEX(Sheet1!$G$2:$G$3, RANDBETWEEN(1, ROWS(Sheet1!$G$2:$G$3)))</f>
        <v>No</v>
      </c>
    </row>
    <row r="92" spans="1:8" x14ac:dyDescent="0.3">
      <c r="A92" s="2" t="str" cm="1">
        <f t="array" aca="1" ref="A92" ca="1">INDEX(Sheet1!$A$2:$A$46, RANDBETWEEN(1,ROWS(Sheet1!$A$2:$A$46)))</f>
        <v>B004</v>
      </c>
      <c r="B92" s="2" t="s">
        <v>68</v>
      </c>
      <c r="C92" t="str">
        <f>_xlfn.XLOOKUP(B92, Sheet1!A:A, Sheet1!B:B)</f>
        <v>oreja cookies</v>
      </c>
      <c r="D92">
        <f>_xlfn.XLOOKUP(B92,Sheet1!A:A,Sheet1!C:C)</f>
        <v>15</v>
      </c>
      <c r="E92">
        <f>_xlfn.XLOOKUP(B92,Sheet1!A:A,Sheet1!D:D)</f>
        <v>4</v>
      </c>
      <c r="F92">
        <f>_xlfn.XLOOKUP(Sheet3!B92,Sheet1!A:A,Sheet1!E:E)</f>
        <v>3</v>
      </c>
      <c r="G92">
        <f>_xlfn.XLOOKUP(B92,Sheet1!A:A,Sheet1!F:F)</f>
        <v>14</v>
      </c>
      <c r="H92" cm="1">
        <f t="array" aca="1" ref="H92" ca="1">INDEX(Sheet1!$G$2:$G$3, RANDBETWEEN(1, ROWS(Sheet1!$G$2:$G$3)))</f>
        <v>0</v>
      </c>
    </row>
    <row r="93" spans="1:8" x14ac:dyDescent="0.3">
      <c r="A93" s="2" t="str" cm="1">
        <f t="array" aca="1" ref="A93" ca="1">INDEX(Sheet1!$A$2:$A$46, RANDBETWEEN(1,ROWS(Sheet1!$A$2:$A$46)))</f>
        <v>B030</v>
      </c>
      <c r="B93" s="2" t="s">
        <v>89</v>
      </c>
      <c r="C93" t="str">
        <f>_xlfn.XLOOKUP(B93, Sheet1!A:A, Sheet1!B:B)</f>
        <v>blueberry bagels</v>
      </c>
      <c r="D93">
        <f>_xlfn.XLOOKUP(B93,Sheet1!A:A,Sheet1!C:C)</f>
        <v>8</v>
      </c>
      <c r="E93">
        <f>_xlfn.XLOOKUP(B93,Sheet1!A:A,Sheet1!D:D)</f>
        <v>3.5</v>
      </c>
      <c r="F93">
        <f>_xlfn.XLOOKUP(Sheet3!B93,Sheet1!A:A,Sheet1!E:E)</f>
        <v>3</v>
      </c>
      <c r="G93">
        <f>_xlfn.XLOOKUP(B93,Sheet1!A:A,Sheet1!F:F)</f>
        <v>8</v>
      </c>
      <c r="H93" cm="1">
        <f t="array" aca="1" ref="H93" ca="1">INDEX(Sheet1!$G$2:$G$3, RANDBETWEEN(1, ROWS(Sheet1!$G$2:$G$3)))</f>
        <v>0</v>
      </c>
    </row>
    <row r="94" spans="1:8" x14ac:dyDescent="0.3">
      <c r="A94" s="2" t="str" cm="1">
        <f t="array" aca="1" ref="A94" ca="1">INDEX(Sheet1!$A$2:$A$46, RANDBETWEEN(1,ROWS(Sheet1!$A$2:$A$46)))</f>
        <v>B027</v>
      </c>
      <c r="B94" s="2" t="s">
        <v>55</v>
      </c>
      <c r="C94" t="str">
        <f>_xlfn.XLOOKUP(B94, Sheet1!A:A, Sheet1!B:B)</f>
        <v>cookies &amp; creme cake</v>
      </c>
      <c r="D94">
        <f>_xlfn.XLOOKUP(B94,Sheet1!A:A,Sheet1!C:C)</f>
        <v>4</v>
      </c>
      <c r="E94">
        <f>_xlfn.XLOOKUP(B94,Sheet1!A:A,Sheet1!D:D)</f>
        <v>8.5</v>
      </c>
      <c r="F94">
        <f>_xlfn.XLOOKUP(Sheet3!B94,Sheet1!A:A,Sheet1!E:E)</f>
        <v>6</v>
      </c>
      <c r="G94">
        <f>_xlfn.XLOOKUP(B94,Sheet1!A:A,Sheet1!F:F)</f>
        <v>7</v>
      </c>
      <c r="H94" cm="1">
        <f t="array" aca="1" ref="H94" ca="1">INDEX(Sheet1!$G$2:$G$3, RANDBETWEEN(1, ROWS(Sheet1!$G$2:$G$3)))</f>
        <v>0</v>
      </c>
    </row>
    <row r="95" spans="1:8" x14ac:dyDescent="0.3">
      <c r="A95" s="2" t="str" cm="1">
        <f t="array" aca="1" ref="A95" ca="1">INDEX(Sheet1!$A$2:$A$46, RANDBETWEEN(1,ROWS(Sheet1!$A$2:$A$46)))</f>
        <v>B042</v>
      </c>
      <c r="B95" s="2" t="s">
        <v>40</v>
      </c>
      <c r="C95" t="str">
        <f>_xlfn.XLOOKUP(B95, Sheet1!A:A, Sheet1!B:B)</f>
        <v>frosted pink cookies</v>
      </c>
      <c r="D95">
        <f>_xlfn.XLOOKUP(B95,Sheet1!A:A,Sheet1!C:C)</f>
        <v>15</v>
      </c>
      <c r="E95">
        <f>_xlfn.XLOOKUP(B95,Sheet1!A:A,Sheet1!D:D)</f>
        <v>3</v>
      </c>
      <c r="F95">
        <f>_xlfn.XLOOKUP(Sheet3!B95,Sheet1!A:A,Sheet1!E:E)</f>
        <v>2.5</v>
      </c>
      <c r="G95">
        <f>_xlfn.XLOOKUP(B95,Sheet1!A:A,Sheet1!F:F)</f>
        <v>14</v>
      </c>
      <c r="H95" t="str" cm="1">
        <f t="array" aca="1" ref="H95" ca="1">INDEX(Sheet1!$G$2:$G$3, RANDBETWEEN(1, ROWS(Sheet1!$G$2:$G$3)))</f>
        <v>No</v>
      </c>
    </row>
    <row r="96" spans="1:8" x14ac:dyDescent="0.3">
      <c r="A96" s="2" t="str" cm="1">
        <f t="array" aca="1" ref="A96" ca="1">INDEX(Sheet1!$A$2:$A$46, RANDBETWEEN(1,ROWS(Sheet1!$A$2:$A$46)))</f>
        <v>B024</v>
      </c>
      <c r="B96" s="2" t="s">
        <v>62</v>
      </c>
      <c r="C96" t="str">
        <f>_xlfn.XLOOKUP(B96, Sheet1!A:A, Sheet1!B:B)</f>
        <v>vanilla sliced loaf cake</v>
      </c>
      <c r="D96">
        <f>_xlfn.XLOOKUP(B96,Sheet1!A:A,Sheet1!C:C)</f>
        <v>10</v>
      </c>
      <c r="E96">
        <f>_xlfn.XLOOKUP(B96,Sheet1!A:A,Sheet1!D:D)</f>
        <v>4</v>
      </c>
      <c r="F96">
        <f>_xlfn.XLOOKUP(Sheet3!B96,Sheet1!A:A,Sheet1!E:E)</f>
        <v>3.5</v>
      </c>
      <c r="G96">
        <f>_xlfn.XLOOKUP(B96,Sheet1!A:A,Sheet1!F:F)</f>
        <v>10</v>
      </c>
      <c r="H96" t="str" cm="1">
        <f t="array" aca="1" ref="H96" ca="1">INDEX(Sheet1!$G$2:$G$3, RANDBETWEEN(1, ROWS(Sheet1!$G$2:$G$3)))</f>
        <v>No</v>
      </c>
    </row>
    <row r="97" spans="1:8" x14ac:dyDescent="0.3">
      <c r="A97" s="2" t="str" cm="1">
        <f t="array" aca="1" ref="A97" ca="1">INDEX(Sheet1!$A$2:$A$46, RANDBETWEEN(1,ROWS(Sheet1!$A$2:$A$46)))</f>
        <v>B012</v>
      </c>
      <c r="B97" s="2" t="s">
        <v>80</v>
      </c>
      <c r="C97" t="str">
        <f>_xlfn.XLOOKUP(B97, Sheet1!A:A, Sheet1!B:B)</f>
        <v>carrot square cake</v>
      </c>
      <c r="D97">
        <f>_xlfn.XLOOKUP(B97,Sheet1!A:A,Sheet1!C:C)</f>
        <v>8</v>
      </c>
      <c r="E97">
        <f>_xlfn.XLOOKUP(B97,Sheet1!A:A,Sheet1!D:D)</f>
        <v>2.5</v>
      </c>
      <c r="F97">
        <f>_xlfn.XLOOKUP(Sheet3!B97,Sheet1!A:A,Sheet1!E:E)</f>
        <v>2</v>
      </c>
      <c r="G97">
        <f>_xlfn.XLOOKUP(B97,Sheet1!A:A,Sheet1!F:F)</f>
        <v>5</v>
      </c>
      <c r="H97" t="str" cm="1">
        <f t="array" aca="1" ref="H97" ca="1">INDEX(Sheet1!$G$2:$G$3, RANDBETWEEN(1, ROWS(Sheet1!$G$2:$G$3)))</f>
        <v>No</v>
      </c>
    </row>
    <row r="98" spans="1:8" x14ac:dyDescent="0.3">
      <c r="A98" s="2" t="str" cm="1">
        <f t="array" aca="1" ref="A98" ca="1">INDEX(Sheet1!$A$2:$A$46, RANDBETWEEN(1,ROWS(Sheet1!$A$2:$A$46)))</f>
        <v>B035</v>
      </c>
      <c r="B98" s="2" t="s">
        <v>59</v>
      </c>
      <c r="C98" t="str">
        <f>_xlfn.XLOOKUP(B98, Sheet1!A:A, Sheet1!B:B)</f>
        <v>iced lemon sliced loaf cake</v>
      </c>
      <c r="D98">
        <f>_xlfn.XLOOKUP(B98,Sheet1!A:A,Sheet1!C:C)</f>
        <v>10</v>
      </c>
      <c r="E98">
        <f>_xlfn.XLOOKUP(B98,Sheet1!A:A,Sheet1!D:D)</f>
        <v>4</v>
      </c>
      <c r="F98">
        <f>_xlfn.XLOOKUP(Sheet3!B98,Sheet1!A:A,Sheet1!E:E)</f>
        <v>3.5</v>
      </c>
      <c r="G98">
        <f>_xlfn.XLOOKUP(B98,Sheet1!A:A,Sheet1!F:F)</f>
        <v>10</v>
      </c>
      <c r="H98" t="str" cm="1">
        <f t="array" aca="1" ref="H98" ca="1">INDEX(Sheet1!$G$2:$G$3, RANDBETWEEN(1, ROWS(Sheet1!$G$2:$G$3)))</f>
        <v>No</v>
      </c>
    </row>
    <row r="99" spans="1:8" x14ac:dyDescent="0.3">
      <c r="A99" s="2" t="str" cm="1">
        <f t="array" aca="1" ref="A99" ca="1">INDEX(Sheet1!$A$2:$A$46, RANDBETWEEN(1,ROWS(Sheet1!$A$2:$A$46)))</f>
        <v>B011</v>
      </c>
      <c r="B99" s="2" t="s">
        <v>56</v>
      </c>
      <c r="C99" t="str">
        <f>_xlfn.XLOOKUP(B99, Sheet1!A:A, Sheet1!B:B)</f>
        <v>assorted cupcakes </v>
      </c>
      <c r="D99">
        <f>_xlfn.XLOOKUP(B99,Sheet1!A:A,Sheet1!C:C)</f>
        <v>8</v>
      </c>
      <c r="E99">
        <f>_xlfn.XLOOKUP(B99,Sheet1!A:A,Sheet1!D:D)</f>
        <v>6</v>
      </c>
      <c r="F99">
        <f>_xlfn.XLOOKUP(Sheet3!B99,Sheet1!A:A,Sheet1!E:E)</f>
        <v>5.5</v>
      </c>
      <c r="G99">
        <f>_xlfn.XLOOKUP(B99,Sheet1!A:A,Sheet1!F:F)</f>
        <v>20</v>
      </c>
      <c r="H99" cm="1">
        <f t="array" aca="1" ref="H99" ca="1">INDEX(Sheet1!$G$2:$G$3, RANDBETWEEN(1, ROWS(Sheet1!$G$2:$G$3)))</f>
        <v>0</v>
      </c>
    </row>
    <row r="100" spans="1:8" x14ac:dyDescent="0.3">
      <c r="A100" s="2" t="str" cm="1">
        <f t="array" aca="1" ref="A100" ca="1">INDEX(Sheet1!$A$2:$A$46, RANDBETWEEN(1,ROWS(Sheet1!$A$2:$A$46)))</f>
        <v>B004</v>
      </c>
      <c r="B100" s="2" t="s">
        <v>22</v>
      </c>
      <c r="C100" t="str">
        <f>_xlfn.XLOOKUP(B100, Sheet1!A:A, Sheet1!B:B)</f>
        <v>chocolate chip cookies</v>
      </c>
      <c r="D100">
        <f>_xlfn.XLOOKUP(B100,Sheet1!A:A,Sheet1!C:C)</f>
        <v>12</v>
      </c>
      <c r="E100">
        <f>_xlfn.XLOOKUP(B100,Sheet1!A:A,Sheet1!D:D)</f>
        <v>3.5</v>
      </c>
      <c r="F100">
        <f>_xlfn.XLOOKUP(Sheet3!B100,Sheet1!A:A,Sheet1!E:E)</f>
        <v>3</v>
      </c>
      <c r="G100">
        <f>_xlfn.XLOOKUP(B100,Sheet1!A:A,Sheet1!F:F)</f>
        <v>14</v>
      </c>
      <c r="H100" t="str" cm="1">
        <f t="array" aca="1" ref="H100" ca="1">INDEX(Sheet1!$G$2:$G$3, RANDBETWEEN(1, ROWS(Sheet1!$G$2:$G$3)))</f>
        <v>No</v>
      </c>
    </row>
    <row r="101" spans="1:8" x14ac:dyDescent="0.3">
      <c r="A101" s="2" t="str" cm="1">
        <f t="array" aca="1" ref="A101" ca="1">INDEX(Sheet1!$A$2:$A$46, RANDBETWEEN(1,ROWS(Sheet1!$A$2:$A$46)))</f>
        <v>B030</v>
      </c>
      <c r="B101" s="2" t="s">
        <v>78</v>
      </c>
      <c r="C101" t="str">
        <f>_xlfn.XLOOKUP(B101, Sheet1!A:A, Sheet1!B:B)</f>
        <v>caramel pie</v>
      </c>
      <c r="D101">
        <f>_xlfn.XLOOKUP(B101,Sheet1!A:A,Sheet1!C:C)</f>
        <v>6</v>
      </c>
      <c r="E101">
        <f>_xlfn.XLOOKUP(B101,Sheet1!A:A,Sheet1!D:D)</f>
        <v>4</v>
      </c>
      <c r="F101">
        <f>_xlfn.XLOOKUP(Sheet3!B101,Sheet1!A:A,Sheet1!E:E)</f>
        <v>3</v>
      </c>
      <c r="G101">
        <f>_xlfn.XLOOKUP(B101,Sheet1!A:A,Sheet1!F:F)</f>
        <v>7</v>
      </c>
      <c r="H101" t="str" cm="1">
        <f t="array" aca="1" ref="H101" ca="1">INDEX(Sheet1!$G$2:$G$3, RANDBETWEEN(1, ROWS(Sheet1!$G$2:$G$3)))</f>
        <v>No</v>
      </c>
    </row>
    <row r="102" spans="1:8" x14ac:dyDescent="0.3">
      <c r="A102" s="2" t="str" cm="1">
        <f t="array" aca="1" ref="A102" ca="1">INDEX(Sheet1!$A$2:$A$46, RANDBETWEEN(1,ROWS(Sheet1!$A$2:$A$46)))</f>
        <v>B022</v>
      </c>
      <c r="B102" s="2" t="s">
        <v>60</v>
      </c>
      <c r="C102" t="str">
        <f>_xlfn.XLOOKUP(B102, Sheet1!A:A, Sheet1!B:B)</f>
        <v>banana nut sliced loaf cake</v>
      </c>
      <c r="D102">
        <f>_xlfn.XLOOKUP(B102,Sheet1!A:A,Sheet1!C:C)</f>
        <v>10</v>
      </c>
      <c r="E102">
        <f>_xlfn.XLOOKUP(B102,Sheet1!A:A,Sheet1!D:D)</f>
        <v>4</v>
      </c>
      <c r="F102">
        <f>_xlfn.XLOOKUP(Sheet3!B102,Sheet1!A:A,Sheet1!E:E)</f>
        <v>3.5</v>
      </c>
      <c r="G102">
        <f>_xlfn.XLOOKUP(B102,Sheet1!A:A,Sheet1!F:F)</f>
        <v>10</v>
      </c>
      <c r="H102" cm="1">
        <f t="array" aca="1" ref="H102" ca="1">INDEX(Sheet1!$G$2:$G$3, RANDBETWEEN(1, ROWS(Sheet1!$G$2:$G$3)))</f>
        <v>0</v>
      </c>
    </row>
    <row r="103" spans="1:8" x14ac:dyDescent="0.3">
      <c r="A103" s="2" t="str" cm="1">
        <f t="array" aca="1" ref="A103" ca="1">INDEX(Sheet1!$A$2:$A$46, RANDBETWEEN(1,ROWS(Sheet1!$A$2:$A$46)))</f>
        <v>B044</v>
      </c>
      <c r="B103" s="2" t="s">
        <v>92</v>
      </c>
      <c r="C103" t="str">
        <f>_xlfn.XLOOKUP(B103, Sheet1!A:A, Sheet1!B:B)</f>
        <v>square brownies</v>
      </c>
      <c r="D103">
        <f>_xlfn.XLOOKUP(B103,Sheet1!A:A,Sheet1!C:C)</f>
        <v>6</v>
      </c>
      <c r="E103">
        <f>_xlfn.XLOOKUP(B103,Sheet1!A:A,Sheet1!D:D)</f>
        <v>4.5</v>
      </c>
      <c r="F103">
        <f>_xlfn.XLOOKUP(Sheet3!B103,Sheet1!A:A,Sheet1!E:E)</f>
        <v>4</v>
      </c>
      <c r="G103">
        <f>_xlfn.XLOOKUP(B103,Sheet1!A:A,Sheet1!F:F)</f>
        <v>14</v>
      </c>
      <c r="H103" t="str" cm="1">
        <f t="array" aca="1" ref="H103" ca="1">INDEX(Sheet1!$G$2:$G$3, RANDBETWEEN(1, ROWS(Sheet1!$G$2:$G$3)))</f>
        <v>No</v>
      </c>
    </row>
    <row r="104" spans="1:8" x14ac:dyDescent="0.3">
      <c r="A104" s="2" t="str" cm="1">
        <f t="array" aca="1" ref="A104" ca="1">INDEX(Sheet1!$A$2:$A$46, RANDBETWEEN(1,ROWS(Sheet1!$A$2:$A$46)))</f>
        <v>B039</v>
      </c>
      <c r="B104" s="2" t="s">
        <v>78</v>
      </c>
      <c r="C104" t="str">
        <f>_xlfn.XLOOKUP(B104, Sheet1!A:A, Sheet1!B:B)</f>
        <v>caramel pie</v>
      </c>
      <c r="D104">
        <f>_xlfn.XLOOKUP(B104,Sheet1!A:A,Sheet1!C:C)</f>
        <v>6</v>
      </c>
      <c r="E104">
        <f>_xlfn.XLOOKUP(B104,Sheet1!A:A,Sheet1!D:D)</f>
        <v>4</v>
      </c>
      <c r="F104">
        <f>_xlfn.XLOOKUP(Sheet3!B104,Sheet1!A:A,Sheet1!E:E)</f>
        <v>3</v>
      </c>
      <c r="G104">
        <f>_xlfn.XLOOKUP(B104,Sheet1!A:A,Sheet1!F:F)</f>
        <v>7</v>
      </c>
      <c r="H104" t="str" cm="1">
        <f t="array" aca="1" ref="H104" ca="1">INDEX(Sheet1!$G$2:$G$3, RANDBETWEEN(1, ROWS(Sheet1!$G$2:$G$3)))</f>
        <v>No</v>
      </c>
    </row>
    <row r="105" spans="1:8" x14ac:dyDescent="0.3">
      <c r="A105" s="2" t="str" cm="1">
        <f t="array" aca="1" ref="A105" ca="1">INDEX(Sheet1!$A$2:$A$46, RANDBETWEEN(1,ROWS(Sheet1!$A$2:$A$46)))</f>
        <v>B042</v>
      </c>
      <c r="B105" s="2" t="s">
        <v>67</v>
      </c>
      <c r="C105" t="str">
        <f>_xlfn.XLOOKUP(B105, Sheet1!A:A, Sheet1!B:B)</f>
        <v>seeded bread</v>
      </c>
      <c r="D105">
        <f>_xlfn.XLOOKUP(B105,Sheet1!A:A,Sheet1!C:C)</f>
        <v>8</v>
      </c>
      <c r="E105">
        <f>_xlfn.XLOOKUP(B105,Sheet1!A:A,Sheet1!D:D)</f>
        <v>3.5</v>
      </c>
      <c r="F105">
        <f>_xlfn.XLOOKUP(Sheet3!B105,Sheet1!A:A,Sheet1!E:E)</f>
        <v>3</v>
      </c>
      <c r="G105">
        <f>_xlfn.XLOOKUP(B105,Sheet1!A:A,Sheet1!F:F)</f>
        <v>8</v>
      </c>
      <c r="H105" t="str" cm="1">
        <f t="array" aca="1" ref="H105" ca="1">INDEX(Sheet1!$G$2:$G$3, RANDBETWEEN(1, ROWS(Sheet1!$G$2:$G$3)))</f>
        <v>No</v>
      </c>
    </row>
    <row r="106" spans="1:8" x14ac:dyDescent="0.3">
      <c r="A106" s="2" t="str" cm="1">
        <f t="array" aca="1" ref="A106" ca="1">INDEX(Sheet1!$A$2:$A$46, RANDBETWEEN(1,ROWS(Sheet1!$A$2:$A$46)))</f>
        <v>B038</v>
      </c>
      <c r="B106" s="2" t="s">
        <v>89</v>
      </c>
      <c r="C106" t="str">
        <f>_xlfn.XLOOKUP(B106, Sheet1!A:A, Sheet1!B:B)</f>
        <v>blueberry bagels</v>
      </c>
      <c r="D106">
        <f>_xlfn.XLOOKUP(B106,Sheet1!A:A,Sheet1!C:C)</f>
        <v>8</v>
      </c>
      <c r="E106">
        <f>_xlfn.XLOOKUP(B106,Sheet1!A:A,Sheet1!D:D)</f>
        <v>3.5</v>
      </c>
      <c r="F106">
        <f>_xlfn.XLOOKUP(Sheet3!B106,Sheet1!A:A,Sheet1!E:E)</f>
        <v>3</v>
      </c>
      <c r="G106">
        <f>_xlfn.XLOOKUP(B106,Sheet1!A:A,Sheet1!F:F)</f>
        <v>8</v>
      </c>
      <c r="H106" cm="1">
        <f t="array" aca="1" ref="H106" ca="1">INDEX(Sheet1!$G$2:$G$3, RANDBETWEEN(1, ROWS(Sheet1!$G$2:$G$3)))</f>
        <v>0</v>
      </c>
    </row>
    <row r="107" spans="1:8" x14ac:dyDescent="0.3">
      <c r="A107" s="2" t="str" cm="1">
        <f t="array" aca="1" ref="A107" ca="1">INDEX(Sheet1!$A$2:$A$46, RANDBETWEEN(1,ROWS(Sheet1!$A$2:$A$46)))</f>
        <v>B029</v>
      </c>
      <c r="B107" s="2" t="s">
        <v>64</v>
      </c>
      <c r="C107" t="str">
        <f>_xlfn.XLOOKUP(B107, Sheet1!A:A, Sheet1!B:B)</f>
        <v>marble bread</v>
      </c>
      <c r="D107">
        <f>_xlfn.XLOOKUP(B107,Sheet1!A:A,Sheet1!C:C)</f>
        <v>8</v>
      </c>
      <c r="E107">
        <f>_xlfn.XLOOKUP(B107,Sheet1!A:A,Sheet1!D:D)</f>
        <v>3.5</v>
      </c>
      <c r="F107">
        <f>_xlfn.XLOOKUP(Sheet3!B107,Sheet1!A:A,Sheet1!E:E)</f>
        <v>3</v>
      </c>
      <c r="G107">
        <f>_xlfn.XLOOKUP(B107,Sheet1!A:A,Sheet1!F:F)</f>
        <v>8</v>
      </c>
      <c r="H107" t="str" cm="1">
        <f t="array" aca="1" ref="H107" ca="1">INDEX(Sheet1!$G$2:$G$3, RANDBETWEEN(1, ROWS(Sheet1!$G$2:$G$3)))</f>
        <v>No</v>
      </c>
    </row>
    <row r="108" spans="1:8" x14ac:dyDescent="0.3">
      <c r="A108" s="2" t="str" cm="1">
        <f t="array" aca="1" ref="A108" ca="1">INDEX(Sheet1!$A$2:$A$46, RANDBETWEEN(1,ROWS(Sheet1!$A$2:$A$46)))</f>
        <v>B032</v>
      </c>
      <c r="B108" s="2" t="s">
        <v>60</v>
      </c>
      <c r="C108" t="str">
        <f>_xlfn.XLOOKUP(B108, Sheet1!A:A, Sheet1!B:B)</f>
        <v>banana nut sliced loaf cake</v>
      </c>
      <c r="D108">
        <f>_xlfn.XLOOKUP(B108,Sheet1!A:A,Sheet1!C:C)</f>
        <v>10</v>
      </c>
      <c r="E108">
        <f>_xlfn.XLOOKUP(B108,Sheet1!A:A,Sheet1!D:D)</f>
        <v>4</v>
      </c>
      <c r="F108">
        <f>_xlfn.XLOOKUP(Sheet3!B108,Sheet1!A:A,Sheet1!E:E)</f>
        <v>3.5</v>
      </c>
      <c r="G108">
        <f>_xlfn.XLOOKUP(B108,Sheet1!A:A,Sheet1!F:F)</f>
        <v>10</v>
      </c>
      <c r="H108" cm="1">
        <f t="array" aca="1" ref="H108" ca="1">INDEX(Sheet1!$G$2:$G$3, RANDBETWEEN(1, ROWS(Sheet1!$G$2:$G$3)))</f>
        <v>0</v>
      </c>
    </row>
    <row r="109" spans="1:8" x14ac:dyDescent="0.3">
      <c r="A109" s="2" t="str" cm="1">
        <f t="array" aca="1" ref="A109" ca="1">INDEX(Sheet1!$A$2:$A$46, RANDBETWEEN(1,ROWS(Sheet1!$A$2:$A$46)))</f>
        <v>B029</v>
      </c>
      <c r="B109" s="2" t="s">
        <v>64</v>
      </c>
      <c r="C109" t="str">
        <f>_xlfn.XLOOKUP(B109, Sheet1!A:A, Sheet1!B:B)</f>
        <v>marble bread</v>
      </c>
      <c r="D109">
        <f>_xlfn.XLOOKUP(B109,Sheet1!A:A,Sheet1!C:C)</f>
        <v>8</v>
      </c>
      <c r="E109">
        <f>_xlfn.XLOOKUP(B109,Sheet1!A:A,Sheet1!D:D)</f>
        <v>3.5</v>
      </c>
      <c r="F109">
        <f>_xlfn.XLOOKUP(Sheet3!B109,Sheet1!A:A,Sheet1!E:E)</f>
        <v>3</v>
      </c>
      <c r="G109">
        <f>_xlfn.XLOOKUP(B109,Sheet1!A:A,Sheet1!F:F)</f>
        <v>8</v>
      </c>
      <c r="H109" cm="1">
        <f t="array" aca="1" ref="H109" ca="1">INDEX(Sheet1!$G$2:$G$3, RANDBETWEEN(1, ROWS(Sheet1!$G$2:$G$3)))</f>
        <v>0</v>
      </c>
    </row>
    <row r="110" spans="1:8" x14ac:dyDescent="0.3">
      <c r="A110" s="2" t="str" cm="1">
        <f t="array" aca="1" ref="A110" ca="1">INDEX(Sheet1!$A$2:$A$46, RANDBETWEEN(1,ROWS(Sheet1!$A$2:$A$46)))</f>
        <v>B013</v>
      </c>
      <c r="B110" s="2" t="s">
        <v>81</v>
      </c>
      <c r="C110" t="str">
        <f>_xlfn.XLOOKUP(B110, Sheet1!A:A, Sheet1!B:B)</f>
        <v>red velvet square cake</v>
      </c>
      <c r="D110">
        <f>_xlfn.XLOOKUP(B110,Sheet1!A:A,Sheet1!C:C)</f>
        <v>8</v>
      </c>
      <c r="E110">
        <f>_xlfn.XLOOKUP(B110,Sheet1!A:A,Sheet1!D:D)</f>
        <v>2.5</v>
      </c>
      <c r="F110">
        <f>_xlfn.XLOOKUP(Sheet3!B110,Sheet1!A:A,Sheet1!E:E)</f>
        <v>2</v>
      </c>
      <c r="G110">
        <f>_xlfn.XLOOKUP(B110,Sheet1!A:A,Sheet1!F:F)</f>
        <v>5</v>
      </c>
      <c r="H110" t="str" cm="1">
        <f t="array" aca="1" ref="H110" ca="1">INDEX(Sheet1!$G$2:$G$3, RANDBETWEEN(1, ROWS(Sheet1!$G$2:$G$3)))</f>
        <v>No</v>
      </c>
    </row>
    <row r="111" spans="1:8" x14ac:dyDescent="0.3">
      <c r="A111" s="2" t="str" cm="1">
        <f t="array" aca="1" ref="A111" ca="1">INDEX(Sheet1!$A$2:$A$46, RANDBETWEEN(1,ROWS(Sheet1!$A$2:$A$46)))</f>
        <v>B008</v>
      </c>
      <c r="B111" s="2" t="s">
        <v>62</v>
      </c>
      <c r="C111" t="str">
        <f>_xlfn.XLOOKUP(B111, Sheet1!A:A, Sheet1!B:B)</f>
        <v>vanilla sliced loaf cake</v>
      </c>
      <c r="D111">
        <f>_xlfn.XLOOKUP(B111,Sheet1!A:A,Sheet1!C:C)</f>
        <v>10</v>
      </c>
      <c r="E111">
        <f>_xlfn.XLOOKUP(B111,Sheet1!A:A,Sheet1!D:D)</f>
        <v>4</v>
      </c>
      <c r="F111">
        <f>_xlfn.XLOOKUP(Sheet3!B111,Sheet1!A:A,Sheet1!E:E)</f>
        <v>3.5</v>
      </c>
      <c r="G111">
        <f>_xlfn.XLOOKUP(B111,Sheet1!A:A,Sheet1!F:F)</f>
        <v>10</v>
      </c>
      <c r="H111" t="str" cm="1">
        <f t="array" aca="1" ref="H111" ca="1">INDEX(Sheet1!$G$2:$G$3, RANDBETWEEN(1, ROWS(Sheet1!$G$2:$G$3)))</f>
        <v>No</v>
      </c>
    </row>
    <row r="112" spans="1:8" x14ac:dyDescent="0.3">
      <c r="A112" s="2" t="str" cm="1">
        <f t="array" aca="1" ref="A112" ca="1">INDEX(Sheet1!$A$2:$A$46, RANDBETWEEN(1,ROWS(Sheet1!$A$2:$A$46)))</f>
        <v>B043</v>
      </c>
      <c r="B112" s="2" t="s">
        <v>56</v>
      </c>
      <c r="C112" t="str">
        <f>_xlfn.XLOOKUP(B112, Sheet1!A:A, Sheet1!B:B)</f>
        <v>assorted cupcakes </v>
      </c>
      <c r="D112">
        <f>_xlfn.XLOOKUP(B112,Sheet1!A:A,Sheet1!C:C)</f>
        <v>8</v>
      </c>
      <c r="E112">
        <f>_xlfn.XLOOKUP(B112,Sheet1!A:A,Sheet1!D:D)</f>
        <v>6</v>
      </c>
      <c r="F112">
        <f>_xlfn.XLOOKUP(Sheet3!B112,Sheet1!A:A,Sheet1!E:E)</f>
        <v>5.5</v>
      </c>
      <c r="G112">
        <f>_xlfn.XLOOKUP(B112,Sheet1!A:A,Sheet1!F:F)</f>
        <v>20</v>
      </c>
      <c r="H112" t="str" cm="1">
        <f t="array" aca="1" ref="H112" ca="1">INDEX(Sheet1!$G$2:$G$3, RANDBETWEEN(1, ROWS(Sheet1!$G$2:$G$3)))</f>
        <v>No</v>
      </c>
    </row>
    <row r="113" spans="1:8" x14ac:dyDescent="0.3">
      <c r="A113" s="2" t="str" cm="1">
        <f t="array" aca="1" ref="A113" ca="1">INDEX(Sheet1!$A$2:$A$46, RANDBETWEEN(1,ROWS(Sheet1!$A$2:$A$46)))</f>
        <v>B028</v>
      </c>
      <c r="B113" s="2" t="s">
        <v>66</v>
      </c>
      <c r="C113" t="str">
        <f>_xlfn.XLOOKUP(B113, Sheet1!A:A, Sheet1!B:B)</f>
        <v>pumpernickel bread</v>
      </c>
      <c r="D113">
        <f>_xlfn.XLOOKUP(B113,Sheet1!A:A,Sheet1!C:C)</f>
        <v>8</v>
      </c>
      <c r="E113">
        <f>_xlfn.XLOOKUP(B113,Sheet1!A:A,Sheet1!D:D)</f>
        <v>3.5</v>
      </c>
      <c r="F113">
        <f>_xlfn.XLOOKUP(Sheet3!B113,Sheet1!A:A,Sheet1!E:E)</f>
        <v>3</v>
      </c>
      <c r="G113">
        <f>_xlfn.XLOOKUP(B113,Sheet1!A:A,Sheet1!F:F)</f>
        <v>8</v>
      </c>
      <c r="H113" t="str" cm="1">
        <f t="array" aca="1" ref="H113" ca="1">INDEX(Sheet1!$G$2:$G$3, RANDBETWEEN(1, ROWS(Sheet1!$G$2:$G$3)))</f>
        <v>No</v>
      </c>
    </row>
    <row r="114" spans="1:8" x14ac:dyDescent="0.3">
      <c r="A114" s="2" t="str" cm="1">
        <f t="array" aca="1" ref="A114" ca="1">INDEX(Sheet1!$A$2:$A$46, RANDBETWEEN(1,ROWS(Sheet1!$A$2:$A$46)))</f>
        <v>B024</v>
      </c>
      <c r="B114" s="2" t="s">
        <v>62</v>
      </c>
      <c r="C114" t="str">
        <f>_xlfn.XLOOKUP(B114, Sheet1!A:A, Sheet1!B:B)</f>
        <v>vanilla sliced loaf cake</v>
      </c>
      <c r="D114">
        <f>_xlfn.XLOOKUP(B114,Sheet1!A:A,Sheet1!C:C)</f>
        <v>10</v>
      </c>
      <c r="E114">
        <f>_xlfn.XLOOKUP(B114,Sheet1!A:A,Sheet1!D:D)</f>
        <v>4</v>
      </c>
      <c r="F114">
        <f>_xlfn.XLOOKUP(Sheet3!B114,Sheet1!A:A,Sheet1!E:E)</f>
        <v>3.5</v>
      </c>
      <c r="G114">
        <f>_xlfn.XLOOKUP(B114,Sheet1!A:A,Sheet1!F:F)</f>
        <v>10</v>
      </c>
      <c r="H114" cm="1">
        <f t="array" aca="1" ref="H114" ca="1">INDEX(Sheet1!$G$2:$G$3, RANDBETWEEN(1, ROWS(Sheet1!$G$2:$G$3)))</f>
        <v>0</v>
      </c>
    </row>
    <row r="115" spans="1:8" x14ac:dyDescent="0.3">
      <c r="A115" s="2" t="str" cm="1">
        <f t="array" aca="1" ref="A115" ca="1">INDEX(Sheet1!$A$2:$A$46, RANDBETWEEN(1,ROWS(Sheet1!$A$2:$A$46)))</f>
        <v>B019</v>
      </c>
      <c r="B115" s="2" t="s">
        <v>41</v>
      </c>
      <c r="C115" t="str">
        <f>_xlfn.XLOOKUP(B115, Sheet1!A:A, Sheet1!B:B)</f>
        <v>frosted blue cookies</v>
      </c>
      <c r="D115">
        <f>_xlfn.XLOOKUP(B115,Sheet1!A:A,Sheet1!C:C)</f>
        <v>15</v>
      </c>
      <c r="E115">
        <f>_xlfn.XLOOKUP(B115,Sheet1!A:A,Sheet1!D:D)</f>
        <v>3</v>
      </c>
      <c r="F115">
        <f>_xlfn.XLOOKUP(Sheet3!B115,Sheet1!A:A,Sheet1!E:E)</f>
        <v>2.5</v>
      </c>
      <c r="G115">
        <f>_xlfn.XLOOKUP(B115,Sheet1!A:A,Sheet1!F:F)</f>
        <v>14</v>
      </c>
      <c r="H115" cm="1">
        <f t="array" aca="1" ref="H115" ca="1">INDEX(Sheet1!$G$2:$G$3, RANDBETWEEN(1, ROWS(Sheet1!$G$2:$G$3)))</f>
        <v>0</v>
      </c>
    </row>
    <row r="116" spans="1:8" x14ac:dyDescent="0.3">
      <c r="A116" s="2" t="str" cm="1">
        <f t="array" aca="1" ref="A116" ca="1">INDEX(Sheet1!$A$2:$A$46, RANDBETWEEN(1,ROWS(Sheet1!$A$2:$A$46)))</f>
        <v>B015</v>
      </c>
      <c r="B116" s="2" t="s">
        <v>40</v>
      </c>
      <c r="C116" t="str">
        <f>_xlfn.XLOOKUP(B116, Sheet1!A:A, Sheet1!B:B)</f>
        <v>frosted pink cookies</v>
      </c>
      <c r="D116">
        <f>_xlfn.XLOOKUP(B116,Sheet1!A:A,Sheet1!C:C)</f>
        <v>15</v>
      </c>
      <c r="E116">
        <f>_xlfn.XLOOKUP(B116,Sheet1!A:A,Sheet1!D:D)</f>
        <v>3</v>
      </c>
      <c r="F116">
        <f>_xlfn.XLOOKUP(Sheet3!B116,Sheet1!A:A,Sheet1!E:E)</f>
        <v>2.5</v>
      </c>
      <c r="G116">
        <f>_xlfn.XLOOKUP(B116,Sheet1!A:A,Sheet1!F:F)</f>
        <v>14</v>
      </c>
      <c r="H116" t="str" cm="1">
        <f t="array" aca="1" ref="H116" ca="1">INDEX(Sheet1!$G$2:$G$3, RANDBETWEEN(1, ROWS(Sheet1!$G$2:$G$3)))</f>
        <v>No</v>
      </c>
    </row>
    <row r="117" spans="1:8" x14ac:dyDescent="0.3">
      <c r="A117" s="2" t="str" cm="1">
        <f t="array" aca="1" ref="A117" ca="1">INDEX(Sheet1!$A$2:$A$46, RANDBETWEEN(1,ROWS(Sheet1!$A$2:$A$46)))</f>
        <v>B010</v>
      </c>
      <c r="B117" s="2" t="s">
        <v>71</v>
      </c>
      <c r="C117" t="str">
        <f>_xlfn.XLOOKUP(B117, Sheet1!A:A, Sheet1!B:B)</f>
        <v>blueberry pie</v>
      </c>
      <c r="D117">
        <f>_xlfn.XLOOKUP(B117,Sheet1!A:A,Sheet1!C:C)</f>
        <v>6</v>
      </c>
      <c r="E117">
        <f>_xlfn.XLOOKUP(B117,Sheet1!A:A,Sheet1!D:D)</f>
        <v>4</v>
      </c>
      <c r="F117">
        <f>_xlfn.XLOOKUP(Sheet3!B117,Sheet1!A:A,Sheet1!E:E)</f>
        <v>3</v>
      </c>
      <c r="G117">
        <f>_xlfn.XLOOKUP(B117,Sheet1!A:A,Sheet1!F:F)</f>
        <v>7</v>
      </c>
      <c r="H117" cm="1">
        <f t="array" aca="1" ref="H117" ca="1">INDEX(Sheet1!$G$2:$G$3, RANDBETWEEN(1, ROWS(Sheet1!$G$2:$G$3)))</f>
        <v>0</v>
      </c>
    </row>
    <row r="118" spans="1:8" x14ac:dyDescent="0.3">
      <c r="A118" s="2" t="str" cm="1">
        <f t="array" aca="1" ref="A118" ca="1">INDEX(Sheet1!$A$2:$A$46, RANDBETWEEN(1,ROWS(Sheet1!$A$2:$A$46)))</f>
        <v>B032</v>
      </c>
      <c r="B118" s="2" t="s">
        <v>22</v>
      </c>
      <c r="C118" t="str">
        <f>_xlfn.XLOOKUP(B118, Sheet1!A:A, Sheet1!B:B)</f>
        <v>chocolate chip cookies</v>
      </c>
      <c r="D118">
        <f>_xlfn.XLOOKUP(B118,Sheet1!A:A,Sheet1!C:C)</f>
        <v>12</v>
      </c>
      <c r="E118">
        <f>_xlfn.XLOOKUP(B118,Sheet1!A:A,Sheet1!D:D)</f>
        <v>3.5</v>
      </c>
      <c r="F118">
        <f>_xlfn.XLOOKUP(Sheet3!B118,Sheet1!A:A,Sheet1!E:E)</f>
        <v>3</v>
      </c>
      <c r="G118">
        <f>_xlfn.XLOOKUP(B118,Sheet1!A:A,Sheet1!F:F)</f>
        <v>14</v>
      </c>
      <c r="H118" cm="1">
        <f t="array" aca="1" ref="H118" ca="1">INDEX(Sheet1!$G$2:$G$3, RANDBETWEEN(1, ROWS(Sheet1!$G$2:$G$3)))</f>
        <v>0</v>
      </c>
    </row>
    <row r="119" spans="1:8" x14ac:dyDescent="0.3">
      <c r="A119" s="2" t="str" cm="1">
        <f t="array" aca="1" ref="A119" ca="1">INDEX(Sheet1!$A$2:$A$46, RANDBETWEEN(1,ROWS(Sheet1!$A$2:$A$46)))</f>
        <v>B043</v>
      </c>
      <c r="B119" s="2" t="s">
        <v>16</v>
      </c>
      <c r="C119" t="str">
        <f>_xlfn.XLOOKUP(B119, Sheet1!A:A, Sheet1!B:B)</f>
        <v>mini croissant</v>
      </c>
      <c r="D119">
        <f>_xlfn.XLOOKUP(B119,Sheet1!A:A,Sheet1!C:C)</f>
        <v>10</v>
      </c>
      <c r="E119">
        <f>_xlfn.XLOOKUP(B119,Sheet1!A:A,Sheet1!D:D)</f>
        <v>5.5</v>
      </c>
      <c r="F119">
        <f>_xlfn.XLOOKUP(Sheet3!B119,Sheet1!A:A,Sheet1!E:E)</f>
        <v>4.5</v>
      </c>
      <c r="G119">
        <f>_xlfn.XLOOKUP(B119,Sheet1!A:A,Sheet1!F:F)</f>
        <v>7</v>
      </c>
      <c r="H119" cm="1">
        <f t="array" aca="1" ref="H119" ca="1">INDEX(Sheet1!$G$2:$G$3, RANDBETWEEN(1, ROWS(Sheet1!$G$2:$G$3)))</f>
        <v>0</v>
      </c>
    </row>
    <row r="120" spans="1:8" x14ac:dyDescent="0.3">
      <c r="A120" s="2" t="str" cm="1">
        <f t="array" aca="1" ref="A120" ca="1">INDEX(Sheet1!$A$2:$A$46, RANDBETWEEN(1,ROWS(Sheet1!$A$2:$A$46)))</f>
        <v>B004</v>
      </c>
      <c r="B120" s="2" t="s">
        <v>59</v>
      </c>
      <c r="C120" t="str">
        <f>_xlfn.XLOOKUP(B120, Sheet1!A:A, Sheet1!B:B)</f>
        <v>iced lemon sliced loaf cake</v>
      </c>
      <c r="D120">
        <f>_xlfn.XLOOKUP(B120,Sheet1!A:A,Sheet1!C:C)</f>
        <v>10</v>
      </c>
      <c r="E120">
        <f>_xlfn.XLOOKUP(B120,Sheet1!A:A,Sheet1!D:D)</f>
        <v>4</v>
      </c>
      <c r="F120">
        <f>_xlfn.XLOOKUP(Sheet3!B120,Sheet1!A:A,Sheet1!E:E)</f>
        <v>3.5</v>
      </c>
      <c r="G120">
        <f>_xlfn.XLOOKUP(B120,Sheet1!A:A,Sheet1!F:F)</f>
        <v>10</v>
      </c>
      <c r="H120" cm="1">
        <f t="array" aca="1" ref="H120" ca="1">INDEX(Sheet1!$G$2:$G$3, RANDBETWEEN(1, ROWS(Sheet1!$G$2:$G$3)))</f>
        <v>0</v>
      </c>
    </row>
    <row r="121" spans="1:8" x14ac:dyDescent="0.3">
      <c r="A121" s="2" t="str" cm="1">
        <f t="array" aca="1" ref="A121" ca="1">INDEX(Sheet1!$A$2:$A$46, RANDBETWEEN(1,ROWS(Sheet1!$A$2:$A$46)))</f>
        <v>B019</v>
      </c>
      <c r="B121" s="2" t="s">
        <v>84</v>
      </c>
      <c r="C121" t="str">
        <f>_xlfn.XLOOKUP(B121, Sheet1!A:A, Sheet1!B:B)</f>
        <v>plain bagels</v>
      </c>
      <c r="D121">
        <f>_xlfn.XLOOKUP(B121,Sheet1!A:A,Sheet1!C:C)</f>
        <v>8</v>
      </c>
      <c r="E121">
        <f>_xlfn.XLOOKUP(B121,Sheet1!A:A,Sheet1!D:D)</f>
        <v>3.5</v>
      </c>
      <c r="F121">
        <f>_xlfn.XLOOKUP(Sheet3!B121,Sheet1!A:A,Sheet1!E:E)</f>
        <v>3</v>
      </c>
      <c r="G121">
        <f>_xlfn.XLOOKUP(B121,Sheet1!A:A,Sheet1!F:F)</f>
        <v>8</v>
      </c>
      <c r="H121" t="str" cm="1">
        <f t="array" aca="1" ref="H121" ca="1">INDEX(Sheet1!$G$2:$G$3, RANDBETWEEN(1, ROWS(Sheet1!$G$2:$G$3)))</f>
        <v>No</v>
      </c>
    </row>
    <row r="122" spans="1:8" x14ac:dyDescent="0.3">
      <c r="A122" s="2" t="str" cm="1">
        <f t="array" aca="1" ref="A122" ca="1">INDEX(Sheet1!$A$2:$A$46, RANDBETWEEN(1,ROWS(Sheet1!$A$2:$A$46)))</f>
        <v>B008</v>
      </c>
      <c r="B122" s="2" t="s">
        <v>90</v>
      </c>
      <c r="C122" t="str">
        <f>_xlfn.XLOOKUP(B122, Sheet1!A:A, Sheet1!B:B)</f>
        <v>mini brownies</v>
      </c>
      <c r="D122">
        <f>_xlfn.XLOOKUP(B122,Sheet1!A:A,Sheet1!C:C)</f>
        <v>12</v>
      </c>
      <c r="E122">
        <f>_xlfn.XLOOKUP(B122,Sheet1!A:A,Sheet1!D:D)</f>
        <v>4.5</v>
      </c>
      <c r="F122">
        <f>_xlfn.XLOOKUP(Sheet3!B122,Sheet1!A:A,Sheet1!E:E)</f>
        <v>4</v>
      </c>
      <c r="G122">
        <f>_xlfn.XLOOKUP(B122,Sheet1!A:A,Sheet1!F:F)</f>
        <v>14</v>
      </c>
      <c r="H122" cm="1">
        <f t="array" aca="1" ref="H122" ca="1">INDEX(Sheet1!$G$2:$G$3, RANDBETWEEN(1, ROWS(Sheet1!$G$2:$G$3)))</f>
        <v>0</v>
      </c>
    </row>
    <row r="123" spans="1:8" x14ac:dyDescent="0.3">
      <c r="A123" s="2" t="str" cm="1">
        <f t="array" aca="1" ref="A123" ca="1">INDEX(Sheet1!$A$2:$A$46, RANDBETWEEN(1,ROWS(Sheet1!$A$2:$A$46)))</f>
        <v>B003</v>
      </c>
      <c r="B123" s="2" t="s">
        <v>72</v>
      </c>
      <c r="C123" t="str">
        <f>_xlfn.XLOOKUP(B123, Sheet1!A:A, Sheet1!B:B)</f>
        <v>cherry pie</v>
      </c>
      <c r="D123">
        <f>_xlfn.XLOOKUP(B123,Sheet1!A:A,Sheet1!C:C)</f>
        <v>6</v>
      </c>
      <c r="E123">
        <f>_xlfn.XLOOKUP(B123,Sheet1!A:A,Sheet1!D:D)</f>
        <v>4</v>
      </c>
      <c r="F123">
        <f>_xlfn.XLOOKUP(Sheet3!B123,Sheet1!A:A,Sheet1!E:E)</f>
        <v>3</v>
      </c>
      <c r="G123">
        <f>_xlfn.XLOOKUP(B123,Sheet1!A:A,Sheet1!F:F)</f>
        <v>7</v>
      </c>
      <c r="H123" t="str" cm="1">
        <f t="array" aca="1" ref="H123" ca="1">INDEX(Sheet1!$G$2:$G$3, RANDBETWEEN(1, ROWS(Sheet1!$G$2:$G$3)))</f>
        <v>No</v>
      </c>
    </row>
    <row r="124" spans="1:8" x14ac:dyDescent="0.3">
      <c r="A124" s="2" t="str" cm="1">
        <f t="array" aca="1" ref="A124" ca="1">INDEX(Sheet1!$A$2:$A$46, RANDBETWEEN(1,ROWS(Sheet1!$A$2:$A$46)))</f>
        <v>B040</v>
      </c>
      <c r="B124" s="2" t="s">
        <v>10</v>
      </c>
      <c r="C124" t="str">
        <f>_xlfn.XLOOKUP(B124, Sheet1!A:A, Sheet1!B:B)</f>
        <v>croissant</v>
      </c>
      <c r="D124">
        <f>_xlfn.XLOOKUP(B124,Sheet1!A:A,Sheet1!C:C)</f>
        <v>10</v>
      </c>
      <c r="E124">
        <f>_xlfn.XLOOKUP(B124,Sheet1!A:A,Sheet1!D:D)</f>
        <v>5.5</v>
      </c>
      <c r="F124">
        <f>_xlfn.XLOOKUP(Sheet3!B124,Sheet1!A:A,Sheet1!E:E)</f>
        <v>4.5</v>
      </c>
      <c r="G124">
        <f>_xlfn.XLOOKUP(B124,Sheet1!A:A,Sheet1!F:F)</f>
        <v>7</v>
      </c>
      <c r="H124" cm="1">
        <f t="array" aca="1" ref="H124" ca="1">INDEX(Sheet1!$G$2:$G$3, RANDBETWEEN(1, ROWS(Sheet1!$G$2:$G$3)))</f>
        <v>0</v>
      </c>
    </row>
    <row r="125" spans="1:8" x14ac:dyDescent="0.3">
      <c r="A125" s="2" t="str" cm="1">
        <f t="array" aca="1" ref="A125" ca="1">INDEX(Sheet1!$A$2:$A$46, RANDBETWEEN(1,ROWS(Sheet1!$A$2:$A$46)))</f>
        <v>B011</v>
      </c>
      <c r="B125" s="2" t="s">
        <v>20</v>
      </c>
      <c r="C125" t="str">
        <f>_xlfn.XLOOKUP(B125, Sheet1!A:A, Sheet1!B:B)</f>
        <v>banana nut muffins</v>
      </c>
      <c r="D125">
        <f>_xlfn.XLOOKUP(B125,Sheet1!A:A,Sheet1!C:C)</f>
        <v>10</v>
      </c>
      <c r="E125">
        <f>_xlfn.XLOOKUP(B125,Sheet1!A:A,Sheet1!D:D)</f>
        <v>4.5</v>
      </c>
      <c r="F125">
        <f>_xlfn.XLOOKUP(Sheet3!B125,Sheet1!A:A,Sheet1!E:E)</f>
        <v>4</v>
      </c>
      <c r="G125">
        <f>_xlfn.XLOOKUP(B125,Sheet1!A:A,Sheet1!F:F)</f>
        <v>10</v>
      </c>
      <c r="H125" t="str" cm="1">
        <f t="array" aca="1" ref="H125" ca="1">INDEX(Sheet1!$G$2:$G$3, RANDBETWEEN(1, ROWS(Sheet1!$G$2:$G$3)))</f>
        <v>No</v>
      </c>
    </row>
    <row r="126" spans="1:8" x14ac:dyDescent="0.3">
      <c r="A126" s="2" t="str" cm="1">
        <f t="array" aca="1" ref="A126" ca="1">INDEX(Sheet1!$A$2:$A$46, RANDBETWEEN(1,ROWS(Sheet1!$A$2:$A$46)))</f>
        <v>B014</v>
      </c>
      <c r="B126" s="2" t="s">
        <v>82</v>
      </c>
      <c r="C126" t="str">
        <f>_xlfn.XLOOKUP(B126, Sheet1!A:A, Sheet1!B:B)</f>
        <v>white square cake</v>
      </c>
      <c r="D126">
        <f>_xlfn.XLOOKUP(B126,Sheet1!A:A,Sheet1!C:C)</f>
        <v>8</v>
      </c>
      <c r="E126">
        <f>_xlfn.XLOOKUP(B126,Sheet1!A:A,Sheet1!D:D)</f>
        <v>2.5</v>
      </c>
      <c r="F126">
        <f>_xlfn.XLOOKUP(Sheet3!B126,Sheet1!A:A,Sheet1!E:E)</f>
        <v>2</v>
      </c>
      <c r="G126">
        <f>_xlfn.XLOOKUP(B126,Sheet1!A:A,Sheet1!F:F)</f>
        <v>5</v>
      </c>
      <c r="H126" t="str" cm="1">
        <f t="array" aca="1" ref="H126" ca="1">INDEX(Sheet1!$G$2:$G$3, RANDBETWEEN(1, ROWS(Sheet1!$G$2:$G$3)))</f>
        <v>No</v>
      </c>
    </row>
    <row r="127" spans="1:8" x14ac:dyDescent="0.3">
      <c r="A127" s="2" t="str" cm="1">
        <f t="array" aca="1" ref="A127" ca="1">INDEX(Sheet1!$A$2:$A$46, RANDBETWEEN(1,ROWS(Sheet1!$A$2:$A$46)))</f>
        <v>B029</v>
      </c>
      <c r="B127" s="2" t="s">
        <v>83</v>
      </c>
      <c r="C127" t="str">
        <f>_xlfn.XLOOKUP(B127, Sheet1!A:A, Sheet1!B:B)</f>
        <v>pumpkin spice muffins</v>
      </c>
      <c r="D127">
        <f>_xlfn.XLOOKUP(B127,Sheet1!A:A,Sheet1!C:C)</f>
        <v>10</v>
      </c>
      <c r="E127">
        <f>_xlfn.XLOOKUP(B127,Sheet1!A:A,Sheet1!D:D)</f>
        <v>4.5</v>
      </c>
      <c r="F127">
        <f>_xlfn.XLOOKUP(Sheet3!B127,Sheet1!A:A,Sheet1!E:E)</f>
        <v>4</v>
      </c>
      <c r="G127">
        <f>_xlfn.XLOOKUP(B127,Sheet1!A:A,Sheet1!F:F)</f>
        <v>10</v>
      </c>
      <c r="H127" cm="1">
        <f t="array" aca="1" ref="H127" ca="1">INDEX(Sheet1!$G$2:$G$3, RANDBETWEEN(1, ROWS(Sheet1!$G$2:$G$3)))</f>
        <v>0</v>
      </c>
    </row>
    <row r="128" spans="1:8" x14ac:dyDescent="0.3">
      <c r="A128" s="2" t="str" cm="1">
        <f t="array" aca="1" ref="A128" ca="1">INDEX(Sheet1!$A$2:$A$46, RANDBETWEEN(1,ROWS(Sheet1!$A$2:$A$46)))</f>
        <v>B030</v>
      </c>
      <c r="B128" s="2" t="s">
        <v>82</v>
      </c>
      <c r="C128" t="str">
        <f>_xlfn.XLOOKUP(B128, Sheet1!A:A, Sheet1!B:B)</f>
        <v>white square cake</v>
      </c>
      <c r="D128">
        <f>_xlfn.XLOOKUP(B128,Sheet1!A:A,Sheet1!C:C)</f>
        <v>8</v>
      </c>
      <c r="E128">
        <f>_xlfn.XLOOKUP(B128,Sheet1!A:A,Sheet1!D:D)</f>
        <v>2.5</v>
      </c>
      <c r="F128">
        <f>_xlfn.XLOOKUP(Sheet3!B128,Sheet1!A:A,Sheet1!E:E)</f>
        <v>2</v>
      </c>
      <c r="G128">
        <f>_xlfn.XLOOKUP(B128,Sheet1!A:A,Sheet1!F:F)</f>
        <v>5</v>
      </c>
      <c r="H128" t="str" cm="1">
        <f t="array" aca="1" ref="H128" ca="1">INDEX(Sheet1!$G$2:$G$3, RANDBETWEEN(1, ROWS(Sheet1!$G$2:$G$3)))</f>
        <v>No</v>
      </c>
    </row>
    <row r="129" spans="1:8" x14ac:dyDescent="0.3">
      <c r="A129" s="2" t="str" cm="1">
        <f t="array" aca="1" ref="A129" ca="1">INDEX(Sheet1!$A$2:$A$46, RANDBETWEEN(1,ROWS(Sheet1!$A$2:$A$46)))</f>
        <v>B017</v>
      </c>
      <c r="B129" s="2" t="s">
        <v>39</v>
      </c>
      <c r="C129" t="str">
        <f>_xlfn.XLOOKUP(B129, Sheet1!A:A, Sheet1!B:B)</f>
        <v>macadamia nut cookies</v>
      </c>
      <c r="D129">
        <f>_xlfn.XLOOKUP(B129,Sheet1!A:A,Sheet1!C:C)</f>
        <v>12</v>
      </c>
      <c r="E129">
        <f>_xlfn.XLOOKUP(B129,Sheet1!A:A,Sheet1!D:D)</f>
        <v>3.5</v>
      </c>
      <c r="F129">
        <f>_xlfn.XLOOKUP(Sheet3!B129,Sheet1!A:A,Sheet1!E:E)</f>
        <v>3</v>
      </c>
      <c r="G129">
        <f>_xlfn.XLOOKUP(B129,Sheet1!A:A,Sheet1!F:F)</f>
        <v>14</v>
      </c>
      <c r="H129" cm="1">
        <f t="array" aca="1" ref="H129" ca="1">INDEX(Sheet1!$G$2:$G$3, RANDBETWEEN(1, ROWS(Sheet1!$G$2:$G$3)))</f>
        <v>0</v>
      </c>
    </row>
    <row r="130" spans="1:8" x14ac:dyDescent="0.3">
      <c r="A130" s="2" t="str" cm="1">
        <f t="array" aca="1" ref="A130" ca="1">INDEX(Sheet1!$A$2:$A$46, RANDBETWEEN(1,ROWS(Sheet1!$A$2:$A$46)))</f>
        <v>B032</v>
      </c>
      <c r="B130" s="2" t="s">
        <v>66</v>
      </c>
      <c r="C130" t="str">
        <f>_xlfn.XLOOKUP(B130, Sheet1!A:A, Sheet1!B:B)</f>
        <v>pumpernickel bread</v>
      </c>
      <c r="D130">
        <f>_xlfn.XLOOKUP(B130,Sheet1!A:A,Sheet1!C:C)</f>
        <v>8</v>
      </c>
      <c r="E130">
        <f>_xlfn.XLOOKUP(B130,Sheet1!A:A,Sheet1!D:D)</f>
        <v>3.5</v>
      </c>
      <c r="F130">
        <f>_xlfn.XLOOKUP(Sheet3!B130,Sheet1!A:A,Sheet1!E:E)</f>
        <v>3</v>
      </c>
      <c r="G130">
        <f>_xlfn.XLOOKUP(B130,Sheet1!A:A,Sheet1!F:F)</f>
        <v>8</v>
      </c>
      <c r="H130" t="str" cm="1">
        <f t="array" aca="1" ref="H130" ca="1">INDEX(Sheet1!$G$2:$G$3, RANDBETWEEN(1, ROWS(Sheet1!$G$2:$G$3)))</f>
        <v>No</v>
      </c>
    </row>
    <row r="131" spans="1:8" x14ac:dyDescent="0.3">
      <c r="A131" s="2" t="str" cm="1">
        <f t="array" aca="1" ref="A131" ca="1">INDEX(Sheet1!$A$2:$A$46, RANDBETWEEN(1,ROWS(Sheet1!$A$2:$A$46)))</f>
        <v>B029</v>
      </c>
      <c r="B131" s="2" t="s">
        <v>22</v>
      </c>
      <c r="C131" t="str">
        <f>_xlfn.XLOOKUP(B131, Sheet1!A:A, Sheet1!B:B)</f>
        <v>chocolate chip cookies</v>
      </c>
      <c r="D131">
        <f>_xlfn.XLOOKUP(B131,Sheet1!A:A,Sheet1!C:C)</f>
        <v>12</v>
      </c>
      <c r="E131">
        <f>_xlfn.XLOOKUP(B131,Sheet1!A:A,Sheet1!D:D)</f>
        <v>3.5</v>
      </c>
      <c r="F131">
        <f>_xlfn.XLOOKUP(Sheet3!B131,Sheet1!A:A,Sheet1!E:E)</f>
        <v>3</v>
      </c>
      <c r="G131">
        <f>_xlfn.XLOOKUP(B131,Sheet1!A:A,Sheet1!F:F)</f>
        <v>14</v>
      </c>
      <c r="H131" t="str" cm="1">
        <f t="array" aca="1" ref="H131" ca="1">INDEX(Sheet1!$G$2:$G$3, RANDBETWEEN(1, ROWS(Sheet1!$G$2:$G$3)))</f>
        <v>No</v>
      </c>
    </row>
    <row r="132" spans="1:8" x14ac:dyDescent="0.3">
      <c r="A132" s="2" t="str" cm="1">
        <f t="array" aca="1" ref="A132" ca="1">INDEX(Sheet1!$A$2:$A$46, RANDBETWEEN(1,ROWS(Sheet1!$A$2:$A$46)))</f>
        <v>B017</v>
      </c>
      <c r="B132" s="2" t="s">
        <v>80</v>
      </c>
      <c r="C132" t="str">
        <f>_xlfn.XLOOKUP(B132, Sheet1!A:A, Sheet1!B:B)</f>
        <v>carrot square cake</v>
      </c>
      <c r="D132">
        <f>_xlfn.XLOOKUP(B132,Sheet1!A:A,Sheet1!C:C)</f>
        <v>8</v>
      </c>
      <c r="E132">
        <f>_xlfn.XLOOKUP(B132,Sheet1!A:A,Sheet1!D:D)</f>
        <v>2.5</v>
      </c>
      <c r="F132">
        <f>_xlfn.XLOOKUP(Sheet3!B132,Sheet1!A:A,Sheet1!E:E)</f>
        <v>2</v>
      </c>
      <c r="G132">
        <f>_xlfn.XLOOKUP(B132,Sheet1!A:A,Sheet1!F:F)</f>
        <v>5</v>
      </c>
      <c r="H132" t="str" cm="1">
        <f t="array" aca="1" ref="H132" ca="1">INDEX(Sheet1!$G$2:$G$3, RANDBETWEEN(1, ROWS(Sheet1!$G$2:$G$3)))</f>
        <v>No</v>
      </c>
    </row>
    <row r="133" spans="1:8" x14ac:dyDescent="0.3">
      <c r="A133" s="2" t="str" cm="1">
        <f t="array" aca="1" ref="A133" ca="1">INDEX(Sheet1!$A$2:$A$46, RANDBETWEEN(1,ROWS(Sheet1!$A$2:$A$46)))</f>
        <v>B024</v>
      </c>
      <c r="B133" s="2" t="s">
        <v>64</v>
      </c>
      <c r="C133" t="str">
        <f>_xlfn.XLOOKUP(B133, Sheet1!A:A, Sheet1!B:B)</f>
        <v>marble bread</v>
      </c>
      <c r="D133">
        <f>_xlfn.XLOOKUP(B133,Sheet1!A:A,Sheet1!C:C)</f>
        <v>8</v>
      </c>
      <c r="E133">
        <f>_xlfn.XLOOKUP(B133,Sheet1!A:A,Sheet1!D:D)</f>
        <v>3.5</v>
      </c>
      <c r="F133">
        <f>_xlfn.XLOOKUP(Sheet3!B133,Sheet1!A:A,Sheet1!E:E)</f>
        <v>3</v>
      </c>
      <c r="G133">
        <f>_xlfn.XLOOKUP(B133,Sheet1!A:A,Sheet1!F:F)</f>
        <v>8</v>
      </c>
      <c r="H133" t="str" cm="1">
        <f t="array" aca="1" ref="H133" ca="1">INDEX(Sheet1!$G$2:$G$3, RANDBETWEEN(1, ROWS(Sheet1!$G$2:$G$3)))</f>
        <v>No</v>
      </c>
    </row>
    <row r="134" spans="1:8" x14ac:dyDescent="0.3">
      <c r="A134" s="2" t="str" cm="1">
        <f t="array" aca="1" ref="A134" ca="1">INDEX(Sheet1!$A$2:$A$46, RANDBETWEEN(1,ROWS(Sheet1!$A$2:$A$46)))</f>
        <v>B013</v>
      </c>
      <c r="B134" s="2" t="s">
        <v>34</v>
      </c>
      <c r="C134" t="str">
        <f>_xlfn.XLOOKUP(B134, Sheet1!A:A, Sheet1!B:B)</f>
        <v>almond croissant</v>
      </c>
      <c r="D134">
        <f>_xlfn.XLOOKUP(B134,Sheet1!A:A,Sheet1!C:C)</f>
        <v>6</v>
      </c>
      <c r="E134">
        <f>_xlfn.XLOOKUP(B134,Sheet1!A:A,Sheet1!D:D)</f>
        <v>3.5</v>
      </c>
      <c r="F134">
        <f>_xlfn.XLOOKUP(Sheet3!B134,Sheet1!A:A,Sheet1!E:E)</f>
        <v>3</v>
      </c>
      <c r="G134">
        <f>_xlfn.XLOOKUP(B134,Sheet1!A:A,Sheet1!F:F)</f>
        <v>10</v>
      </c>
      <c r="H134" t="str" cm="1">
        <f t="array" aca="1" ref="H134" ca="1">INDEX(Sheet1!$G$2:$G$3, RANDBETWEEN(1, ROWS(Sheet1!$G$2:$G$3)))</f>
        <v>No</v>
      </c>
    </row>
    <row r="135" spans="1:8" x14ac:dyDescent="0.3">
      <c r="A135" s="2" t="str" cm="1">
        <f t="array" aca="1" ref="A135" ca="1">INDEX(Sheet1!$A$2:$A$46, RANDBETWEEN(1,ROWS(Sheet1!$A$2:$A$46)))</f>
        <v>B010</v>
      </c>
      <c r="B135" s="2" t="s">
        <v>20</v>
      </c>
      <c r="C135" t="str">
        <f>_xlfn.XLOOKUP(B135, Sheet1!A:A, Sheet1!B:B)</f>
        <v>banana nut muffins</v>
      </c>
      <c r="D135">
        <f>_xlfn.XLOOKUP(B135,Sheet1!A:A,Sheet1!C:C)</f>
        <v>10</v>
      </c>
      <c r="E135">
        <f>_xlfn.XLOOKUP(B135,Sheet1!A:A,Sheet1!D:D)</f>
        <v>4.5</v>
      </c>
      <c r="F135">
        <f>_xlfn.XLOOKUP(Sheet3!B135,Sheet1!A:A,Sheet1!E:E)</f>
        <v>4</v>
      </c>
      <c r="G135">
        <f>_xlfn.XLOOKUP(B135,Sheet1!A:A,Sheet1!F:F)</f>
        <v>10</v>
      </c>
      <c r="H135" t="str" cm="1">
        <f t="array" aca="1" ref="H135" ca="1">INDEX(Sheet1!$G$2:$G$3, RANDBETWEEN(1, ROWS(Sheet1!$G$2:$G$3)))</f>
        <v>No</v>
      </c>
    </row>
    <row r="136" spans="1:8" x14ac:dyDescent="0.3">
      <c r="A136" s="2" t="str" cm="1">
        <f t="array" aca="1" ref="A136" ca="1">INDEX(Sheet1!$A$2:$A$46, RANDBETWEEN(1,ROWS(Sheet1!$A$2:$A$46)))</f>
        <v>B025</v>
      </c>
      <c r="B136" s="2" t="s">
        <v>89</v>
      </c>
      <c r="C136" t="str">
        <f>_xlfn.XLOOKUP(B136, Sheet1!A:A, Sheet1!B:B)</f>
        <v>blueberry bagels</v>
      </c>
      <c r="D136">
        <f>_xlfn.XLOOKUP(B136,Sheet1!A:A,Sheet1!C:C)</f>
        <v>8</v>
      </c>
      <c r="E136">
        <f>_xlfn.XLOOKUP(B136,Sheet1!A:A,Sheet1!D:D)</f>
        <v>3.5</v>
      </c>
      <c r="F136">
        <f>_xlfn.XLOOKUP(Sheet3!B136,Sheet1!A:A,Sheet1!E:E)</f>
        <v>3</v>
      </c>
      <c r="G136">
        <f>_xlfn.XLOOKUP(B136,Sheet1!A:A,Sheet1!F:F)</f>
        <v>8</v>
      </c>
      <c r="H136" t="str" cm="1">
        <f t="array" aca="1" ref="H136" ca="1">INDEX(Sheet1!$G$2:$G$3, RANDBETWEEN(1, ROWS(Sheet1!$G$2:$G$3)))</f>
        <v>No</v>
      </c>
    </row>
    <row r="137" spans="1:8" x14ac:dyDescent="0.3">
      <c r="A137" s="2" t="str" cm="1">
        <f t="array" aca="1" ref="A137" ca="1">INDEX(Sheet1!$A$2:$A$46, RANDBETWEEN(1,ROWS(Sheet1!$A$2:$A$46)))</f>
        <v>B026</v>
      </c>
      <c r="B137" s="2" t="s">
        <v>63</v>
      </c>
      <c r="C137" t="str">
        <f>_xlfn.XLOOKUP(B137, Sheet1!A:A, Sheet1!B:B)</f>
        <v>chocolate sliced loaf cake</v>
      </c>
      <c r="D137">
        <f>_xlfn.XLOOKUP(B137,Sheet1!A:A,Sheet1!C:C)</f>
        <v>10</v>
      </c>
      <c r="E137">
        <f>_xlfn.XLOOKUP(B137,Sheet1!A:A,Sheet1!D:D)</f>
        <v>4</v>
      </c>
      <c r="F137">
        <f>_xlfn.XLOOKUP(Sheet3!B137,Sheet1!A:A,Sheet1!E:E)</f>
        <v>3.5</v>
      </c>
      <c r="G137">
        <f>_xlfn.XLOOKUP(B137,Sheet1!A:A,Sheet1!F:F)</f>
        <v>10</v>
      </c>
      <c r="H137" t="str" cm="1">
        <f t="array" aca="1" ref="H137" ca="1">INDEX(Sheet1!$G$2:$G$3, RANDBETWEEN(1, ROWS(Sheet1!$G$2:$G$3)))</f>
        <v>No</v>
      </c>
    </row>
    <row r="138" spans="1:8" x14ac:dyDescent="0.3">
      <c r="A138" s="2" t="str" cm="1">
        <f t="array" aca="1" ref="A138" ca="1">INDEX(Sheet1!$A$2:$A$46, RANDBETWEEN(1,ROWS(Sheet1!$A$2:$A$46)))</f>
        <v>B037</v>
      </c>
      <c r="B138" s="2" t="s">
        <v>84</v>
      </c>
      <c r="C138" t="str">
        <f>_xlfn.XLOOKUP(B138, Sheet1!A:A, Sheet1!B:B)</f>
        <v>plain bagels</v>
      </c>
      <c r="D138">
        <f>_xlfn.XLOOKUP(B138,Sheet1!A:A,Sheet1!C:C)</f>
        <v>8</v>
      </c>
      <c r="E138">
        <f>_xlfn.XLOOKUP(B138,Sheet1!A:A,Sheet1!D:D)</f>
        <v>3.5</v>
      </c>
      <c r="F138">
        <f>_xlfn.XLOOKUP(Sheet3!B138,Sheet1!A:A,Sheet1!E:E)</f>
        <v>3</v>
      </c>
      <c r="G138">
        <f>_xlfn.XLOOKUP(B138,Sheet1!A:A,Sheet1!F:F)</f>
        <v>8</v>
      </c>
      <c r="H138" t="str" cm="1">
        <f t="array" aca="1" ref="H138" ca="1">INDEX(Sheet1!$G$2:$G$3, RANDBETWEEN(1, ROWS(Sheet1!$G$2:$G$3)))</f>
        <v>No</v>
      </c>
    </row>
    <row r="139" spans="1:8" x14ac:dyDescent="0.3">
      <c r="A139" s="2" t="str" cm="1">
        <f t="array" aca="1" ref="A139" ca="1">INDEX(Sheet1!$A$2:$A$46, RANDBETWEEN(1,ROWS(Sheet1!$A$2:$A$46)))</f>
        <v>B017</v>
      </c>
      <c r="B139" s="2" t="s">
        <v>63</v>
      </c>
      <c r="C139" t="str">
        <f>_xlfn.XLOOKUP(B139, Sheet1!A:A, Sheet1!B:B)</f>
        <v>chocolate sliced loaf cake</v>
      </c>
      <c r="D139">
        <f>_xlfn.XLOOKUP(B139,Sheet1!A:A,Sheet1!C:C)</f>
        <v>10</v>
      </c>
      <c r="E139">
        <f>_xlfn.XLOOKUP(B139,Sheet1!A:A,Sheet1!D:D)</f>
        <v>4</v>
      </c>
      <c r="F139">
        <f>_xlfn.XLOOKUP(Sheet3!B139,Sheet1!A:A,Sheet1!E:E)</f>
        <v>3.5</v>
      </c>
      <c r="G139">
        <f>_xlfn.XLOOKUP(B139,Sheet1!A:A,Sheet1!F:F)</f>
        <v>10</v>
      </c>
      <c r="H139" cm="1">
        <f t="array" aca="1" ref="H139" ca="1">INDEX(Sheet1!$G$2:$G$3, RANDBETWEEN(1, ROWS(Sheet1!$G$2:$G$3)))</f>
        <v>0</v>
      </c>
    </row>
    <row r="140" spans="1:8" x14ac:dyDescent="0.3">
      <c r="A140" s="2" t="str" cm="1">
        <f t="array" aca="1" ref="A140" ca="1">INDEX(Sheet1!$A$2:$A$46, RANDBETWEEN(1,ROWS(Sheet1!$A$2:$A$46)))</f>
        <v>B040</v>
      </c>
      <c r="B140" s="2" t="s">
        <v>92</v>
      </c>
      <c r="C140" t="str">
        <f>_xlfn.XLOOKUP(B140, Sheet1!A:A, Sheet1!B:B)</f>
        <v>square brownies</v>
      </c>
      <c r="D140">
        <f>_xlfn.XLOOKUP(B140,Sheet1!A:A,Sheet1!C:C)</f>
        <v>6</v>
      </c>
      <c r="E140">
        <f>_xlfn.XLOOKUP(B140,Sheet1!A:A,Sheet1!D:D)</f>
        <v>4.5</v>
      </c>
      <c r="F140">
        <f>_xlfn.XLOOKUP(Sheet3!B140,Sheet1!A:A,Sheet1!E:E)</f>
        <v>4</v>
      </c>
      <c r="G140">
        <f>_xlfn.XLOOKUP(B140,Sheet1!A:A,Sheet1!F:F)</f>
        <v>14</v>
      </c>
      <c r="H140" t="str" cm="1">
        <f t="array" aca="1" ref="H140" ca="1">INDEX(Sheet1!$G$2:$G$3, RANDBETWEEN(1, ROWS(Sheet1!$G$2:$G$3)))</f>
        <v>No</v>
      </c>
    </row>
    <row r="141" spans="1:8" x14ac:dyDescent="0.3">
      <c r="A141" s="2" t="str" cm="1">
        <f t="array" aca="1" ref="A141" ca="1">INDEX(Sheet1!$A$2:$A$46, RANDBETWEEN(1,ROWS(Sheet1!$A$2:$A$46)))</f>
        <v>B026</v>
      </c>
      <c r="B141" s="2" t="s">
        <v>16</v>
      </c>
      <c r="C141" t="str">
        <f>_xlfn.XLOOKUP(B141, Sheet1!A:A, Sheet1!B:B)</f>
        <v>mini croissant</v>
      </c>
      <c r="D141">
        <f>_xlfn.XLOOKUP(B141,Sheet1!A:A,Sheet1!C:C)</f>
        <v>10</v>
      </c>
      <c r="E141">
        <f>_xlfn.XLOOKUP(B141,Sheet1!A:A,Sheet1!D:D)</f>
        <v>5.5</v>
      </c>
      <c r="F141">
        <f>_xlfn.XLOOKUP(Sheet3!B141,Sheet1!A:A,Sheet1!E:E)</f>
        <v>4.5</v>
      </c>
      <c r="G141">
        <f>_xlfn.XLOOKUP(B141,Sheet1!A:A,Sheet1!F:F)</f>
        <v>7</v>
      </c>
      <c r="H141" cm="1">
        <f t="array" aca="1" ref="H141" ca="1">INDEX(Sheet1!$G$2:$G$3, RANDBETWEEN(1, ROWS(Sheet1!$G$2:$G$3)))</f>
        <v>0</v>
      </c>
    </row>
    <row r="142" spans="1:8" x14ac:dyDescent="0.3">
      <c r="A142" s="2" t="str" cm="1">
        <f t="array" aca="1" ref="A142" ca="1">INDEX(Sheet1!$A$2:$A$46, RANDBETWEEN(1,ROWS(Sheet1!$A$2:$A$46)))</f>
        <v>B002</v>
      </c>
      <c r="B142" s="2" t="s">
        <v>56</v>
      </c>
      <c r="C142" t="str">
        <f>_xlfn.XLOOKUP(B142, Sheet1!A:A, Sheet1!B:B)</f>
        <v>assorted cupcakes </v>
      </c>
      <c r="D142">
        <f>_xlfn.XLOOKUP(B142,Sheet1!A:A,Sheet1!C:C)</f>
        <v>8</v>
      </c>
      <c r="E142">
        <f>_xlfn.XLOOKUP(B142,Sheet1!A:A,Sheet1!D:D)</f>
        <v>6</v>
      </c>
      <c r="F142">
        <f>_xlfn.XLOOKUP(Sheet3!B142,Sheet1!A:A,Sheet1!E:E)</f>
        <v>5.5</v>
      </c>
      <c r="G142">
        <f>_xlfn.XLOOKUP(B142,Sheet1!A:A,Sheet1!F:F)</f>
        <v>20</v>
      </c>
      <c r="H142" t="str" cm="1">
        <f t="array" aca="1" ref="H142" ca="1">INDEX(Sheet1!$G$2:$G$3, RANDBETWEEN(1, ROWS(Sheet1!$G$2:$G$3)))</f>
        <v>No</v>
      </c>
    </row>
    <row r="143" spans="1:8" x14ac:dyDescent="0.3">
      <c r="A143" s="2" t="str" cm="1">
        <f t="array" aca="1" ref="A143" ca="1">INDEX(Sheet1!$A$2:$A$46, RANDBETWEEN(1,ROWS(Sheet1!$A$2:$A$46)))</f>
        <v>B037</v>
      </c>
      <c r="B143" s="2" t="s">
        <v>58</v>
      </c>
      <c r="C143" t="str">
        <f>_xlfn.XLOOKUP(B143, Sheet1!A:A, Sheet1!B:B)</f>
        <v>cookies &amp; creme cupcakes</v>
      </c>
      <c r="D143">
        <f>_xlfn.XLOOKUP(B143,Sheet1!A:A,Sheet1!C:C)</f>
        <v>15</v>
      </c>
      <c r="E143">
        <f>_xlfn.XLOOKUP(B143,Sheet1!A:A,Sheet1!D:D)</f>
        <v>6</v>
      </c>
      <c r="F143">
        <f>_xlfn.XLOOKUP(Sheet3!B143,Sheet1!A:A,Sheet1!E:E)</f>
        <v>5.5</v>
      </c>
      <c r="G143">
        <f>_xlfn.XLOOKUP(B143,Sheet1!A:A,Sheet1!F:F)</f>
        <v>20</v>
      </c>
      <c r="H143" cm="1">
        <f t="array" aca="1" ref="H143" ca="1">INDEX(Sheet1!$G$2:$G$3, RANDBETWEEN(1, ROWS(Sheet1!$G$2:$G$3)))</f>
        <v>0</v>
      </c>
    </row>
    <row r="144" spans="1:8" x14ac:dyDescent="0.3">
      <c r="A144" s="2" t="str" cm="1">
        <f t="array" aca="1" ref="A144" ca="1">INDEX(Sheet1!$A$2:$A$46, RANDBETWEEN(1,ROWS(Sheet1!$A$2:$A$46)))</f>
        <v>B041</v>
      </c>
      <c r="B144" s="2" t="s">
        <v>37</v>
      </c>
      <c r="C144" t="str">
        <f>_xlfn.XLOOKUP(B144, Sheet1!A:A, Sheet1!B:B)</f>
        <v>sugar cookies</v>
      </c>
      <c r="D144">
        <f>_xlfn.XLOOKUP(B144,Sheet1!A:A,Sheet1!C:C)</f>
        <v>12</v>
      </c>
      <c r="E144">
        <f>_xlfn.XLOOKUP(B144,Sheet1!A:A,Sheet1!D:D)</f>
        <v>3.5</v>
      </c>
      <c r="F144">
        <f>_xlfn.XLOOKUP(Sheet3!B144,Sheet1!A:A,Sheet1!E:E)</f>
        <v>3</v>
      </c>
      <c r="G144">
        <f>_xlfn.XLOOKUP(B144,Sheet1!A:A,Sheet1!F:F)</f>
        <v>14</v>
      </c>
      <c r="H144" t="str" cm="1">
        <f t="array" aca="1" ref="H144" ca="1">INDEX(Sheet1!$G$2:$G$3, RANDBETWEEN(1, ROWS(Sheet1!$G$2:$G$3)))</f>
        <v>No</v>
      </c>
    </row>
    <row r="145" spans="1:8" x14ac:dyDescent="0.3">
      <c r="A145" s="2" t="str" cm="1">
        <f t="array" aca="1" ref="A145" ca="1">INDEX(Sheet1!$A$2:$A$46, RANDBETWEEN(1,ROWS(Sheet1!$A$2:$A$46)))</f>
        <v>B006</v>
      </c>
      <c r="B145" s="2" t="s">
        <v>69</v>
      </c>
      <c r="C145" t="str">
        <f>_xlfn.XLOOKUP(B145, Sheet1!A:A, Sheet1!B:B)</f>
        <v>coconut creme pie</v>
      </c>
      <c r="D145">
        <f>_xlfn.XLOOKUP(B145,Sheet1!A:A,Sheet1!C:C)</f>
        <v>6</v>
      </c>
      <c r="E145">
        <f>_xlfn.XLOOKUP(B145,Sheet1!A:A,Sheet1!D:D)</f>
        <v>4</v>
      </c>
      <c r="F145">
        <f>_xlfn.XLOOKUP(Sheet3!B145,Sheet1!A:A,Sheet1!E:E)</f>
        <v>3</v>
      </c>
      <c r="G145">
        <f>_xlfn.XLOOKUP(B145,Sheet1!A:A,Sheet1!F:F)</f>
        <v>7</v>
      </c>
      <c r="H145" t="str" cm="1">
        <f t="array" aca="1" ref="H145" ca="1">INDEX(Sheet1!$G$2:$G$3, RANDBETWEEN(1, ROWS(Sheet1!$G$2:$G$3)))</f>
        <v>No</v>
      </c>
    </row>
    <row r="146" spans="1:8" x14ac:dyDescent="0.3">
      <c r="A146" s="2" t="str" cm="1">
        <f t="array" aca="1" ref="A146" ca="1">INDEX(Sheet1!$A$2:$A$46, RANDBETWEEN(1,ROWS(Sheet1!$A$2:$A$46)))</f>
        <v>B001</v>
      </c>
      <c r="B146" s="2" t="s">
        <v>56</v>
      </c>
      <c r="C146" t="str">
        <f>_xlfn.XLOOKUP(B146, Sheet1!A:A, Sheet1!B:B)</f>
        <v>assorted cupcakes </v>
      </c>
      <c r="D146">
        <f>_xlfn.XLOOKUP(B146,Sheet1!A:A,Sheet1!C:C)</f>
        <v>8</v>
      </c>
      <c r="E146">
        <f>_xlfn.XLOOKUP(B146,Sheet1!A:A,Sheet1!D:D)</f>
        <v>6</v>
      </c>
      <c r="F146">
        <f>_xlfn.XLOOKUP(Sheet3!B146,Sheet1!A:A,Sheet1!E:E)</f>
        <v>5.5</v>
      </c>
      <c r="G146">
        <f>_xlfn.XLOOKUP(B146,Sheet1!A:A,Sheet1!F:F)</f>
        <v>20</v>
      </c>
      <c r="H146" t="str" cm="1">
        <f t="array" aca="1" ref="H146" ca="1">INDEX(Sheet1!$G$2:$G$3, RANDBETWEEN(1, ROWS(Sheet1!$G$2:$G$3)))</f>
        <v>No</v>
      </c>
    </row>
    <row r="147" spans="1:8" x14ac:dyDescent="0.3">
      <c r="A147" s="2" t="str" cm="1">
        <f t="array" aca="1" ref="A147" ca="1">INDEX(Sheet1!$A$2:$A$46, RANDBETWEEN(1,ROWS(Sheet1!$A$2:$A$46)))</f>
        <v>B017</v>
      </c>
      <c r="B147" s="2" t="s">
        <v>38</v>
      </c>
      <c r="C147" t="str">
        <f>_xlfn.XLOOKUP(B147, Sheet1!A:A, Sheet1!B:B)</f>
        <v>snickerdoodle cookies</v>
      </c>
      <c r="D147">
        <f>_xlfn.XLOOKUP(B147,Sheet1!A:A,Sheet1!C:C)</f>
        <v>12</v>
      </c>
      <c r="E147">
        <f>_xlfn.XLOOKUP(B147,Sheet1!A:A,Sheet1!D:D)</f>
        <v>3.5</v>
      </c>
      <c r="F147">
        <f>_xlfn.XLOOKUP(Sheet3!B147,Sheet1!A:A,Sheet1!E:E)</f>
        <v>3</v>
      </c>
      <c r="G147">
        <f>_xlfn.XLOOKUP(B147,Sheet1!A:A,Sheet1!F:F)</f>
        <v>14</v>
      </c>
      <c r="H147" cm="1">
        <f t="array" aca="1" ref="H147" ca="1">INDEX(Sheet1!$G$2:$G$3, RANDBETWEEN(1, ROWS(Sheet1!$G$2:$G$3)))</f>
        <v>0</v>
      </c>
    </row>
    <row r="148" spans="1:8" x14ac:dyDescent="0.3">
      <c r="A148" s="2" t="str" cm="1">
        <f t="array" aca="1" ref="A148" ca="1">INDEX(Sheet1!$A$2:$A$46, RANDBETWEEN(1,ROWS(Sheet1!$A$2:$A$46)))</f>
        <v>B029</v>
      </c>
      <c r="B148" s="2" t="s">
        <v>70</v>
      </c>
      <c r="C148" t="str">
        <f>_xlfn.XLOOKUP(B148, Sheet1!A:A, Sheet1!B:B)</f>
        <v>pumpkin pie</v>
      </c>
      <c r="D148">
        <f>_xlfn.XLOOKUP(B148,Sheet1!A:A,Sheet1!C:C)</f>
        <v>6</v>
      </c>
      <c r="E148">
        <f>_xlfn.XLOOKUP(B148,Sheet1!A:A,Sheet1!D:D)</f>
        <v>4</v>
      </c>
      <c r="F148">
        <f>_xlfn.XLOOKUP(Sheet3!B148,Sheet1!A:A,Sheet1!E:E)</f>
        <v>3</v>
      </c>
      <c r="G148">
        <f>_xlfn.XLOOKUP(B148,Sheet1!A:A,Sheet1!F:F)</f>
        <v>7</v>
      </c>
      <c r="H148" t="str" cm="1">
        <f t="array" aca="1" ref="H148" ca="1">INDEX(Sheet1!$G$2:$G$3, RANDBETWEEN(1, ROWS(Sheet1!$G$2:$G$3)))</f>
        <v>No</v>
      </c>
    </row>
    <row r="149" spans="1:8" x14ac:dyDescent="0.3">
      <c r="A149" s="2" t="str" cm="1">
        <f t="array" aca="1" ref="A149" ca="1">INDEX(Sheet1!$A$2:$A$46, RANDBETWEEN(1,ROWS(Sheet1!$A$2:$A$46)))</f>
        <v>B005</v>
      </c>
      <c r="B149" s="2" t="s">
        <v>82</v>
      </c>
      <c r="C149" t="str">
        <f>_xlfn.XLOOKUP(B149, Sheet1!A:A, Sheet1!B:B)</f>
        <v>white square cake</v>
      </c>
      <c r="D149">
        <f>_xlfn.XLOOKUP(B149,Sheet1!A:A,Sheet1!C:C)</f>
        <v>8</v>
      </c>
      <c r="E149">
        <f>_xlfn.XLOOKUP(B149,Sheet1!A:A,Sheet1!D:D)</f>
        <v>2.5</v>
      </c>
      <c r="F149">
        <f>_xlfn.XLOOKUP(Sheet3!B149,Sheet1!A:A,Sheet1!E:E)</f>
        <v>2</v>
      </c>
      <c r="G149">
        <f>_xlfn.XLOOKUP(B149,Sheet1!A:A,Sheet1!F:F)</f>
        <v>5</v>
      </c>
      <c r="H149" t="str" cm="1">
        <f t="array" aca="1" ref="H149" ca="1">INDEX(Sheet1!$G$2:$G$3, RANDBETWEEN(1, ROWS(Sheet1!$G$2:$G$3)))</f>
        <v>No</v>
      </c>
    </row>
    <row r="150" spans="1:8" x14ac:dyDescent="0.3">
      <c r="A150" s="2" t="str" cm="1">
        <f t="array" aca="1" ref="A150" ca="1">INDEX(Sheet1!$A$2:$A$46, RANDBETWEEN(1,ROWS(Sheet1!$A$2:$A$46)))</f>
        <v>B004</v>
      </c>
      <c r="B150" s="2" t="s">
        <v>61</v>
      </c>
      <c r="C150" t="str">
        <f>_xlfn.XLOOKUP(B150, Sheet1!A:A, Sheet1!B:B)</f>
        <v>marble sliced loaf cake</v>
      </c>
      <c r="D150">
        <f>_xlfn.XLOOKUP(B150,Sheet1!A:A,Sheet1!C:C)</f>
        <v>10</v>
      </c>
      <c r="E150">
        <f>_xlfn.XLOOKUP(B150,Sheet1!A:A,Sheet1!D:D)</f>
        <v>4</v>
      </c>
      <c r="F150">
        <f>_xlfn.XLOOKUP(Sheet3!B150,Sheet1!A:A,Sheet1!E:E)</f>
        <v>3.5</v>
      </c>
      <c r="G150">
        <f>_xlfn.XLOOKUP(B150,Sheet1!A:A,Sheet1!F:F)</f>
        <v>10</v>
      </c>
      <c r="H150" cm="1">
        <f t="array" aca="1" ref="H150" ca="1">INDEX(Sheet1!$G$2:$G$3, RANDBETWEEN(1, ROWS(Sheet1!$G$2:$G$3)))</f>
        <v>0</v>
      </c>
    </row>
    <row r="151" spans="1:8" x14ac:dyDescent="0.3">
      <c r="A151" s="2" t="str" cm="1">
        <f t="array" aca="1" ref="A151" ca="1">INDEX(Sheet1!$A$2:$A$46, RANDBETWEEN(1,ROWS(Sheet1!$A$2:$A$46)))</f>
        <v>B008</v>
      </c>
      <c r="B151" s="2" t="s">
        <v>55</v>
      </c>
      <c r="C151" t="str">
        <f>_xlfn.XLOOKUP(B151, Sheet1!A:A, Sheet1!B:B)</f>
        <v>cookies &amp; creme cake</v>
      </c>
      <c r="D151">
        <f>_xlfn.XLOOKUP(B151,Sheet1!A:A,Sheet1!C:C)</f>
        <v>4</v>
      </c>
      <c r="E151">
        <f>_xlfn.XLOOKUP(B151,Sheet1!A:A,Sheet1!D:D)</f>
        <v>8.5</v>
      </c>
      <c r="F151">
        <f>_xlfn.XLOOKUP(Sheet3!B151,Sheet1!A:A,Sheet1!E:E)</f>
        <v>6</v>
      </c>
      <c r="G151">
        <f>_xlfn.XLOOKUP(B151,Sheet1!A:A,Sheet1!F:F)</f>
        <v>7</v>
      </c>
      <c r="H151" cm="1">
        <f t="array" aca="1" ref="H151" ca="1">INDEX(Sheet1!$G$2:$G$3, RANDBETWEEN(1, ROWS(Sheet1!$G$2:$G$3)))</f>
        <v>0</v>
      </c>
    </row>
    <row r="152" spans="1:8" x14ac:dyDescent="0.3">
      <c r="A152" s="2" t="str" cm="1">
        <f t="array" aca="1" ref="A152" ca="1">INDEX(Sheet1!$A$2:$A$46, RANDBETWEEN(1,ROWS(Sheet1!$A$2:$A$46)))</f>
        <v>B025</v>
      </c>
      <c r="B152" s="2" t="s">
        <v>39</v>
      </c>
      <c r="C152" t="str">
        <f>_xlfn.XLOOKUP(B152, Sheet1!A:A, Sheet1!B:B)</f>
        <v>macadamia nut cookies</v>
      </c>
      <c r="D152">
        <f>_xlfn.XLOOKUP(B152,Sheet1!A:A,Sheet1!C:C)</f>
        <v>12</v>
      </c>
      <c r="E152">
        <f>_xlfn.XLOOKUP(B152,Sheet1!A:A,Sheet1!D:D)</f>
        <v>3.5</v>
      </c>
      <c r="F152">
        <f>_xlfn.XLOOKUP(Sheet3!B152,Sheet1!A:A,Sheet1!E:E)</f>
        <v>3</v>
      </c>
      <c r="G152">
        <f>_xlfn.XLOOKUP(B152,Sheet1!A:A,Sheet1!F:F)</f>
        <v>14</v>
      </c>
      <c r="H152" cm="1">
        <f t="array" aca="1" ref="H152" ca="1">INDEX(Sheet1!$G$2:$G$3, RANDBETWEEN(1, ROWS(Sheet1!$G$2:$G$3)))</f>
        <v>0</v>
      </c>
    </row>
    <row r="153" spans="1:8" x14ac:dyDescent="0.3">
      <c r="A153" s="2" t="str" cm="1">
        <f t="array" aca="1" ref="A153" ca="1">INDEX(Sheet1!$A$2:$A$46, RANDBETWEEN(1,ROWS(Sheet1!$A$2:$A$46)))</f>
        <v>B042</v>
      </c>
      <c r="B153" s="2" t="s">
        <v>62</v>
      </c>
      <c r="C153" t="str">
        <f>_xlfn.XLOOKUP(B153, Sheet1!A:A, Sheet1!B:B)</f>
        <v>vanilla sliced loaf cake</v>
      </c>
      <c r="D153">
        <f>_xlfn.XLOOKUP(B153,Sheet1!A:A,Sheet1!C:C)</f>
        <v>10</v>
      </c>
      <c r="E153">
        <f>_xlfn.XLOOKUP(B153,Sheet1!A:A,Sheet1!D:D)</f>
        <v>4</v>
      </c>
      <c r="F153">
        <f>_xlfn.XLOOKUP(Sheet3!B153,Sheet1!A:A,Sheet1!E:E)</f>
        <v>3.5</v>
      </c>
      <c r="G153">
        <f>_xlfn.XLOOKUP(B153,Sheet1!A:A,Sheet1!F:F)</f>
        <v>10</v>
      </c>
      <c r="H153" t="str" cm="1">
        <f t="array" aca="1" ref="H153" ca="1">INDEX(Sheet1!$G$2:$G$3, RANDBETWEEN(1, ROWS(Sheet1!$G$2:$G$3)))</f>
        <v>No</v>
      </c>
    </row>
    <row r="154" spans="1:8" x14ac:dyDescent="0.3">
      <c r="A154" s="2" t="str" cm="1">
        <f t="array" aca="1" ref="A154" ca="1">INDEX(Sheet1!$A$2:$A$46, RANDBETWEEN(1,ROWS(Sheet1!$A$2:$A$46)))</f>
        <v>B015</v>
      </c>
      <c r="B154" s="2" t="s">
        <v>60</v>
      </c>
      <c r="C154" t="str">
        <f>_xlfn.XLOOKUP(B154, Sheet1!A:A, Sheet1!B:B)</f>
        <v>banana nut sliced loaf cake</v>
      </c>
      <c r="D154">
        <f>_xlfn.XLOOKUP(B154,Sheet1!A:A,Sheet1!C:C)</f>
        <v>10</v>
      </c>
      <c r="E154">
        <f>_xlfn.XLOOKUP(B154,Sheet1!A:A,Sheet1!D:D)</f>
        <v>4</v>
      </c>
      <c r="F154">
        <f>_xlfn.XLOOKUP(Sheet3!B154,Sheet1!A:A,Sheet1!E:E)</f>
        <v>3.5</v>
      </c>
      <c r="G154">
        <f>_xlfn.XLOOKUP(B154,Sheet1!A:A,Sheet1!F:F)</f>
        <v>10</v>
      </c>
      <c r="H154" t="str" cm="1">
        <f t="array" aca="1" ref="H154" ca="1">INDEX(Sheet1!$G$2:$G$3, RANDBETWEEN(1, ROWS(Sheet1!$G$2:$G$3)))</f>
        <v>No</v>
      </c>
    </row>
    <row r="155" spans="1:8" x14ac:dyDescent="0.3">
      <c r="A155" s="2" t="str" cm="1">
        <f t="array" aca="1" ref="A155" ca="1">INDEX(Sheet1!$A$2:$A$46, RANDBETWEEN(1,ROWS(Sheet1!$A$2:$A$46)))</f>
        <v>B026</v>
      </c>
      <c r="B155" s="2" t="s">
        <v>23</v>
      </c>
      <c r="C155" t="str">
        <f>_xlfn.XLOOKUP(B155, Sheet1!A:A, Sheet1!B:B)</f>
        <v>cheese cake</v>
      </c>
      <c r="D155">
        <f>_xlfn.XLOOKUP(B155,Sheet1!A:A,Sheet1!C:C)</f>
        <v>9</v>
      </c>
      <c r="E155">
        <f>_xlfn.XLOOKUP(B155,Sheet1!A:A,Sheet1!D:D)</f>
        <v>6.5</v>
      </c>
      <c r="F155">
        <f>_xlfn.XLOOKUP(Sheet3!B155,Sheet1!A:A,Sheet1!E:E)</f>
        <v>5.5</v>
      </c>
      <c r="G155">
        <f>_xlfn.XLOOKUP(B155,Sheet1!A:A,Sheet1!F:F)</f>
        <v>9</v>
      </c>
      <c r="H155" cm="1">
        <f t="array" aca="1" ref="H155" ca="1">INDEX(Sheet1!$G$2:$G$3, RANDBETWEEN(1, ROWS(Sheet1!$G$2:$G$3)))</f>
        <v>0</v>
      </c>
    </row>
    <row r="156" spans="1:8" x14ac:dyDescent="0.3">
      <c r="A156" s="2" t="str" cm="1">
        <f t="array" aca="1" ref="A156" ca="1">INDEX(Sheet1!$A$2:$A$46, RANDBETWEEN(1,ROWS(Sheet1!$A$2:$A$46)))</f>
        <v>B041</v>
      </c>
      <c r="B156" s="2" t="s">
        <v>69</v>
      </c>
      <c r="C156" t="str">
        <f>_xlfn.XLOOKUP(B156, Sheet1!A:A, Sheet1!B:B)</f>
        <v>coconut creme pie</v>
      </c>
      <c r="D156">
        <f>_xlfn.XLOOKUP(B156,Sheet1!A:A,Sheet1!C:C)</f>
        <v>6</v>
      </c>
      <c r="E156">
        <f>_xlfn.XLOOKUP(B156,Sheet1!A:A,Sheet1!D:D)</f>
        <v>4</v>
      </c>
      <c r="F156">
        <f>_xlfn.XLOOKUP(Sheet3!B156,Sheet1!A:A,Sheet1!E:E)</f>
        <v>3</v>
      </c>
      <c r="G156">
        <f>_xlfn.XLOOKUP(B156,Sheet1!A:A,Sheet1!F:F)</f>
        <v>7</v>
      </c>
      <c r="H156" cm="1">
        <f t="array" aca="1" ref="H156" ca="1">INDEX(Sheet1!$G$2:$G$3, RANDBETWEEN(1, ROWS(Sheet1!$G$2:$G$3)))</f>
        <v>0</v>
      </c>
    </row>
    <row r="157" spans="1:8" x14ac:dyDescent="0.3">
      <c r="A157" s="2" t="str" cm="1">
        <f t="array" aca="1" ref="A157" ca="1">INDEX(Sheet1!$A$2:$A$46, RANDBETWEEN(1,ROWS(Sheet1!$A$2:$A$46)))</f>
        <v>B032</v>
      </c>
      <c r="B157" s="2" t="s">
        <v>58</v>
      </c>
      <c r="C157" t="str">
        <f>_xlfn.XLOOKUP(B157, Sheet1!A:A, Sheet1!B:B)</f>
        <v>cookies &amp; creme cupcakes</v>
      </c>
      <c r="D157">
        <f>_xlfn.XLOOKUP(B157,Sheet1!A:A,Sheet1!C:C)</f>
        <v>15</v>
      </c>
      <c r="E157">
        <f>_xlfn.XLOOKUP(B157,Sheet1!A:A,Sheet1!D:D)</f>
        <v>6</v>
      </c>
      <c r="F157">
        <f>_xlfn.XLOOKUP(Sheet3!B157,Sheet1!A:A,Sheet1!E:E)</f>
        <v>5.5</v>
      </c>
      <c r="G157">
        <f>_xlfn.XLOOKUP(B157,Sheet1!A:A,Sheet1!F:F)</f>
        <v>20</v>
      </c>
      <c r="H157" t="str" cm="1">
        <f t="array" aca="1" ref="H157" ca="1">INDEX(Sheet1!$G$2:$G$3, RANDBETWEEN(1, ROWS(Sheet1!$G$2:$G$3)))</f>
        <v>No</v>
      </c>
    </row>
    <row r="158" spans="1:8" x14ac:dyDescent="0.3">
      <c r="A158" s="2" t="str" cm="1">
        <f t="array" aca="1" ref="A158" ca="1">INDEX(Sheet1!$A$2:$A$46, RANDBETWEEN(1,ROWS(Sheet1!$A$2:$A$46)))</f>
        <v>B030</v>
      </c>
      <c r="B158" s="2" t="s">
        <v>67</v>
      </c>
      <c r="C158" t="str">
        <f>_xlfn.XLOOKUP(B158, Sheet1!A:A, Sheet1!B:B)</f>
        <v>seeded bread</v>
      </c>
      <c r="D158">
        <f>_xlfn.XLOOKUP(B158,Sheet1!A:A,Sheet1!C:C)</f>
        <v>8</v>
      </c>
      <c r="E158">
        <f>_xlfn.XLOOKUP(B158,Sheet1!A:A,Sheet1!D:D)</f>
        <v>3.5</v>
      </c>
      <c r="F158">
        <f>_xlfn.XLOOKUP(Sheet3!B158,Sheet1!A:A,Sheet1!E:E)</f>
        <v>3</v>
      </c>
      <c r="G158">
        <f>_xlfn.XLOOKUP(B158,Sheet1!A:A,Sheet1!F:F)</f>
        <v>8</v>
      </c>
      <c r="H158" t="str" cm="1">
        <f t="array" aca="1" ref="H158" ca="1">INDEX(Sheet1!$G$2:$G$3, RANDBETWEEN(1, ROWS(Sheet1!$G$2:$G$3)))</f>
        <v>No</v>
      </c>
    </row>
    <row r="159" spans="1:8" x14ac:dyDescent="0.3">
      <c r="A159" s="2" t="str" cm="1">
        <f t="array" aca="1" ref="A159" ca="1">INDEX(Sheet1!$A$2:$A$46, RANDBETWEEN(1,ROWS(Sheet1!$A$2:$A$46)))</f>
        <v>B023</v>
      </c>
      <c r="B159" s="2" t="s">
        <v>66</v>
      </c>
      <c r="C159" t="str">
        <f>_xlfn.XLOOKUP(B159, Sheet1!A:A, Sheet1!B:B)</f>
        <v>pumpernickel bread</v>
      </c>
      <c r="D159">
        <f>_xlfn.XLOOKUP(B159,Sheet1!A:A,Sheet1!C:C)</f>
        <v>8</v>
      </c>
      <c r="E159">
        <f>_xlfn.XLOOKUP(B159,Sheet1!A:A,Sheet1!D:D)</f>
        <v>3.5</v>
      </c>
      <c r="F159">
        <f>_xlfn.XLOOKUP(Sheet3!B159,Sheet1!A:A,Sheet1!E:E)</f>
        <v>3</v>
      </c>
      <c r="G159">
        <f>_xlfn.XLOOKUP(B159,Sheet1!A:A,Sheet1!F:F)</f>
        <v>8</v>
      </c>
      <c r="H159" cm="1">
        <f t="array" aca="1" ref="H159" ca="1">INDEX(Sheet1!$G$2:$G$3, RANDBETWEEN(1, ROWS(Sheet1!$G$2:$G$3)))</f>
        <v>0</v>
      </c>
    </row>
    <row r="160" spans="1:8" x14ac:dyDescent="0.3">
      <c r="A160" s="2" t="str" cm="1">
        <f t="array" aca="1" ref="A160" ca="1">INDEX(Sheet1!$A$2:$A$46, RANDBETWEEN(1,ROWS(Sheet1!$A$2:$A$46)))</f>
        <v>B023</v>
      </c>
      <c r="B160" s="2" t="s">
        <v>89</v>
      </c>
      <c r="C160" t="str">
        <f>_xlfn.XLOOKUP(B160, Sheet1!A:A, Sheet1!B:B)</f>
        <v>blueberry bagels</v>
      </c>
      <c r="D160">
        <f>_xlfn.XLOOKUP(B160,Sheet1!A:A,Sheet1!C:C)</f>
        <v>8</v>
      </c>
      <c r="E160">
        <f>_xlfn.XLOOKUP(B160,Sheet1!A:A,Sheet1!D:D)</f>
        <v>3.5</v>
      </c>
      <c r="F160">
        <f>_xlfn.XLOOKUP(Sheet3!B160,Sheet1!A:A,Sheet1!E:E)</f>
        <v>3</v>
      </c>
      <c r="G160">
        <f>_xlfn.XLOOKUP(B160,Sheet1!A:A,Sheet1!F:F)</f>
        <v>8</v>
      </c>
      <c r="H160" cm="1">
        <f t="array" aca="1" ref="H160" ca="1">INDEX(Sheet1!$G$2:$G$3, RANDBETWEEN(1, ROWS(Sheet1!$G$2:$G$3)))</f>
        <v>0</v>
      </c>
    </row>
    <row r="161" spans="1:8" x14ac:dyDescent="0.3">
      <c r="A161" s="2" t="str" cm="1">
        <f t="array" aca="1" ref="A161" ca="1">INDEX(Sheet1!$A$2:$A$46, RANDBETWEEN(1,ROWS(Sheet1!$A$2:$A$46)))</f>
        <v>B003</v>
      </c>
      <c r="B161" s="2" t="s">
        <v>56</v>
      </c>
      <c r="C161" t="str">
        <f>_xlfn.XLOOKUP(B161, Sheet1!A:A, Sheet1!B:B)</f>
        <v>assorted cupcakes </v>
      </c>
      <c r="D161">
        <f>_xlfn.XLOOKUP(B161,Sheet1!A:A,Sheet1!C:C)</f>
        <v>8</v>
      </c>
      <c r="E161">
        <f>_xlfn.XLOOKUP(B161,Sheet1!A:A,Sheet1!D:D)</f>
        <v>6</v>
      </c>
      <c r="F161">
        <f>_xlfn.XLOOKUP(Sheet3!B161,Sheet1!A:A,Sheet1!E:E)</f>
        <v>5.5</v>
      </c>
      <c r="G161">
        <f>_xlfn.XLOOKUP(B161,Sheet1!A:A,Sheet1!F:F)</f>
        <v>20</v>
      </c>
      <c r="H161" cm="1">
        <f t="array" aca="1" ref="H161" ca="1">INDEX(Sheet1!$G$2:$G$3, RANDBETWEEN(1, ROWS(Sheet1!$G$2:$G$3)))</f>
        <v>0</v>
      </c>
    </row>
    <row r="162" spans="1:8" x14ac:dyDescent="0.3">
      <c r="A162" s="2" t="str" cm="1">
        <f t="array" aca="1" ref="A162" ca="1">INDEX(Sheet1!$A$2:$A$46, RANDBETWEEN(1,ROWS(Sheet1!$A$2:$A$46)))</f>
        <v>B038</v>
      </c>
      <c r="B162" s="2" t="s">
        <v>10</v>
      </c>
      <c r="C162" t="str">
        <f>_xlfn.XLOOKUP(B162, Sheet1!A:A, Sheet1!B:B)</f>
        <v>croissant</v>
      </c>
      <c r="D162">
        <f>_xlfn.XLOOKUP(B162,Sheet1!A:A,Sheet1!C:C)</f>
        <v>10</v>
      </c>
      <c r="E162">
        <f>_xlfn.XLOOKUP(B162,Sheet1!A:A,Sheet1!D:D)</f>
        <v>5.5</v>
      </c>
      <c r="F162">
        <f>_xlfn.XLOOKUP(Sheet3!B162,Sheet1!A:A,Sheet1!E:E)</f>
        <v>4.5</v>
      </c>
      <c r="G162">
        <f>_xlfn.XLOOKUP(B162,Sheet1!A:A,Sheet1!F:F)</f>
        <v>7</v>
      </c>
      <c r="H162" t="str" cm="1">
        <f t="array" aca="1" ref="H162" ca="1">INDEX(Sheet1!$G$2:$G$3, RANDBETWEEN(1, ROWS(Sheet1!$G$2:$G$3)))</f>
        <v>No</v>
      </c>
    </row>
    <row r="163" spans="1:8" x14ac:dyDescent="0.3">
      <c r="A163" s="2" t="str" cm="1">
        <f t="array" aca="1" ref="A163" ca="1">INDEX(Sheet1!$A$2:$A$46, RANDBETWEEN(1,ROWS(Sheet1!$A$2:$A$46)))</f>
        <v>B034</v>
      </c>
      <c r="B163" s="2" t="s">
        <v>68</v>
      </c>
      <c r="C163" t="str">
        <f>_xlfn.XLOOKUP(B163, Sheet1!A:A, Sheet1!B:B)</f>
        <v>oreja cookies</v>
      </c>
      <c r="D163">
        <f>_xlfn.XLOOKUP(B163,Sheet1!A:A,Sheet1!C:C)</f>
        <v>15</v>
      </c>
      <c r="E163">
        <f>_xlfn.XLOOKUP(B163,Sheet1!A:A,Sheet1!D:D)</f>
        <v>4</v>
      </c>
      <c r="F163">
        <f>_xlfn.XLOOKUP(Sheet3!B163,Sheet1!A:A,Sheet1!E:E)</f>
        <v>3</v>
      </c>
      <c r="G163">
        <f>_xlfn.XLOOKUP(B163,Sheet1!A:A,Sheet1!F:F)</f>
        <v>14</v>
      </c>
      <c r="H163" cm="1">
        <f t="array" aca="1" ref="H163" ca="1">INDEX(Sheet1!$G$2:$G$3, RANDBETWEEN(1, ROWS(Sheet1!$G$2:$G$3)))</f>
        <v>0</v>
      </c>
    </row>
    <row r="164" spans="1:8" x14ac:dyDescent="0.3">
      <c r="A164" s="2" t="str" cm="1">
        <f t="array" aca="1" ref="A164" ca="1">INDEX(Sheet1!$A$2:$A$46, RANDBETWEEN(1,ROWS(Sheet1!$A$2:$A$46)))</f>
        <v>B037</v>
      </c>
      <c r="B164" s="2" t="s">
        <v>80</v>
      </c>
      <c r="C164" t="str">
        <f>_xlfn.XLOOKUP(B164, Sheet1!A:A, Sheet1!B:B)</f>
        <v>carrot square cake</v>
      </c>
      <c r="D164">
        <f>_xlfn.XLOOKUP(B164,Sheet1!A:A,Sheet1!C:C)</f>
        <v>8</v>
      </c>
      <c r="E164">
        <f>_xlfn.XLOOKUP(B164,Sheet1!A:A,Sheet1!D:D)</f>
        <v>2.5</v>
      </c>
      <c r="F164">
        <f>_xlfn.XLOOKUP(Sheet3!B164,Sheet1!A:A,Sheet1!E:E)</f>
        <v>2</v>
      </c>
      <c r="G164">
        <f>_xlfn.XLOOKUP(B164,Sheet1!A:A,Sheet1!F:F)</f>
        <v>5</v>
      </c>
      <c r="H164" cm="1">
        <f t="array" aca="1" ref="H164" ca="1">INDEX(Sheet1!$G$2:$G$3, RANDBETWEEN(1, ROWS(Sheet1!$G$2:$G$3)))</f>
        <v>0</v>
      </c>
    </row>
    <row r="165" spans="1:8" x14ac:dyDescent="0.3">
      <c r="A165" s="2" t="str" cm="1">
        <f t="array" aca="1" ref="A165" ca="1">INDEX(Sheet1!$A$2:$A$46, RANDBETWEEN(1,ROWS(Sheet1!$A$2:$A$46)))</f>
        <v>B015</v>
      </c>
      <c r="B165" s="2" t="s">
        <v>24</v>
      </c>
      <c r="C165" t="str">
        <f>_xlfn.XLOOKUP(B165, Sheet1!A:A, Sheet1!B:B)</f>
        <v>tiramisu</v>
      </c>
      <c r="D165">
        <f>_xlfn.XLOOKUP(B165,Sheet1!A:A,Sheet1!C:C)</f>
        <v>8</v>
      </c>
      <c r="E165">
        <f>_xlfn.XLOOKUP(B165,Sheet1!A:A,Sheet1!D:D)</f>
        <v>7.5</v>
      </c>
      <c r="F165">
        <f>_xlfn.XLOOKUP(Sheet3!B165,Sheet1!A:A,Sheet1!E:E)</f>
        <v>5.5</v>
      </c>
      <c r="G165">
        <f>_xlfn.XLOOKUP(B165,Sheet1!A:A,Sheet1!F:F)</f>
        <v>7</v>
      </c>
      <c r="H165" cm="1">
        <f t="array" aca="1" ref="H165" ca="1">INDEX(Sheet1!$G$2:$G$3, RANDBETWEEN(1, ROWS(Sheet1!$G$2:$G$3)))</f>
        <v>0</v>
      </c>
    </row>
    <row r="166" spans="1:8" x14ac:dyDescent="0.3">
      <c r="A166" s="2" t="str" cm="1">
        <f t="array" aca="1" ref="A166" ca="1">INDEX(Sheet1!$A$2:$A$46, RANDBETWEEN(1,ROWS(Sheet1!$A$2:$A$46)))</f>
        <v>B030</v>
      </c>
      <c r="B166" s="2" t="s">
        <v>70</v>
      </c>
      <c r="C166" t="str">
        <f>_xlfn.XLOOKUP(B166, Sheet1!A:A, Sheet1!B:B)</f>
        <v>pumpkin pie</v>
      </c>
      <c r="D166">
        <f>_xlfn.XLOOKUP(B166,Sheet1!A:A,Sheet1!C:C)</f>
        <v>6</v>
      </c>
      <c r="E166">
        <f>_xlfn.XLOOKUP(B166,Sheet1!A:A,Sheet1!D:D)</f>
        <v>4</v>
      </c>
      <c r="F166">
        <f>_xlfn.XLOOKUP(Sheet3!B166,Sheet1!A:A,Sheet1!E:E)</f>
        <v>3</v>
      </c>
      <c r="G166">
        <f>_xlfn.XLOOKUP(B166,Sheet1!A:A,Sheet1!F:F)</f>
        <v>7</v>
      </c>
      <c r="H166" t="str" cm="1">
        <f t="array" aca="1" ref="H166" ca="1">INDEX(Sheet1!$G$2:$G$3, RANDBETWEEN(1, ROWS(Sheet1!$G$2:$G$3)))</f>
        <v>No</v>
      </c>
    </row>
    <row r="167" spans="1:8" x14ac:dyDescent="0.3">
      <c r="A167" s="2" t="str" cm="1">
        <f t="array" aca="1" ref="A167" ca="1">INDEX(Sheet1!$A$2:$A$46, RANDBETWEEN(1,ROWS(Sheet1!$A$2:$A$46)))</f>
        <v>B016</v>
      </c>
      <c r="B167" s="2" t="s">
        <v>16</v>
      </c>
      <c r="C167" t="str">
        <f>_xlfn.XLOOKUP(B167, Sheet1!A:A, Sheet1!B:B)</f>
        <v>mini croissant</v>
      </c>
      <c r="D167">
        <f>_xlfn.XLOOKUP(B167,Sheet1!A:A,Sheet1!C:C)</f>
        <v>10</v>
      </c>
      <c r="E167">
        <f>_xlfn.XLOOKUP(B167,Sheet1!A:A,Sheet1!D:D)</f>
        <v>5.5</v>
      </c>
      <c r="F167">
        <f>_xlfn.XLOOKUP(Sheet3!B167,Sheet1!A:A,Sheet1!E:E)</f>
        <v>4.5</v>
      </c>
      <c r="G167">
        <f>_xlfn.XLOOKUP(B167,Sheet1!A:A,Sheet1!F:F)</f>
        <v>7</v>
      </c>
      <c r="H167" cm="1">
        <f t="array" aca="1" ref="H167" ca="1">INDEX(Sheet1!$G$2:$G$3, RANDBETWEEN(1, ROWS(Sheet1!$G$2:$G$3)))</f>
        <v>0</v>
      </c>
    </row>
    <row r="168" spans="1:8" x14ac:dyDescent="0.3">
      <c r="A168" s="2" t="str" cm="1">
        <f t="array" aca="1" ref="A168" ca="1">INDEX(Sheet1!$A$2:$A$46, RANDBETWEEN(1,ROWS(Sheet1!$A$2:$A$46)))</f>
        <v>B023</v>
      </c>
      <c r="B168" s="2" t="s">
        <v>82</v>
      </c>
      <c r="C168" t="str">
        <f>_xlfn.XLOOKUP(B168, Sheet1!A:A, Sheet1!B:B)</f>
        <v>white square cake</v>
      </c>
      <c r="D168">
        <f>_xlfn.XLOOKUP(B168,Sheet1!A:A,Sheet1!C:C)</f>
        <v>8</v>
      </c>
      <c r="E168">
        <f>_xlfn.XLOOKUP(B168,Sheet1!A:A,Sheet1!D:D)</f>
        <v>2.5</v>
      </c>
      <c r="F168">
        <f>_xlfn.XLOOKUP(Sheet3!B168,Sheet1!A:A,Sheet1!E:E)</f>
        <v>2</v>
      </c>
      <c r="G168">
        <f>_xlfn.XLOOKUP(B168,Sheet1!A:A,Sheet1!F:F)</f>
        <v>5</v>
      </c>
      <c r="H168" cm="1">
        <f t="array" aca="1" ref="H168" ca="1">INDEX(Sheet1!$G$2:$G$3, RANDBETWEEN(1, ROWS(Sheet1!$G$2:$G$3)))</f>
        <v>0</v>
      </c>
    </row>
    <row r="169" spans="1:8" x14ac:dyDescent="0.3">
      <c r="A169" s="2" t="str" cm="1">
        <f t="array" aca="1" ref="A169" ca="1">INDEX(Sheet1!$A$2:$A$46, RANDBETWEEN(1,ROWS(Sheet1!$A$2:$A$46)))</f>
        <v>B003</v>
      </c>
      <c r="B169" s="2" t="s">
        <v>39</v>
      </c>
      <c r="C169" t="str">
        <f>_xlfn.XLOOKUP(B169, Sheet1!A:A, Sheet1!B:B)</f>
        <v>macadamia nut cookies</v>
      </c>
      <c r="D169">
        <f>_xlfn.XLOOKUP(B169,Sheet1!A:A,Sheet1!C:C)</f>
        <v>12</v>
      </c>
      <c r="E169">
        <f>_xlfn.XLOOKUP(B169,Sheet1!A:A,Sheet1!D:D)</f>
        <v>3.5</v>
      </c>
      <c r="F169">
        <f>_xlfn.XLOOKUP(Sheet3!B169,Sheet1!A:A,Sheet1!E:E)</f>
        <v>3</v>
      </c>
      <c r="G169">
        <f>_xlfn.XLOOKUP(B169,Sheet1!A:A,Sheet1!F:F)</f>
        <v>14</v>
      </c>
      <c r="H169" t="str" cm="1">
        <f t="array" aca="1" ref="H169" ca="1">INDEX(Sheet1!$G$2:$G$3, RANDBETWEEN(1, ROWS(Sheet1!$G$2:$G$3)))</f>
        <v>No</v>
      </c>
    </row>
    <row r="170" spans="1:8" x14ac:dyDescent="0.3">
      <c r="A170" s="2" t="str" cm="1">
        <f t="array" aca="1" ref="A170" ca="1">INDEX(Sheet1!$A$2:$A$46, RANDBETWEEN(1,ROWS(Sheet1!$A$2:$A$46)))</f>
        <v>B037</v>
      </c>
      <c r="B170" s="2" t="s">
        <v>84</v>
      </c>
      <c r="C170" t="str">
        <f>_xlfn.XLOOKUP(B170, Sheet1!A:A, Sheet1!B:B)</f>
        <v>plain bagels</v>
      </c>
      <c r="D170">
        <f>_xlfn.XLOOKUP(B170,Sheet1!A:A,Sheet1!C:C)</f>
        <v>8</v>
      </c>
      <c r="E170">
        <f>_xlfn.XLOOKUP(B170,Sheet1!A:A,Sheet1!D:D)</f>
        <v>3.5</v>
      </c>
      <c r="F170">
        <f>_xlfn.XLOOKUP(Sheet3!B170,Sheet1!A:A,Sheet1!E:E)</f>
        <v>3</v>
      </c>
      <c r="G170">
        <f>_xlfn.XLOOKUP(B170,Sheet1!A:A,Sheet1!F:F)</f>
        <v>8</v>
      </c>
      <c r="H170" cm="1">
        <f t="array" aca="1" ref="H170" ca="1">INDEX(Sheet1!$G$2:$G$3, RANDBETWEEN(1, ROWS(Sheet1!$G$2:$G$3)))</f>
        <v>0</v>
      </c>
    </row>
    <row r="171" spans="1:8" x14ac:dyDescent="0.3">
      <c r="A171" s="2" t="str" cm="1">
        <f t="array" aca="1" ref="A171" ca="1">INDEX(Sheet1!$A$2:$A$46, RANDBETWEEN(1,ROWS(Sheet1!$A$2:$A$46)))</f>
        <v>B009</v>
      </c>
      <c r="B171" s="2" t="s">
        <v>16</v>
      </c>
      <c r="C171" t="str">
        <f>_xlfn.XLOOKUP(B171, Sheet1!A:A, Sheet1!B:B)</f>
        <v>mini croissant</v>
      </c>
      <c r="D171">
        <f>_xlfn.XLOOKUP(B171,Sheet1!A:A,Sheet1!C:C)</f>
        <v>10</v>
      </c>
      <c r="E171">
        <f>_xlfn.XLOOKUP(B171,Sheet1!A:A,Sheet1!D:D)</f>
        <v>5.5</v>
      </c>
      <c r="F171">
        <f>_xlfn.XLOOKUP(Sheet3!B171,Sheet1!A:A,Sheet1!E:E)</f>
        <v>4.5</v>
      </c>
      <c r="G171">
        <f>_xlfn.XLOOKUP(B171,Sheet1!A:A,Sheet1!F:F)</f>
        <v>7</v>
      </c>
      <c r="H171" t="str" cm="1">
        <f t="array" aca="1" ref="H171" ca="1">INDEX(Sheet1!$G$2:$G$3, RANDBETWEEN(1, ROWS(Sheet1!$G$2:$G$3)))</f>
        <v>No</v>
      </c>
    </row>
    <row r="172" spans="1:8" x14ac:dyDescent="0.3">
      <c r="A172" s="2" t="str" cm="1">
        <f t="array" aca="1" ref="A172" ca="1">INDEX(Sheet1!$A$2:$A$46, RANDBETWEEN(1,ROWS(Sheet1!$A$2:$A$46)))</f>
        <v>B045</v>
      </c>
      <c r="B172" s="2" t="s">
        <v>61</v>
      </c>
      <c r="C172" t="str">
        <f>_xlfn.XLOOKUP(B172, Sheet1!A:A, Sheet1!B:B)</f>
        <v>marble sliced loaf cake</v>
      </c>
      <c r="D172">
        <f>_xlfn.XLOOKUP(B172,Sheet1!A:A,Sheet1!C:C)</f>
        <v>10</v>
      </c>
      <c r="E172">
        <f>_xlfn.XLOOKUP(B172,Sheet1!A:A,Sheet1!D:D)</f>
        <v>4</v>
      </c>
      <c r="F172">
        <f>_xlfn.XLOOKUP(Sheet3!B172,Sheet1!A:A,Sheet1!E:E)</f>
        <v>3.5</v>
      </c>
      <c r="G172">
        <f>_xlfn.XLOOKUP(B172,Sheet1!A:A,Sheet1!F:F)</f>
        <v>10</v>
      </c>
      <c r="H172" t="str" cm="1">
        <f t="array" aca="1" ref="H172" ca="1">INDEX(Sheet1!$G$2:$G$3, RANDBETWEEN(1, ROWS(Sheet1!$G$2:$G$3)))</f>
        <v>No</v>
      </c>
    </row>
    <row r="173" spans="1:8" x14ac:dyDescent="0.3">
      <c r="A173" s="2" t="str" cm="1">
        <f t="array" aca="1" ref="A173" ca="1">INDEX(Sheet1!$A$2:$A$46, RANDBETWEEN(1,ROWS(Sheet1!$A$2:$A$46)))</f>
        <v>B010</v>
      </c>
      <c r="B173" s="2" t="s">
        <v>56</v>
      </c>
      <c r="C173" t="str">
        <f>_xlfn.XLOOKUP(B173, Sheet1!A:A, Sheet1!B:B)</f>
        <v>assorted cupcakes </v>
      </c>
      <c r="D173">
        <f>_xlfn.XLOOKUP(B173,Sheet1!A:A,Sheet1!C:C)</f>
        <v>8</v>
      </c>
      <c r="E173">
        <f>_xlfn.XLOOKUP(B173,Sheet1!A:A,Sheet1!D:D)</f>
        <v>6</v>
      </c>
      <c r="F173">
        <f>_xlfn.XLOOKUP(Sheet3!B173,Sheet1!A:A,Sheet1!E:E)</f>
        <v>5.5</v>
      </c>
      <c r="G173">
        <f>_xlfn.XLOOKUP(B173,Sheet1!A:A,Sheet1!F:F)</f>
        <v>20</v>
      </c>
      <c r="H173" cm="1">
        <f t="array" aca="1" ref="H173" ca="1">INDEX(Sheet1!$G$2:$G$3, RANDBETWEEN(1, ROWS(Sheet1!$G$2:$G$3)))</f>
        <v>0</v>
      </c>
    </row>
    <row r="174" spans="1:8" x14ac:dyDescent="0.3">
      <c r="A174" s="2" t="str" cm="1">
        <f t="array" aca="1" ref="A174" ca="1">INDEX(Sheet1!$A$2:$A$46, RANDBETWEEN(1,ROWS(Sheet1!$A$2:$A$46)))</f>
        <v>B002</v>
      </c>
      <c r="B174" s="2" t="s">
        <v>78</v>
      </c>
      <c r="C174" t="str">
        <f>_xlfn.XLOOKUP(B174, Sheet1!A:A, Sheet1!B:B)</f>
        <v>caramel pie</v>
      </c>
      <c r="D174">
        <f>_xlfn.XLOOKUP(B174,Sheet1!A:A,Sheet1!C:C)</f>
        <v>6</v>
      </c>
      <c r="E174">
        <f>_xlfn.XLOOKUP(B174,Sheet1!A:A,Sheet1!D:D)</f>
        <v>4</v>
      </c>
      <c r="F174">
        <f>_xlfn.XLOOKUP(Sheet3!B174,Sheet1!A:A,Sheet1!E:E)</f>
        <v>3</v>
      </c>
      <c r="G174">
        <f>_xlfn.XLOOKUP(B174,Sheet1!A:A,Sheet1!F:F)</f>
        <v>7</v>
      </c>
      <c r="H174" cm="1">
        <f t="array" aca="1" ref="H174" ca="1">INDEX(Sheet1!$G$2:$G$3, RANDBETWEEN(1, ROWS(Sheet1!$G$2:$G$3)))</f>
        <v>0</v>
      </c>
    </row>
    <row r="175" spans="1:8" x14ac:dyDescent="0.3">
      <c r="A175" s="2" t="str" cm="1">
        <f t="array" aca="1" ref="A175" ca="1">INDEX(Sheet1!$A$2:$A$46, RANDBETWEEN(1,ROWS(Sheet1!$A$2:$A$46)))</f>
        <v>B026</v>
      </c>
      <c r="B175" s="2" t="s">
        <v>66</v>
      </c>
      <c r="C175" t="str">
        <f>_xlfn.XLOOKUP(B175, Sheet1!A:A, Sheet1!B:B)</f>
        <v>pumpernickel bread</v>
      </c>
      <c r="D175">
        <f>_xlfn.XLOOKUP(B175,Sheet1!A:A,Sheet1!C:C)</f>
        <v>8</v>
      </c>
      <c r="E175">
        <f>_xlfn.XLOOKUP(B175,Sheet1!A:A,Sheet1!D:D)</f>
        <v>3.5</v>
      </c>
      <c r="F175">
        <f>_xlfn.XLOOKUP(Sheet3!B175,Sheet1!A:A,Sheet1!E:E)</f>
        <v>3</v>
      </c>
      <c r="G175">
        <f>_xlfn.XLOOKUP(B175,Sheet1!A:A,Sheet1!F:F)</f>
        <v>8</v>
      </c>
      <c r="H175" t="str" cm="1">
        <f t="array" aca="1" ref="H175" ca="1">INDEX(Sheet1!$G$2:$G$3, RANDBETWEEN(1, ROWS(Sheet1!$G$2:$G$3)))</f>
        <v>No</v>
      </c>
    </row>
    <row r="176" spans="1:8" x14ac:dyDescent="0.3">
      <c r="A176" s="2" t="str" cm="1">
        <f t="array" aca="1" ref="A176" ca="1">INDEX(Sheet1!$A$2:$A$46, RANDBETWEEN(1,ROWS(Sheet1!$A$2:$A$46)))</f>
        <v>B034</v>
      </c>
      <c r="B176" s="2" t="s">
        <v>57</v>
      </c>
      <c r="C176" t="str">
        <f>_xlfn.XLOOKUP(B176, Sheet1!A:A, Sheet1!B:B)</f>
        <v>vanilla cupcakes</v>
      </c>
      <c r="D176">
        <f>_xlfn.XLOOKUP(B176,Sheet1!A:A,Sheet1!C:C)</f>
        <v>8</v>
      </c>
      <c r="E176">
        <f>_xlfn.XLOOKUP(B176,Sheet1!A:A,Sheet1!D:D)</f>
        <v>6</v>
      </c>
      <c r="F176">
        <f>_xlfn.XLOOKUP(Sheet3!B176,Sheet1!A:A,Sheet1!E:E)</f>
        <v>5.5</v>
      </c>
      <c r="G176">
        <f>_xlfn.XLOOKUP(B176,Sheet1!A:A,Sheet1!F:F)</f>
        <v>20</v>
      </c>
      <c r="H176" cm="1">
        <f t="array" aca="1" ref="H176" ca="1">INDEX(Sheet1!$G$2:$G$3, RANDBETWEEN(1, ROWS(Sheet1!$G$2:$G$3)))</f>
        <v>0</v>
      </c>
    </row>
    <row r="177" spans="1:8" x14ac:dyDescent="0.3">
      <c r="A177" s="2" t="str" cm="1">
        <f t="array" aca="1" ref="A177" ca="1">INDEX(Sheet1!$A$2:$A$46, RANDBETWEEN(1,ROWS(Sheet1!$A$2:$A$46)))</f>
        <v>B006</v>
      </c>
      <c r="B177" s="2" t="s">
        <v>20</v>
      </c>
      <c r="C177" t="str">
        <f>_xlfn.XLOOKUP(B177, Sheet1!A:A, Sheet1!B:B)</f>
        <v>banana nut muffins</v>
      </c>
      <c r="D177">
        <f>_xlfn.XLOOKUP(B177,Sheet1!A:A,Sheet1!C:C)</f>
        <v>10</v>
      </c>
      <c r="E177">
        <f>_xlfn.XLOOKUP(B177,Sheet1!A:A,Sheet1!D:D)</f>
        <v>4.5</v>
      </c>
      <c r="F177">
        <f>_xlfn.XLOOKUP(Sheet3!B177,Sheet1!A:A,Sheet1!E:E)</f>
        <v>4</v>
      </c>
      <c r="G177">
        <f>_xlfn.XLOOKUP(B177,Sheet1!A:A,Sheet1!F:F)</f>
        <v>10</v>
      </c>
      <c r="H177" cm="1">
        <f t="array" aca="1" ref="H177" ca="1">INDEX(Sheet1!$G$2:$G$3, RANDBETWEEN(1, ROWS(Sheet1!$G$2:$G$3)))</f>
        <v>0</v>
      </c>
    </row>
    <row r="178" spans="1:8" x14ac:dyDescent="0.3">
      <c r="A178" s="2" t="str" cm="1">
        <f t="array" aca="1" ref="A178" ca="1">INDEX(Sheet1!$A$2:$A$46, RANDBETWEEN(1,ROWS(Sheet1!$A$2:$A$46)))</f>
        <v>B021</v>
      </c>
      <c r="B178" s="2" t="s">
        <v>60</v>
      </c>
      <c r="C178" t="str">
        <f>_xlfn.XLOOKUP(B178, Sheet1!A:A, Sheet1!B:B)</f>
        <v>banana nut sliced loaf cake</v>
      </c>
      <c r="D178">
        <f>_xlfn.XLOOKUP(B178,Sheet1!A:A,Sheet1!C:C)</f>
        <v>10</v>
      </c>
      <c r="E178">
        <f>_xlfn.XLOOKUP(B178,Sheet1!A:A,Sheet1!D:D)</f>
        <v>4</v>
      </c>
      <c r="F178">
        <f>_xlfn.XLOOKUP(Sheet3!B178,Sheet1!A:A,Sheet1!E:E)</f>
        <v>3.5</v>
      </c>
      <c r="G178">
        <f>_xlfn.XLOOKUP(B178,Sheet1!A:A,Sheet1!F:F)</f>
        <v>10</v>
      </c>
      <c r="H178" t="str" cm="1">
        <f t="array" aca="1" ref="H178" ca="1">INDEX(Sheet1!$G$2:$G$3, RANDBETWEEN(1, ROWS(Sheet1!$G$2:$G$3)))</f>
        <v>No</v>
      </c>
    </row>
    <row r="179" spans="1:8" x14ac:dyDescent="0.3">
      <c r="A179" s="2" t="str" cm="1">
        <f t="array" aca="1" ref="A179" ca="1">INDEX(Sheet1!$A$2:$A$46, RANDBETWEEN(1,ROWS(Sheet1!$A$2:$A$46)))</f>
        <v>B038</v>
      </c>
      <c r="B179" s="2" t="s">
        <v>37</v>
      </c>
      <c r="C179" t="str">
        <f>_xlfn.XLOOKUP(B179, Sheet1!A:A, Sheet1!B:B)</f>
        <v>sugar cookies</v>
      </c>
      <c r="D179">
        <f>_xlfn.XLOOKUP(B179,Sheet1!A:A,Sheet1!C:C)</f>
        <v>12</v>
      </c>
      <c r="E179">
        <f>_xlfn.XLOOKUP(B179,Sheet1!A:A,Sheet1!D:D)</f>
        <v>3.5</v>
      </c>
      <c r="F179">
        <f>_xlfn.XLOOKUP(Sheet3!B179,Sheet1!A:A,Sheet1!E:E)</f>
        <v>3</v>
      </c>
      <c r="G179">
        <f>_xlfn.XLOOKUP(B179,Sheet1!A:A,Sheet1!F:F)</f>
        <v>14</v>
      </c>
      <c r="H179" cm="1">
        <f t="array" aca="1" ref="H179" ca="1">INDEX(Sheet1!$G$2:$G$3, RANDBETWEEN(1, ROWS(Sheet1!$G$2:$G$3)))</f>
        <v>0</v>
      </c>
    </row>
    <row r="180" spans="1:8" x14ac:dyDescent="0.3">
      <c r="A180" s="2" t="str" cm="1">
        <f t="array" aca="1" ref="A180" ca="1">INDEX(Sheet1!$A$2:$A$46, RANDBETWEEN(1,ROWS(Sheet1!$A$2:$A$46)))</f>
        <v>B030</v>
      </c>
      <c r="B180" s="2" t="s">
        <v>57</v>
      </c>
      <c r="C180" t="str">
        <f>_xlfn.XLOOKUP(B180, Sheet1!A:A, Sheet1!B:B)</f>
        <v>vanilla cupcakes</v>
      </c>
      <c r="D180">
        <f>_xlfn.XLOOKUP(B180,Sheet1!A:A,Sheet1!C:C)</f>
        <v>8</v>
      </c>
      <c r="E180">
        <f>_xlfn.XLOOKUP(B180,Sheet1!A:A,Sheet1!D:D)</f>
        <v>6</v>
      </c>
      <c r="F180">
        <f>_xlfn.XLOOKUP(Sheet3!B180,Sheet1!A:A,Sheet1!E:E)</f>
        <v>5.5</v>
      </c>
      <c r="G180">
        <f>_xlfn.XLOOKUP(B180,Sheet1!A:A,Sheet1!F:F)</f>
        <v>20</v>
      </c>
      <c r="H180" cm="1">
        <f t="array" aca="1" ref="H180" ca="1">INDEX(Sheet1!$G$2:$G$3, RANDBETWEEN(1, ROWS(Sheet1!$G$2:$G$3)))</f>
        <v>0</v>
      </c>
    </row>
    <row r="181" spans="1:8" x14ac:dyDescent="0.3">
      <c r="A181" s="2" t="str" cm="1">
        <f t="array" aca="1" ref="A181" ca="1">INDEX(Sheet1!$A$2:$A$46, RANDBETWEEN(1,ROWS(Sheet1!$A$2:$A$46)))</f>
        <v>B022</v>
      </c>
      <c r="B181" s="2" t="s">
        <v>81</v>
      </c>
      <c r="C181" t="str">
        <f>_xlfn.XLOOKUP(B181, Sheet1!A:A, Sheet1!B:B)</f>
        <v>red velvet square cake</v>
      </c>
      <c r="D181">
        <f>_xlfn.XLOOKUP(B181,Sheet1!A:A,Sheet1!C:C)</f>
        <v>8</v>
      </c>
      <c r="E181">
        <f>_xlfn.XLOOKUP(B181,Sheet1!A:A,Sheet1!D:D)</f>
        <v>2.5</v>
      </c>
      <c r="F181">
        <f>_xlfn.XLOOKUP(Sheet3!B181,Sheet1!A:A,Sheet1!E:E)</f>
        <v>2</v>
      </c>
      <c r="G181">
        <f>_xlfn.XLOOKUP(B181,Sheet1!A:A,Sheet1!F:F)</f>
        <v>5</v>
      </c>
      <c r="H181" t="str" cm="1">
        <f t="array" aca="1" ref="H181" ca="1">INDEX(Sheet1!$G$2:$G$3, RANDBETWEEN(1, ROWS(Sheet1!$G$2:$G$3)))</f>
        <v>No</v>
      </c>
    </row>
    <row r="182" spans="1:8" x14ac:dyDescent="0.3">
      <c r="A182" s="2" t="str" cm="1">
        <f t="array" aca="1" ref="A182" ca="1">INDEX(Sheet1!$A$2:$A$46, RANDBETWEEN(1,ROWS(Sheet1!$A$2:$A$46)))</f>
        <v>B022</v>
      </c>
      <c r="B182" s="2" t="s">
        <v>34</v>
      </c>
      <c r="C182" t="str">
        <f>_xlfn.XLOOKUP(B182, Sheet1!A:A, Sheet1!B:B)</f>
        <v>almond croissant</v>
      </c>
      <c r="D182">
        <f>_xlfn.XLOOKUP(B182,Sheet1!A:A,Sheet1!C:C)</f>
        <v>6</v>
      </c>
      <c r="E182">
        <f>_xlfn.XLOOKUP(B182,Sheet1!A:A,Sheet1!D:D)</f>
        <v>3.5</v>
      </c>
      <c r="F182">
        <f>_xlfn.XLOOKUP(Sheet3!B182,Sheet1!A:A,Sheet1!E:E)</f>
        <v>3</v>
      </c>
      <c r="G182">
        <f>_xlfn.XLOOKUP(B182,Sheet1!A:A,Sheet1!F:F)</f>
        <v>10</v>
      </c>
      <c r="H182" cm="1">
        <f t="array" aca="1" ref="H182" ca="1">INDEX(Sheet1!$G$2:$G$3, RANDBETWEEN(1, ROWS(Sheet1!$G$2:$G$3)))</f>
        <v>0</v>
      </c>
    </row>
    <row r="183" spans="1:8" x14ac:dyDescent="0.3">
      <c r="A183" s="2" t="str" cm="1">
        <f t="array" aca="1" ref="A183" ca="1">INDEX(Sheet1!$A$2:$A$46, RANDBETWEEN(1,ROWS(Sheet1!$A$2:$A$46)))</f>
        <v>B008</v>
      </c>
      <c r="B183" s="2" t="s">
        <v>62</v>
      </c>
      <c r="C183" t="str">
        <f>_xlfn.XLOOKUP(B183, Sheet1!A:A, Sheet1!B:B)</f>
        <v>vanilla sliced loaf cake</v>
      </c>
      <c r="D183">
        <f>_xlfn.XLOOKUP(B183,Sheet1!A:A,Sheet1!C:C)</f>
        <v>10</v>
      </c>
      <c r="E183">
        <f>_xlfn.XLOOKUP(B183,Sheet1!A:A,Sheet1!D:D)</f>
        <v>4</v>
      </c>
      <c r="F183">
        <f>_xlfn.XLOOKUP(Sheet3!B183,Sheet1!A:A,Sheet1!E:E)</f>
        <v>3.5</v>
      </c>
      <c r="G183">
        <f>_xlfn.XLOOKUP(B183,Sheet1!A:A,Sheet1!F:F)</f>
        <v>10</v>
      </c>
      <c r="H183" t="str" cm="1">
        <f t="array" aca="1" ref="H183" ca="1">INDEX(Sheet1!$G$2:$G$3, RANDBETWEEN(1, ROWS(Sheet1!$G$2:$G$3)))</f>
        <v>No</v>
      </c>
    </row>
    <row r="184" spans="1:8" x14ac:dyDescent="0.3">
      <c r="A184" s="2" t="str" cm="1">
        <f t="array" aca="1" ref="A184" ca="1">INDEX(Sheet1!$A$2:$A$46, RANDBETWEEN(1,ROWS(Sheet1!$A$2:$A$46)))</f>
        <v>B016</v>
      </c>
      <c r="B184" s="2" t="s">
        <v>88</v>
      </c>
      <c r="C184" t="str">
        <f>_xlfn.XLOOKUP(B184, Sheet1!A:A, Sheet1!B:B)</f>
        <v>everything bagels</v>
      </c>
      <c r="D184">
        <f>_xlfn.XLOOKUP(B184,Sheet1!A:A,Sheet1!C:C)</f>
        <v>8</v>
      </c>
      <c r="E184">
        <f>_xlfn.XLOOKUP(B184,Sheet1!A:A,Sheet1!D:D)</f>
        <v>3.5</v>
      </c>
      <c r="F184">
        <f>_xlfn.XLOOKUP(Sheet3!B184,Sheet1!A:A,Sheet1!E:E)</f>
        <v>3</v>
      </c>
      <c r="G184">
        <f>_xlfn.XLOOKUP(B184,Sheet1!A:A,Sheet1!F:F)</f>
        <v>8</v>
      </c>
      <c r="H184" cm="1">
        <f t="array" aca="1" ref="H184" ca="1">INDEX(Sheet1!$G$2:$G$3, RANDBETWEEN(1, ROWS(Sheet1!$G$2:$G$3)))</f>
        <v>0</v>
      </c>
    </row>
    <row r="185" spans="1:8" x14ac:dyDescent="0.3">
      <c r="A185" s="2" t="str" cm="1">
        <f t="array" aca="1" ref="A185" ca="1">INDEX(Sheet1!$A$2:$A$46, RANDBETWEEN(1,ROWS(Sheet1!$A$2:$A$46)))</f>
        <v>B019</v>
      </c>
      <c r="B185" s="2" t="s">
        <v>62</v>
      </c>
      <c r="C185" t="str">
        <f>_xlfn.XLOOKUP(B185, Sheet1!A:A, Sheet1!B:B)</f>
        <v>vanilla sliced loaf cake</v>
      </c>
      <c r="D185">
        <f>_xlfn.XLOOKUP(B185,Sheet1!A:A,Sheet1!C:C)</f>
        <v>10</v>
      </c>
      <c r="E185">
        <f>_xlfn.XLOOKUP(B185,Sheet1!A:A,Sheet1!D:D)</f>
        <v>4</v>
      </c>
      <c r="F185">
        <f>_xlfn.XLOOKUP(Sheet3!B185,Sheet1!A:A,Sheet1!E:E)</f>
        <v>3.5</v>
      </c>
      <c r="G185">
        <f>_xlfn.XLOOKUP(B185,Sheet1!A:A,Sheet1!F:F)</f>
        <v>10</v>
      </c>
      <c r="H185" t="str" cm="1">
        <f t="array" aca="1" ref="H185" ca="1">INDEX(Sheet1!$G$2:$G$3, RANDBETWEEN(1, ROWS(Sheet1!$G$2:$G$3)))</f>
        <v>No</v>
      </c>
    </row>
    <row r="186" spans="1:8" x14ac:dyDescent="0.3">
      <c r="A186" s="2" t="str" cm="1">
        <f t="array" aca="1" ref="A186" ca="1">INDEX(Sheet1!$A$2:$A$46, RANDBETWEEN(1,ROWS(Sheet1!$A$2:$A$46)))</f>
        <v>B019</v>
      </c>
      <c r="B186" s="2" t="s">
        <v>83</v>
      </c>
      <c r="C186" t="str">
        <f>_xlfn.XLOOKUP(B186, Sheet1!A:A, Sheet1!B:B)</f>
        <v>pumpkin spice muffins</v>
      </c>
      <c r="D186">
        <f>_xlfn.XLOOKUP(B186,Sheet1!A:A,Sheet1!C:C)</f>
        <v>10</v>
      </c>
      <c r="E186">
        <f>_xlfn.XLOOKUP(B186,Sheet1!A:A,Sheet1!D:D)</f>
        <v>4.5</v>
      </c>
      <c r="F186">
        <f>_xlfn.XLOOKUP(Sheet3!B186,Sheet1!A:A,Sheet1!E:E)</f>
        <v>4</v>
      </c>
      <c r="G186">
        <f>_xlfn.XLOOKUP(B186,Sheet1!A:A,Sheet1!F:F)</f>
        <v>10</v>
      </c>
      <c r="H186" t="str" cm="1">
        <f t="array" aca="1" ref="H186" ca="1">INDEX(Sheet1!$G$2:$G$3, RANDBETWEEN(1, ROWS(Sheet1!$G$2:$G$3)))</f>
        <v>No</v>
      </c>
    </row>
    <row r="187" spans="1:8" x14ac:dyDescent="0.3">
      <c r="A187" s="2" t="str" cm="1">
        <f t="array" aca="1" ref="A187" ca="1">INDEX(Sheet1!$A$2:$A$46, RANDBETWEEN(1,ROWS(Sheet1!$A$2:$A$46)))</f>
        <v>B029</v>
      </c>
      <c r="B187" s="2" t="s">
        <v>22</v>
      </c>
      <c r="C187" t="str">
        <f>_xlfn.XLOOKUP(B187, Sheet1!A:A, Sheet1!B:B)</f>
        <v>chocolate chip cookies</v>
      </c>
      <c r="D187">
        <f>_xlfn.XLOOKUP(B187,Sheet1!A:A,Sheet1!C:C)</f>
        <v>12</v>
      </c>
      <c r="E187">
        <f>_xlfn.XLOOKUP(B187,Sheet1!A:A,Sheet1!D:D)</f>
        <v>3.5</v>
      </c>
      <c r="F187">
        <f>_xlfn.XLOOKUP(Sheet3!B187,Sheet1!A:A,Sheet1!E:E)</f>
        <v>3</v>
      </c>
      <c r="G187">
        <f>_xlfn.XLOOKUP(B187,Sheet1!A:A,Sheet1!F:F)</f>
        <v>14</v>
      </c>
      <c r="H187" cm="1">
        <f t="array" aca="1" ref="H187" ca="1">INDEX(Sheet1!$G$2:$G$3, RANDBETWEEN(1, ROWS(Sheet1!$G$2:$G$3)))</f>
        <v>0</v>
      </c>
    </row>
    <row r="188" spans="1:8" x14ac:dyDescent="0.3">
      <c r="A188" s="2" t="str" cm="1">
        <f t="array" aca="1" ref="A188" ca="1">INDEX(Sheet1!$A$2:$A$46, RANDBETWEEN(1,ROWS(Sheet1!$A$2:$A$46)))</f>
        <v>B042</v>
      </c>
      <c r="B188" s="2" t="s">
        <v>67</v>
      </c>
      <c r="C188" t="str">
        <f>_xlfn.XLOOKUP(B188, Sheet1!A:A, Sheet1!B:B)</f>
        <v>seeded bread</v>
      </c>
      <c r="D188">
        <f>_xlfn.XLOOKUP(B188,Sheet1!A:A,Sheet1!C:C)</f>
        <v>8</v>
      </c>
      <c r="E188">
        <f>_xlfn.XLOOKUP(B188,Sheet1!A:A,Sheet1!D:D)</f>
        <v>3.5</v>
      </c>
      <c r="F188">
        <f>_xlfn.XLOOKUP(Sheet3!B188,Sheet1!A:A,Sheet1!E:E)</f>
        <v>3</v>
      </c>
      <c r="G188">
        <f>_xlfn.XLOOKUP(B188,Sheet1!A:A,Sheet1!F:F)</f>
        <v>8</v>
      </c>
      <c r="H188" cm="1">
        <f t="array" aca="1" ref="H188" ca="1">INDEX(Sheet1!$G$2:$G$3, RANDBETWEEN(1, ROWS(Sheet1!$G$2:$G$3)))</f>
        <v>0</v>
      </c>
    </row>
    <row r="189" spans="1:8" x14ac:dyDescent="0.3">
      <c r="A189" s="2" t="str" cm="1">
        <f t="array" aca="1" ref="A189" ca="1">INDEX(Sheet1!$A$2:$A$46, RANDBETWEEN(1,ROWS(Sheet1!$A$2:$A$46)))</f>
        <v>B004</v>
      </c>
      <c r="B189" s="2" t="s">
        <v>21</v>
      </c>
      <c r="C189" t="str">
        <f>_xlfn.XLOOKUP(B189, Sheet1!A:A, Sheet1!B:B)</f>
        <v>butter cake</v>
      </c>
      <c r="D189">
        <f>_xlfn.XLOOKUP(B189,Sheet1!A:A,Sheet1!C:C)</f>
        <v>8</v>
      </c>
      <c r="E189">
        <f>_xlfn.XLOOKUP(B189,Sheet1!A:A,Sheet1!D:D)</f>
        <v>4</v>
      </c>
      <c r="F189">
        <f>_xlfn.XLOOKUP(Sheet3!B189,Sheet1!A:A,Sheet1!E:E)</f>
        <v>3</v>
      </c>
      <c r="G189">
        <f>_xlfn.XLOOKUP(B189,Sheet1!A:A,Sheet1!F:F)</f>
        <v>14</v>
      </c>
      <c r="H189" cm="1">
        <f t="array" aca="1" ref="H189" ca="1">INDEX(Sheet1!$G$2:$G$3, RANDBETWEEN(1, ROWS(Sheet1!$G$2:$G$3)))</f>
        <v>0</v>
      </c>
    </row>
    <row r="190" spans="1:8" x14ac:dyDescent="0.3">
      <c r="A190" s="2" t="str" cm="1">
        <f t="array" aca="1" ref="A190" ca="1">INDEX(Sheet1!$A$2:$A$46, RANDBETWEEN(1,ROWS(Sheet1!$A$2:$A$46)))</f>
        <v>B021</v>
      </c>
      <c r="B190" s="2" t="s">
        <v>62</v>
      </c>
      <c r="C190" t="str">
        <f>_xlfn.XLOOKUP(B190, Sheet1!A:A, Sheet1!B:B)</f>
        <v>vanilla sliced loaf cake</v>
      </c>
      <c r="D190">
        <f>_xlfn.XLOOKUP(B190,Sheet1!A:A,Sheet1!C:C)</f>
        <v>10</v>
      </c>
      <c r="E190">
        <f>_xlfn.XLOOKUP(B190,Sheet1!A:A,Sheet1!D:D)</f>
        <v>4</v>
      </c>
      <c r="F190">
        <f>_xlfn.XLOOKUP(Sheet3!B190,Sheet1!A:A,Sheet1!E:E)</f>
        <v>3.5</v>
      </c>
      <c r="G190">
        <f>_xlfn.XLOOKUP(B190,Sheet1!A:A,Sheet1!F:F)</f>
        <v>10</v>
      </c>
      <c r="H190" t="str" cm="1">
        <f t="array" aca="1" ref="H190" ca="1">INDEX(Sheet1!$G$2:$G$3, RANDBETWEEN(1, ROWS(Sheet1!$G$2:$G$3)))</f>
        <v>No</v>
      </c>
    </row>
    <row r="191" spans="1:8" x14ac:dyDescent="0.3">
      <c r="A191" s="2" t="str" cm="1">
        <f t="array" aca="1" ref="A191" ca="1">INDEX(Sheet1!$A$2:$A$46, RANDBETWEEN(1,ROWS(Sheet1!$A$2:$A$46)))</f>
        <v>B007</v>
      </c>
      <c r="B191" s="2" t="s">
        <v>88</v>
      </c>
      <c r="C191" t="str">
        <f>_xlfn.XLOOKUP(B191, Sheet1!A:A, Sheet1!B:B)</f>
        <v>everything bagels</v>
      </c>
      <c r="D191">
        <f>_xlfn.XLOOKUP(B191,Sheet1!A:A,Sheet1!C:C)</f>
        <v>8</v>
      </c>
      <c r="E191">
        <f>_xlfn.XLOOKUP(B191,Sheet1!A:A,Sheet1!D:D)</f>
        <v>3.5</v>
      </c>
      <c r="F191">
        <f>_xlfn.XLOOKUP(Sheet3!B191,Sheet1!A:A,Sheet1!E:E)</f>
        <v>3</v>
      </c>
      <c r="G191">
        <f>_xlfn.XLOOKUP(B191,Sheet1!A:A,Sheet1!F:F)</f>
        <v>8</v>
      </c>
      <c r="H191" cm="1">
        <f t="array" aca="1" ref="H191" ca="1">INDEX(Sheet1!$G$2:$G$3, RANDBETWEEN(1, ROWS(Sheet1!$G$2:$G$3)))</f>
        <v>0</v>
      </c>
    </row>
    <row r="192" spans="1:8" x14ac:dyDescent="0.3">
      <c r="A192" s="2" t="str" cm="1">
        <f t="array" aca="1" ref="A192" ca="1">INDEX(Sheet1!$A$2:$A$46, RANDBETWEEN(1,ROWS(Sheet1!$A$2:$A$46)))</f>
        <v>B015</v>
      </c>
      <c r="B192" s="2" t="s">
        <v>92</v>
      </c>
      <c r="C192" t="str">
        <f>_xlfn.XLOOKUP(B192, Sheet1!A:A, Sheet1!B:B)</f>
        <v>square brownies</v>
      </c>
      <c r="D192">
        <f>_xlfn.XLOOKUP(B192,Sheet1!A:A,Sheet1!C:C)</f>
        <v>6</v>
      </c>
      <c r="E192">
        <f>_xlfn.XLOOKUP(B192,Sheet1!A:A,Sheet1!D:D)</f>
        <v>4.5</v>
      </c>
      <c r="F192">
        <f>_xlfn.XLOOKUP(Sheet3!B192,Sheet1!A:A,Sheet1!E:E)</f>
        <v>4</v>
      </c>
      <c r="G192">
        <f>_xlfn.XLOOKUP(B192,Sheet1!A:A,Sheet1!F:F)</f>
        <v>14</v>
      </c>
      <c r="H192" cm="1">
        <f t="array" aca="1" ref="H192" ca="1">INDEX(Sheet1!$G$2:$G$3, RANDBETWEEN(1, ROWS(Sheet1!$G$2:$G$3)))</f>
        <v>0</v>
      </c>
    </row>
    <row r="193" spans="1:8" x14ac:dyDescent="0.3">
      <c r="A193" s="2" t="str" cm="1">
        <f t="array" aca="1" ref="A193" ca="1">INDEX(Sheet1!$A$2:$A$46, RANDBETWEEN(1,ROWS(Sheet1!$A$2:$A$46)))</f>
        <v>B030</v>
      </c>
      <c r="B193" s="2" t="s">
        <v>55</v>
      </c>
      <c r="C193" t="str">
        <f>_xlfn.XLOOKUP(B193, Sheet1!A:A, Sheet1!B:B)</f>
        <v>cookies &amp; creme cake</v>
      </c>
      <c r="D193">
        <f>_xlfn.XLOOKUP(B193,Sheet1!A:A,Sheet1!C:C)</f>
        <v>4</v>
      </c>
      <c r="E193">
        <f>_xlfn.XLOOKUP(B193,Sheet1!A:A,Sheet1!D:D)</f>
        <v>8.5</v>
      </c>
      <c r="F193">
        <f>_xlfn.XLOOKUP(Sheet3!B193,Sheet1!A:A,Sheet1!E:E)</f>
        <v>6</v>
      </c>
      <c r="G193">
        <f>_xlfn.XLOOKUP(B193,Sheet1!A:A,Sheet1!F:F)</f>
        <v>7</v>
      </c>
      <c r="H193" t="str" cm="1">
        <f t="array" aca="1" ref="H193" ca="1">INDEX(Sheet1!$G$2:$G$3, RANDBETWEEN(1, ROWS(Sheet1!$G$2:$G$3)))</f>
        <v>No</v>
      </c>
    </row>
    <row r="194" spans="1:8" x14ac:dyDescent="0.3">
      <c r="A194" s="2" t="str" cm="1">
        <f t="array" aca="1" ref="A194" ca="1">INDEX(Sheet1!$A$2:$A$46, RANDBETWEEN(1,ROWS(Sheet1!$A$2:$A$46)))</f>
        <v>B022</v>
      </c>
      <c r="B194" s="2" t="s">
        <v>59</v>
      </c>
      <c r="C194" t="str">
        <f>_xlfn.XLOOKUP(B194, Sheet1!A:A, Sheet1!B:B)</f>
        <v>iced lemon sliced loaf cake</v>
      </c>
      <c r="D194">
        <f>_xlfn.XLOOKUP(B194,Sheet1!A:A,Sheet1!C:C)</f>
        <v>10</v>
      </c>
      <c r="E194">
        <f>_xlfn.XLOOKUP(B194,Sheet1!A:A,Sheet1!D:D)</f>
        <v>4</v>
      </c>
      <c r="F194">
        <f>_xlfn.XLOOKUP(Sheet3!B194,Sheet1!A:A,Sheet1!E:E)</f>
        <v>3.5</v>
      </c>
      <c r="G194">
        <f>_xlfn.XLOOKUP(B194,Sheet1!A:A,Sheet1!F:F)</f>
        <v>10</v>
      </c>
      <c r="H194" t="str" cm="1">
        <f t="array" aca="1" ref="H194" ca="1">INDEX(Sheet1!$G$2:$G$3, RANDBETWEEN(1, ROWS(Sheet1!$G$2:$G$3)))</f>
        <v>No</v>
      </c>
    </row>
    <row r="195" spans="1:8" x14ac:dyDescent="0.3">
      <c r="A195" s="2" t="str" cm="1">
        <f t="array" aca="1" ref="A195" ca="1">INDEX(Sheet1!$A$2:$A$46, RANDBETWEEN(1,ROWS(Sheet1!$A$2:$A$46)))</f>
        <v>B007</v>
      </c>
      <c r="B195" s="2" t="s">
        <v>60</v>
      </c>
      <c r="C195" t="str">
        <f>_xlfn.XLOOKUP(B195, Sheet1!A:A, Sheet1!B:B)</f>
        <v>banana nut sliced loaf cake</v>
      </c>
      <c r="D195">
        <f>_xlfn.XLOOKUP(B195,Sheet1!A:A,Sheet1!C:C)</f>
        <v>10</v>
      </c>
      <c r="E195">
        <f>_xlfn.XLOOKUP(B195,Sheet1!A:A,Sheet1!D:D)</f>
        <v>4</v>
      </c>
      <c r="F195">
        <f>_xlfn.XLOOKUP(Sheet3!B195,Sheet1!A:A,Sheet1!E:E)</f>
        <v>3.5</v>
      </c>
      <c r="G195">
        <f>_xlfn.XLOOKUP(B195,Sheet1!A:A,Sheet1!F:F)</f>
        <v>10</v>
      </c>
      <c r="H195" t="str" cm="1">
        <f t="array" aca="1" ref="H195" ca="1">INDEX(Sheet1!$G$2:$G$3, RANDBETWEEN(1, ROWS(Sheet1!$G$2:$G$3)))</f>
        <v>No</v>
      </c>
    </row>
    <row r="196" spans="1:8" x14ac:dyDescent="0.3">
      <c r="A196" s="2" t="str" cm="1">
        <f t="array" aca="1" ref="A196" ca="1">INDEX(Sheet1!$A$2:$A$46, RANDBETWEEN(1,ROWS(Sheet1!$A$2:$A$46)))</f>
        <v>B031</v>
      </c>
      <c r="B196" s="2" t="s">
        <v>19</v>
      </c>
      <c r="C196" t="str">
        <f>_xlfn.XLOOKUP(B196, Sheet1!A:A, Sheet1!B:B)</f>
        <v>blueberry muffins</v>
      </c>
      <c r="D196">
        <f>_xlfn.XLOOKUP(B196,Sheet1!A:A,Sheet1!C:C)</f>
        <v>10</v>
      </c>
      <c r="E196">
        <f>_xlfn.XLOOKUP(B196,Sheet1!A:A,Sheet1!D:D)</f>
        <v>4.5</v>
      </c>
      <c r="F196">
        <f>_xlfn.XLOOKUP(Sheet3!B196,Sheet1!A:A,Sheet1!E:E)</f>
        <v>4</v>
      </c>
      <c r="G196">
        <f>_xlfn.XLOOKUP(B196,Sheet1!A:A,Sheet1!F:F)</f>
        <v>10</v>
      </c>
      <c r="H196" cm="1">
        <f t="array" aca="1" ref="H196" ca="1">INDEX(Sheet1!$G$2:$G$3, RANDBETWEEN(1, ROWS(Sheet1!$G$2:$G$3)))</f>
        <v>0</v>
      </c>
    </row>
    <row r="197" spans="1:8" x14ac:dyDescent="0.3">
      <c r="A197" s="2" t="str" cm="1">
        <f t="array" aca="1" ref="A197" ca="1">INDEX(Sheet1!$A$2:$A$46, RANDBETWEEN(1,ROWS(Sheet1!$A$2:$A$46)))</f>
        <v>B021</v>
      </c>
      <c r="B197" s="2" t="s">
        <v>84</v>
      </c>
      <c r="C197" t="str">
        <f>_xlfn.XLOOKUP(B197, Sheet1!A:A, Sheet1!B:B)</f>
        <v>plain bagels</v>
      </c>
      <c r="D197">
        <f>_xlfn.XLOOKUP(B197,Sheet1!A:A,Sheet1!C:C)</f>
        <v>8</v>
      </c>
      <c r="E197">
        <f>_xlfn.XLOOKUP(B197,Sheet1!A:A,Sheet1!D:D)</f>
        <v>3.5</v>
      </c>
      <c r="F197">
        <f>_xlfn.XLOOKUP(Sheet3!B197,Sheet1!A:A,Sheet1!E:E)</f>
        <v>3</v>
      </c>
      <c r="G197">
        <f>_xlfn.XLOOKUP(B197,Sheet1!A:A,Sheet1!F:F)</f>
        <v>8</v>
      </c>
      <c r="H197" cm="1">
        <f t="array" aca="1" ref="H197" ca="1">INDEX(Sheet1!$G$2:$G$3, RANDBETWEEN(1, ROWS(Sheet1!$G$2:$G$3)))</f>
        <v>0</v>
      </c>
    </row>
    <row r="198" spans="1:8" x14ac:dyDescent="0.3">
      <c r="A198" s="2" t="str" cm="1">
        <f t="array" aca="1" ref="A198" ca="1">INDEX(Sheet1!$A$2:$A$46, RANDBETWEEN(1,ROWS(Sheet1!$A$2:$A$46)))</f>
        <v>B023</v>
      </c>
      <c r="B198" s="2" t="s">
        <v>41</v>
      </c>
      <c r="C198" t="str">
        <f>_xlfn.XLOOKUP(B198, Sheet1!A:A, Sheet1!B:B)</f>
        <v>frosted blue cookies</v>
      </c>
      <c r="D198">
        <f>_xlfn.XLOOKUP(B198,Sheet1!A:A,Sheet1!C:C)</f>
        <v>15</v>
      </c>
      <c r="E198">
        <f>_xlfn.XLOOKUP(B198,Sheet1!A:A,Sheet1!D:D)</f>
        <v>3</v>
      </c>
      <c r="F198">
        <f>_xlfn.XLOOKUP(Sheet3!B198,Sheet1!A:A,Sheet1!E:E)</f>
        <v>2.5</v>
      </c>
      <c r="G198">
        <f>_xlfn.XLOOKUP(B198,Sheet1!A:A,Sheet1!F:F)</f>
        <v>14</v>
      </c>
      <c r="H198" t="str" cm="1">
        <f t="array" aca="1" ref="H198" ca="1">INDEX(Sheet1!$G$2:$G$3, RANDBETWEEN(1, ROWS(Sheet1!$G$2:$G$3)))</f>
        <v>No</v>
      </c>
    </row>
    <row r="199" spans="1:8" x14ac:dyDescent="0.3">
      <c r="A199" s="2" t="str" cm="1">
        <f t="array" aca="1" ref="A199" ca="1">INDEX(Sheet1!$A$2:$A$46, RANDBETWEEN(1,ROWS(Sheet1!$A$2:$A$46)))</f>
        <v>B024</v>
      </c>
      <c r="B199" s="2" t="s">
        <v>19</v>
      </c>
      <c r="C199" t="str">
        <f>_xlfn.XLOOKUP(B199, Sheet1!A:A, Sheet1!B:B)</f>
        <v>blueberry muffins</v>
      </c>
      <c r="D199">
        <f>_xlfn.XLOOKUP(B199,Sheet1!A:A,Sheet1!C:C)</f>
        <v>10</v>
      </c>
      <c r="E199">
        <f>_xlfn.XLOOKUP(B199,Sheet1!A:A,Sheet1!D:D)</f>
        <v>4.5</v>
      </c>
      <c r="F199">
        <f>_xlfn.XLOOKUP(Sheet3!B199,Sheet1!A:A,Sheet1!E:E)</f>
        <v>4</v>
      </c>
      <c r="G199">
        <f>_xlfn.XLOOKUP(B199,Sheet1!A:A,Sheet1!F:F)</f>
        <v>10</v>
      </c>
      <c r="H199" cm="1">
        <f t="array" aca="1" ref="H199" ca="1">INDEX(Sheet1!$G$2:$G$3, RANDBETWEEN(1, ROWS(Sheet1!$G$2:$G$3)))</f>
        <v>0</v>
      </c>
    </row>
    <row r="200" spans="1:8" x14ac:dyDescent="0.3">
      <c r="A200" s="2" t="str" cm="1">
        <f t="array" aca="1" ref="A200" ca="1">INDEX(Sheet1!$A$2:$A$46, RANDBETWEEN(1,ROWS(Sheet1!$A$2:$A$46)))</f>
        <v>B026</v>
      </c>
      <c r="B200" s="2" t="s">
        <v>72</v>
      </c>
      <c r="C200" t="str">
        <f>_xlfn.XLOOKUP(B200, Sheet1!A:A, Sheet1!B:B)</f>
        <v>cherry pie</v>
      </c>
      <c r="D200">
        <f>_xlfn.XLOOKUP(B200,Sheet1!A:A,Sheet1!C:C)</f>
        <v>6</v>
      </c>
      <c r="E200">
        <f>_xlfn.XLOOKUP(B200,Sheet1!A:A,Sheet1!D:D)</f>
        <v>4</v>
      </c>
      <c r="F200">
        <f>_xlfn.XLOOKUP(Sheet3!B200,Sheet1!A:A,Sheet1!E:E)</f>
        <v>3</v>
      </c>
      <c r="G200">
        <f>_xlfn.XLOOKUP(B200,Sheet1!A:A,Sheet1!F:F)</f>
        <v>7</v>
      </c>
      <c r="H200" t="str" cm="1">
        <f t="array" aca="1" ref="H200" ca="1">INDEX(Sheet1!$G$2:$G$3, RANDBETWEEN(1, ROWS(Sheet1!$G$2:$G$3)))</f>
        <v>No</v>
      </c>
    </row>
    <row r="201" spans="1:8" x14ac:dyDescent="0.3">
      <c r="A201" s="2" t="str" cm="1">
        <f t="array" aca="1" ref="A201" ca="1">INDEX(Sheet1!$A$2:$A$46, RANDBETWEEN(1,ROWS(Sheet1!$A$2:$A$46)))</f>
        <v>B020</v>
      </c>
      <c r="B201" s="2" t="s">
        <v>64</v>
      </c>
      <c r="C201" t="str">
        <f>_xlfn.XLOOKUP(B201, Sheet1!A:A, Sheet1!B:B)</f>
        <v>marble bread</v>
      </c>
      <c r="D201">
        <f>_xlfn.XLOOKUP(B201,Sheet1!A:A,Sheet1!C:C)</f>
        <v>8</v>
      </c>
      <c r="E201">
        <f>_xlfn.XLOOKUP(B201,Sheet1!A:A,Sheet1!D:D)</f>
        <v>3.5</v>
      </c>
      <c r="F201">
        <f>_xlfn.XLOOKUP(Sheet3!B201,Sheet1!A:A,Sheet1!E:E)</f>
        <v>3</v>
      </c>
      <c r="G201">
        <f>_xlfn.XLOOKUP(B201,Sheet1!A:A,Sheet1!F:F)</f>
        <v>8</v>
      </c>
      <c r="H201" t="str" cm="1">
        <f t="array" aca="1" ref="H201" ca="1">INDEX(Sheet1!$G$2:$G$3, RANDBETWEEN(1, ROWS(Sheet1!$G$2:$G$3)))</f>
        <v>No</v>
      </c>
    </row>
    <row r="202" spans="1:8" x14ac:dyDescent="0.3">
      <c r="A202" s="2" t="str" cm="1">
        <f t="array" aca="1" ref="A202" ca="1">INDEX(Sheet1!$A$2:$A$46, RANDBETWEEN(1,ROWS(Sheet1!$A$2:$A$46)))</f>
        <v>B018</v>
      </c>
      <c r="B202" s="2" t="s">
        <v>80</v>
      </c>
      <c r="C202" t="str">
        <f>_xlfn.XLOOKUP(B202, Sheet1!A:A, Sheet1!B:B)</f>
        <v>carrot square cake</v>
      </c>
      <c r="D202">
        <f>_xlfn.XLOOKUP(B202,Sheet1!A:A,Sheet1!C:C)</f>
        <v>8</v>
      </c>
      <c r="E202">
        <f>_xlfn.XLOOKUP(B202,Sheet1!A:A,Sheet1!D:D)</f>
        <v>2.5</v>
      </c>
      <c r="F202">
        <f>_xlfn.XLOOKUP(Sheet3!B202,Sheet1!A:A,Sheet1!E:E)</f>
        <v>2</v>
      </c>
      <c r="G202">
        <f>_xlfn.XLOOKUP(B202,Sheet1!A:A,Sheet1!F:F)</f>
        <v>5</v>
      </c>
      <c r="H202" cm="1">
        <f t="array" aca="1" ref="H202" ca="1">INDEX(Sheet1!$G$2:$G$3, RANDBETWEEN(1, ROWS(Sheet1!$G$2:$G$3)))</f>
        <v>0</v>
      </c>
    </row>
    <row r="203" spans="1:8" x14ac:dyDescent="0.3">
      <c r="A203" s="2" t="str" cm="1">
        <f t="array" aca="1" ref="A203" ca="1">INDEX(Sheet1!$A$2:$A$46, RANDBETWEEN(1,ROWS(Sheet1!$A$2:$A$46)))</f>
        <v>B024</v>
      </c>
      <c r="B203" s="2" t="s">
        <v>62</v>
      </c>
      <c r="C203" t="str">
        <f>_xlfn.XLOOKUP(B203, Sheet1!A:A, Sheet1!B:B)</f>
        <v>vanilla sliced loaf cake</v>
      </c>
      <c r="D203">
        <f>_xlfn.XLOOKUP(B203,Sheet1!A:A,Sheet1!C:C)</f>
        <v>10</v>
      </c>
      <c r="E203">
        <f>_xlfn.XLOOKUP(B203,Sheet1!A:A,Sheet1!D:D)</f>
        <v>4</v>
      </c>
      <c r="F203">
        <f>_xlfn.XLOOKUP(Sheet3!B203,Sheet1!A:A,Sheet1!E:E)</f>
        <v>3.5</v>
      </c>
      <c r="G203">
        <f>_xlfn.XLOOKUP(B203,Sheet1!A:A,Sheet1!F:F)</f>
        <v>10</v>
      </c>
      <c r="H203" cm="1">
        <f t="array" aca="1" ref="H203" ca="1">INDEX(Sheet1!$G$2:$G$3, RANDBETWEEN(1, ROWS(Sheet1!$G$2:$G$3)))</f>
        <v>0</v>
      </c>
    </row>
    <row r="204" spans="1:8" x14ac:dyDescent="0.3">
      <c r="A204" s="2" t="str" cm="1">
        <f t="array" aca="1" ref="A204" ca="1">INDEX(Sheet1!$A$2:$A$46, RANDBETWEEN(1,ROWS(Sheet1!$A$2:$A$46)))</f>
        <v>B042</v>
      </c>
      <c r="B204" s="2" t="s">
        <v>24</v>
      </c>
      <c r="C204" t="str">
        <f>_xlfn.XLOOKUP(B204, Sheet1!A:A, Sheet1!B:B)</f>
        <v>tiramisu</v>
      </c>
      <c r="D204">
        <f>_xlfn.XLOOKUP(B204,Sheet1!A:A,Sheet1!C:C)</f>
        <v>8</v>
      </c>
      <c r="E204">
        <f>_xlfn.XLOOKUP(B204,Sheet1!A:A,Sheet1!D:D)</f>
        <v>7.5</v>
      </c>
      <c r="F204">
        <f>_xlfn.XLOOKUP(Sheet3!B204,Sheet1!A:A,Sheet1!E:E)</f>
        <v>5.5</v>
      </c>
      <c r="G204">
        <f>_xlfn.XLOOKUP(B204,Sheet1!A:A,Sheet1!F:F)</f>
        <v>7</v>
      </c>
      <c r="H204" cm="1">
        <f t="array" aca="1" ref="H204" ca="1">INDEX(Sheet1!$G$2:$G$3, RANDBETWEEN(1, ROWS(Sheet1!$G$2:$G$3)))</f>
        <v>0</v>
      </c>
    </row>
    <row r="205" spans="1:8" x14ac:dyDescent="0.3">
      <c r="A205" s="2" t="str" cm="1">
        <f t="array" aca="1" ref="A205" ca="1">INDEX(Sheet1!$A$2:$A$46, RANDBETWEEN(1,ROWS(Sheet1!$A$2:$A$46)))</f>
        <v>B018</v>
      </c>
      <c r="B205" s="2" t="s">
        <v>19</v>
      </c>
      <c r="C205" t="str">
        <f>_xlfn.XLOOKUP(B205, Sheet1!A:A, Sheet1!B:B)</f>
        <v>blueberry muffins</v>
      </c>
      <c r="D205">
        <f>_xlfn.XLOOKUP(B205,Sheet1!A:A,Sheet1!C:C)</f>
        <v>10</v>
      </c>
      <c r="E205">
        <f>_xlfn.XLOOKUP(B205,Sheet1!A:A,Sheet1!D:D)</f>
        <v>4.5</v>
      </c>
      <c r="F205">
        <f>_xlfn.XLOOKUP(Sheet3!B205,Sheet1!A:A,Sheet1!E:E)</f>
        <v>4</v>
      </c>
      <c r="G205">
        <f>_xlfn.XLOOKUP(B205,Sheet1!A:A,Sheet1!F:F)</f>
        <v>10</v>
      </c>
      <c r="H205" t="str" cm="1">
        <f t="array" aca="1" ref="H205" ca="1">INDEX(Sheet1!$G$2:$G$3, RANDBETWEEN(1, ROWS(Sheet1!$G$2:$G$3)))</f>
        <v>No</v>
      </c>
    </row>
    <row r="206" spans="1:8" x14ac:dyDescent="0.3">
      <c r="A206" s="2" t="str" cm="1">
        <f t="array" aca="1" ref="A206" ca="1">INDEX(Sheet1!$A$2:$A$46, RANDBETWEEN(1,ROWS(Sheet1!$A$2:$A$46)))</f>
        <v>B016</v>
      </c>
      <c r="B206" s="2" t="s">
        <v>72</v>
      </c>
      <c r="C206" t="str">
        <f>_xlfn.XLOOKUP(B206, Sheet1!A:A, Sheet1!B:B)</f>
        <v>cherry pie</v>
      </c>
      <c r="D206">
        <f>_xlfn.XLOOKUP(B206,Sheet1!A:A,Sheet1!C:C)</f>
        <v>6</v>
      </c>
      <c r="E206">
        <f>_xlfn.XLOOKUP(B206,Sheet1!A:A,Sheet1!D:D)</f>
        <v>4</v>
      </c>
      <c r="F206">
        <f>_xlfn.XLOOKUP(Sheet3!B206,Sheet1!A:A,Sheet1!E:E)</f>
        <v>3</v>
      </c>
      <c r="G206">
        <f>_xlfn.XLOOKUP(B206,Sheet1!A:A,Sheet1!F:F)</f>
        <v>7</v>
      </c>
      <c r="H206" cm="1">
        <f t="array" aca="1" ref="H206" ca="1">INDEX(Sheet1!$G$2:$G$3, RANDBETWEEN(1, ROWS(Sheet1!$G$2:$G$3)))</f>
        <v>0</v>
      </c>
    </row>
    <row r="207" spans="1:8" x14ac:dyDescent="0.3">
      <c r="A207" s="2" t="str" cm="1">
        <f t="array" aca="1" ref="A207" ca="1">INDEX(Sheet1!$A$2:$A$46, RANDBETWEEN(1,ROWS(Sheet1!$A$2:$A$46)))</f>
        <v>B007</v>
      </c>
      <c r="B207" s="2" t="s">
        <v>90</v>
      </c>
      <c r="C207" t="str">
        <f>_xlfn.XLOOKUP(B207, Sheet1!A:A, Sheet1!B:B)</f>
        <v>mini brownies</v>
      </c>
      <c r="D207">
        <f>_xlfn.XLOOKUP(B207,Sheet1!A:A,Sheet1!C:C)</f>
        <v>12</v>
      </c>
      <c r="E207">
        <f>_xlfn.XLOOKUP(B207,Sheet1!A:A,Sheet1!D:D)</f>
        <v>4.5</v>
      </c>
      <c r="F207">
        <f>_xlfn.XLOOKUP(Sheet3!B207,Sheet1!A:A,Sheet1!E:E)</f>
        <v>4</v>
      </c>
      <c r="G207">
        <f>_xlfn.XLOOKUP(B207,Sheet1!A:A,Sheet1!F:F)</f>
        <v>14</v>
      </c>
      <c r="H207" t="str" cm="1">
        <f t="array" aca="1" ref="H207" ca="1">INDEX(Sheet1!$G$2:$G$3, RANDBETWEEN(1, ROWS(Sheet1!$G$2:$G$3)))</f>
        <v>No</v>
      </c>
    </row>
    <row r="208" spans="1:8" x14ac:dyDescent="0.3">
      <c r="A208" s="2" t="str" cm="1">
        <f t="array" aca="1" ref="A208" ca="1">INDEX(Sheet1!$A$2:$A$46, RANDBETWEEN(1,ROWS(Sheet1!$A$2:$A$46)))</f>
        <v>B027</v>
      </c>
      <c r="B208" s="2" t="s">
        <v>72</v>
      </c>
      <c r="C208" t="str">
        <f>_xlfn.XLOOKUP(B208, Sheet1!A:A, Sheet1!B:B)</f>
        <v>cherry pie</v>
      </c>
      <c r="D208">
        <f>_xlfn.XLOOKUP(B208,Sheet1!A:A,Sheet1!C:C)</f>
        <v>6</v>
      </c>
      <c r="E208">
        <f>_xlfn.XLOOKUP(B208,Sheet1!A:A,Sheet1!D:D)</f>
        <v>4</v>
      </c>
      <c r="F208">
        <f>_xlfn.XLOOKUP(Sheet3!B208,Sheet1!A:A,Sheet1!E:E)</f>
        <v>3</v>
      </c>
      <c r="G208">
        <f>_xlfn.XLOOKUP(B208,Sheet1!A:A,Sheet1!F:F)</f>
        <v>7</v>
      </c>
      <c r="H208" t="str" cm="1">
        <f t="array" aca="1" ref="H208" ca="1">INDEX(Sheet1!$G$2:$G$3, RANDBETWEEN(1, ROWS(Sheet1!$G$2:$G$3)))</f>
        <v>No</v>
      </c>
    </row>
    <row r="209" spans="1:8" x14ac:dyDescent="0.3">
      <c r="A209" s="2" t="str" cm="1">
        <f t="array" aca="1" ref="A209" ca="1">INDEX(Sheet1!$A$2:$A$46, RANDBETWEEN(1,ROWS(Sheet1!$A$2:$A$46)))</f>
        <v>B013</v>
      </c>
      <c r="B209" s="2" t="s">
        <v>21</v>
      </c>
      <c r="C209" t="str">
        <f>_xlfn.XLOOKUP(B209, Sheet1!A:A, Sheet1!B:B)</f>
        <v>butter cake</v>
      </c>
      <c r="D209">
        <f>_xlfn.XLOOKUP(B209,Sheet1!A:A,Sheet1!C:C)</f>
        <v>8</v>
      </c>
      <c r="E209">
        <f>_xlfn.XLOOKUP(B209,Sheet1!A:A,Sheet1!D:D)</f>
        <v>4</v>
      </c>
      <c r="F209">
        <f>_xlfn.XLOOKUP(Sheet3!B209,Sheet1!A:A,Sheet1!E:E)</f>
        <v>3</v>
      </c>
      <c r="G209">
        <f>_xlfn.XLOOKUP(B209,Sheet1!A:A,Sheet1!F:F)</f>
        <v>14</v>
      </c>
      <c r="H209" t="str" cm="1">
        <f t="array" aca="1" ref="H209" ca="1">INDEX(Sheet1!$G$2:$G$3, RANDBETWEEN(1, ROWS(Sheet1!$G$2:$G$3)))</f>
        <v>No</v>
      </c>
    </row>
    <row r="210" spans="1:8" x14ac:dyDescent="0.3">
      <c r="A210" s="2" t="str" cm="1">
        <f t="array" aca="1" ref="A210" ca="1">INDEX(Sheet1!$A$2:$A$46, RANDBETWEEN(1,ROWS(Sheet1!$A$2:$A$46)))</f>
        <v>B024</v>
      </c>
      <c r="B210" s="2" t="s">
        <v>38</v>
      </c>
      <c r="C210" t="str">
        <f>_xlfn.XLOOKUP(B210, Sheet1!A:A, Sheet1!B:B)</f>
        <v>snickerdoodle cookies</v>
      </c>
      <c r="D210">
        <f>_xlfn.XLOOKUP(B210,Sheet1!A:A,Sheet1!C:C)</f>
        <v>12</v>
      </c>
      <c r="E210">
        <f>_xlfn.XLOOKUP(B210,Sheet1!A:A,Sheet1!D:D)</f>
        <v>3.5</v>
      </c>
      <c r="F210">
        <f>_xlfn.XLOOKUP(Sheet3!B210,Sheet1!A:A,Sheet1!E:E)</f>
        <v>3</v>
      </c>
      <c r="G210">
        <f>_xlfn.XLOOKUP(B210,Sheet1!A:A,Sheet1!F:F)</f>
        <v>14</v>
      </c>
      <c r="H210" cm="1">
        <f t="array" aca="1" ref="H210" ca="1">INDEX(Sheet1!$G$2:$G$3, RANDBETWEEN(1, ROWS(Sheet1!$G$2:$G$3)))</f>
        <v>0</v>
      </c>
    </row>
    <row r="211" spans="1:8" x14ac:dyDescent="0.3">
      <c r="A211" s="2" t="str" cm="1">
        <f t="array" aca="1" ref="A211" ca="1">INDEX(Sheet1!$A$2:$A$46, RANDBETWEEN(1,ROWS(Sheet1!$A$2:$A$46)))</f>
        <v>B035</v>
      </c>
      <c r="B211" s="2" t="s">
        <v>60</v>
      </c>
      <c r="C211" t="str">
        <f>_xlfn.XLOOKUP(B211, Sheet1!A:A, Sheet1!B:B)</f>
        <v>banana nut sliced loaf cake</v>
      </c>
      <c r="D211">
        <f>_xlfn.XLOOKUP(B211,Sheet1!A:A,Sheet1!C:C)</f>
        <v>10</v>
      </c>
      <c r="E211">
        <f>_xlfn.XLOOKUP(B211,Sheet1!A:A,Sheet1!D:D)</f>
        <v>4</v>
      </c>
      <c r="F211">
        <f>_xlfn.XLOOKUP(Sheet3!B211,Sheet1!A:A,Sheet1!E:E)</f>
        <v>3.5</v>
      </c>
      <c r="G211">
        <f>_xlfn.XLOOKUP(B211,Sheet1!A:A,Sheet1!F:F)</f>
        <v>10</v>
      </c>
      <c r="H211" t="str" cm="1">
        <f t="array" aca="1" ref="H211" ca="1">INDEX(Sheet1!$G$2:$G$3, RANDBETWEEN(1, ROWS(Sheet1!$G$2:$G$3)))</f>
        <v>No</v>
      </c>
    </row>
    <row r="212" spans="1:8" x14ac:dyDescent="0.3">
      <c r="A212" s="2" t="str" cm="1">
        <f t="array" aca="1" ref="A212" ca="1">INDEX(Sheet1!$A$2:$A$46, RANDBETWEEN(1,ROWS(Sheet1!$A$2:$A$46)))</f>
        <v>B044</v>
      </c>
      <c r="B212" s="2" t="s">
        <v>34</v>
      </c>
      <c r="C212" t="str">
        <f>_xlfn.XLOOKUP(B212, Sheet1!A:A, Sheet1!B:B)</f>
        <v>almond croissant</v>
      </c>
      <c r="D212">
        <f>_xlfn.XLOOKUP(B212,Sheet1!A:A,Sheet1!C:C)</f>
        <v>6</v>
      </c>
      <c r="E212">
        <f>_xlfn.XLOOKUP(B212,Sheet1!A:A,Sheet1!D:D)</f>
        <v>3.5</v>
      </c>
      <c r="F212">
        <f>_xlfn.XLOOKUP(Sheet3!B212,Sheet1!A:A,Sheet1!E:E)</f>
        <v>3</v>
      </c>
      <c r="G212">
        <f>_xlfn.XLOOKUP(B212,Sheet1!A:A,Sheet1!F:F)</f>
        <v>10</v>
      </c>
      <c r="H212" cm="1">
        <f t="array" aca="1" ref="H212" ca="1">INDEX(Sheet1!$G$2:$G$3, RANDBETWEEN(1, ROWS(Sheet1!$G$2:$G$3)))</f>
        <v>0</v>
      </c>
    </row>
    <row r="213" spans="1:8" x14ac:dyDescent="0.3">
      <c r="A213" s="2" t="str" cm="1">
        <f t="array" aca="1" ref="A213" ca="1">INDEX(Sheet1!$A$2:$A$46, RANDBETWEEN(1,ROWS(Sheet1!$A$2:$A$46)))</f>
        <v>B003</v>
      </c>
      <c r="B213" s="2" t="s">
        <v>61</v>
      </c>
      <c r="C213" t="str">
        <f>_xlfn.XLOOKUP(B213, Sheet1!A:A, Sheet1!B:B)</f>
        <v>marble sliced loaf cake</v>
      </c>
      <c r="D213">
        <f>_xlfn.XLOOKUP(B213,Sheet1!A:A,Sheet1!C:C)</f>
        <v>10</v>
      </c>
      <c r="E213">
        <f>_xlfn.XLOOKUP(B213,Sheet1!A:A,Sheet1!D:D)</f>
        <v>4</v>
      </c>
      <c r="F213">
        <f>_xlfn.XLOOKUP(Sheet3!B213,Sheet1!A:A,Sheet1!E:E)</f>
        <v>3.5</v>
      </c>
      <c r="G213">
        <f>_xlfn.XLOOKUP(B213,Sheet1!A:A,Sheet1!F:F)</f>
        <v>10</v>
      </c>
      <c r="H213" cm="1">
        <f t="array" aca="1" ref="H213" ca="1">INDEX(Sheet1!$G$2:$G$3, RANDBETWEEN(1, ROWS(Sheet1!$G$2:$G$3)))</f>
        <v>0</v>
      </c>
    </row>
    <row r="214" spans="1:8" x14ac:dyDescent="0.3">
      <c r="A214" s="2" t="str" cm="1">
        <f t="array" aca="1" ref="A214" ca="1">INDEX(Sheet1!$A$2:$A$46, RANDBETWEEN(1,ROWS(Sheet1!$A$2:$A$46)))</f>
        <v>B014</v>
      </c>
      <c r="B214" s="2" t="s">
        <v>61</v>
      </c>
      <c r="C214" t="str">
        <f>_xlfn.XLOOKUP(B214, Sheet1!A:A, Sheet1!B:B)</f>
        <v>marble sliced loaf cake</v>
      </c>
      <c r="D214">
        <f>_xlfn.XLOOKUP(B214,Sheet1!A:A,Sheet1!C:C)</f>
        <v>10</v>
      </c>
      <c r="E214">
        <f>_xlfn.XLOOKUP(B214,Sheet1!A:A,Sheet1!D:D)</f>
        <v>4</v>
      </c>
      <c r="F214">
        <f>_xlfn.XLOOKUP(Sheet3!B214,Sheet1!A:A,Sheet1!E:E)</f>
        <v>3.5</v>
      </c>
      <c r="G214">
        <f>_xlfn.XLOOKUP(B214,Sheet1!A:A,Sheet1!F:F)</f>
        <v>10</v>
      </c>
      <c r="H214" t="str" cm="1">
        <f t="array" aca="1" ref="H214" ca="1">INDEX(Sheet1!$G$2:$G$3, RANDBETWEEN(1, ROWS(Sheet1!$G$2:$G$3)))</f>
        <v>No</v>
      </c>
    </row>
    <row r="215" spans="1:8" x14ac:dyDescent="0.3">
      <c r="A215" s="2" t="str" cm="1">
        <f t="array" aca="1" ref="A215" ca="1">INDEX(Sheet1!$A$2:$A$46, RANDBETWEEN(1,ROWS(Sheet1!$A$2:$A$46)))</f>
        <v>B036</v>
      </c>
      <c r="B215" s="2" t="s">
        <v>81</v>
      </c>
      <c r="C215" t="str">
        <f>_xlfn.XLOOKUP(B215, Sheet1!A:A, Sheet1!B:B)</f>
        <v>red velvet square cake</v>
      </c>
      <c r="D215">
        <f>_xlfn.XLOOKUP(B215,Sheet1!A:A,Sheet1!C:C)</f>
        <v>8</v>
      </c>
      <c r="E215">
        <f>_xlfn.XLOOKUP(B215,Sheet1!A:A,Sheet1!D:D)</f>
        <v>2.5</v>
      </c>
      <c r="F215">
        <f>_xlfn.XLOOKUP(Sheet3!B215,Sheet1!A:A,Sheet1!E:E)</f>
        <v>2</v>
      </c>
      <c r="G215">
        <f>_xlfn.XLOOKUP(B215,Sheet1!A:A,Sheet1!F:F)</f>
        <v>5</v>
      </c>
      <c r="H215" cm="1">
        <f t="array" aca="1" ref="H215" ca="1">INDEX(Sheet1!$G$2:$G$3, RANDBETWEEN(1, ROWS(Sheet1!$G$2:$G$3)))</f>
        <v>0</v>
      </c>
    </row>
    <row r="216" spans="1:8" x14ac:dyDescent="0.3">
      <c r="A216" s="2" t="str" cm="1">
        <f t="array" aca="1" ref="A216" ca="1">INDEX(Sheet1!$A$2:$A$46, RANDBETWEEN(1,ROWS(Sheet1!$A$2:$A$46)))</f>
        <v>B001</v>
      </c>
      <c r="B216" s="2" t="s">
        <v>89</v>
      </c>
      <c r="C216" t="str">
        <f>_xlfn.XLOOKUP(B216, Sheet1!A:A, Sheet1!B:B)</f>
        <v>blueberry bagels</v>
      </c>
      <c r="D216">
        <f>_xlfn.XLOOKUP(B216,Sheet1!A:A,Sheet1!C:C)</f>
        <v>8</v>
      </c>
      <c r="E216">
        <f>_xlfn.XLOOKUP(B216,Sheet1!A:A,Sheet1!D:D)</f>
        <v>3.5</v>
      </c>
      <c r="F216">
        <f>_xlfn.XLOOKUP(Sheet3!B216,Sheet1!A:A,Sheet1!E:E)</f>
        <v>3</v>
      </c>
      <c r="G216">
        <f>_xlfn.XLOOKUP(B216,Sheet1!A:A,Sheet1!F:F)</f>
        <v>8</v>
      </c>
      <c r="H216" cm="1">
        <f t="array" aca="1" ref="H216" ca="1">INDEX(Sheet1!$G$2:$G$3, RANDBETWEEN(1, ROWS(Sheet1!$G$2:$G$3)))</f>
        <v>0</v>
      </c>
    </row>
    <row r="217" spans="1:8" x14ac:dyDescent="0.3">
      <c r="A217" s="2" t="str" cm="1">
        <f t="array" aca="1" ref="A217" ca="1">INDEX(Sheet1!$A$2:$A$46, RANDBETWEEN(1,ROWS(Sheet1!$A$2:$A$46)))</f>
        <v>B007</v>
      </c>
      <c r="B217" s="2" t="s">
        <v>66</v>
      </c>
      <c r="C217" t="str">
        <f>_xlfn.XLOOKUP(B217, Sheet1!A:A, Sheet1!B:B)</f>
        <v>pumpernickel bread</v>
      </c>
      <c r="D217">
        <f>_xlfn.XLOOKUP(B217,Sheet1!A:A,Sheet1!C:C)</f>
        <v>8</v>
      </c>
      <c r="E217">
        <f>_xlfn.XLOOKUP(B217,Sheet1!A:A,Sheet1!D:D)</f>
        <v>3.5</v>
      </c>
      <c r="F217">
        <f>_xlfn.XLOOKUP(Sheet3!B217,Sheet1!A:A,Sheet1!E:E)</f>
        <v>3</v>
      </c>
      <c r="G217">
        <f>_xlfn.XLOOKUP(B217,Sheet1!A:A,Sheet1!F:F)</f>
        <v>8</v>
      </c>
      <c r="H217" cm="1">
        <f t="array" aca="1" ref="H217" ca="1">INDEX(Sheet1!$G$2:$G$3, RANDBETWEEN(1, ROWS(Sheet1!$G$2:$G$3)))</f>
        <v>0</v>
      </c>
    </row>
    <row r="218" spans="1:8" x14ac:dyDescent="0.3">
      <c r="A218" s="2" t="str" cm="1">
        <f t="array" aca="1" ref="A218" ca="1">INDEX(Sheet1!$A$2:$A$46, RANDBETWEEN(1,ROWS(Sheet1!$A$2:$A$46)))</f>
        <v>B030</v>
      </c>
      <c r="B218" s="2" t="s">
        <v>64</v>
      </c>
      <c r="C218" t="str">
        <f>_xlfn.XLOOKUP(B218, Sheet1!A:A, Sheet1!B:B)</f>
        <v>marble bread</v>
      </c>
      <c r="D218">
        <f>_xlfn.XLOOKUP(B218,Sheet1!A:A,Sheet1!C:C)</f>
        <v>8</v>
      </c>
      <c r="E218">
        <f>_xlfn.XLOOKUP(B218,Sheet1!A:A,Sheet1!D:D)</f>
        <v>3.5</v>
      </c>
      <c r="F218">
        <f>_xlfn.XLOOKUP(Sheet3!B218,Sheet1!A:A,Sheet1!E:E)</f>
        <v>3</v>
      </c>
      <c r="G218">
        <f>_xlfn.XLOOKUP(B218,Sheet1!A:A,Sheet1!F:F)</f>
        <v>8</v>
      </c>
      <c r="H218" t="str" cm="1">
        <f t="array" aca="1" ref="H218" ca="1">INDEX(Sheet1!$G$2:$G$3, RANDBETWEEN(1, ROWS(Sheet1!$G$2:$G$3)))</f>
        <v>No</v>
      </c>
    </row>
    <row r="219" spans="1:8" x14ac:dyDescent="0.3">
      <c r="A219" s="2" t="str" cm="1">
        <f t="array" aca="1" ref="A219" ca="1">INDEX(Sheet1!$A$2:$A$46, RANDBETWEEN(1,ROWS(Sheet1!$A$2:$A$46)))</f>
        <v>B004</v>
      </c>
      <c r="B219" s="2" t="s">
        <v>38</v>
      </c>
      <c r="C219" t="str">
        <f>_xlfn.XLOOKUP(B219, Sheet1!A:A, Sheet1!B:B)</f>
        <v>snickerdoodle cookies</v>
      </c>
      <c r="D219">
        <f>_xlfn.XLOOKUP(B219,Sheet1!A:A,Sheet1!C:C)</f>
        <v>12</v>
      </c>
      <c r="E219">
        <f>_xlfn.XLOOKUP(B219,Sheet1!A:A,Sheet1!D:D)</f>
        <v>3.5</v>
      </c>
      <c r="F219">
        <f>_xlfn.XLOOKUP(Sheet3!B219,Sheet1!A:A,Sheet1!E:E)</f>
        <v>3</v>
      </c>
      <c r="G219">
        <f>_xlfn.XLOOKUP(B219,Sheet1!A:A,Sheet1!F:F)</f>
        <v>14</v>
      </c>
      <c r="H219" t="str" cm="1">
        <f t="array" aca="1" ref="H219" ca="1">INDEX(Sheet1!$G$2:$G$3, RANDBETWEEN(1, ROWS(Sheet1!$G$2:$G$3)))</f>
        <v>No</v>
      </c>
    </row>
    <row r="220" spans="1:8" x14ac:dyDescent="0.3">
      <c r="A220" s="2" t="str" cm="1">
        <f t="array" aca="1" ref="A220" ca="1">INDEX(Sheet1!$A$2:$A$46, RANDBETWEEN(1,ROWS(Sheet1!$A$2:$A$46)))</f>
        <v>B030</v>
      </c>
      <c r="B220" s="2" t="s">
        <v>55</v>
      </c>
      <c r="C220" t="str">
        <f>_xlfn.XLOOKUP(B220, Sheet1!A:A, Sheet1!B:B)</f>
        <v>cookies &amp; creme cake</v>
      </c>
      <c r="D220">
        <f>_xlfn.XLOOKUP(B220,Sheet1!A:A,Sheet1!C:C)</f>
        <v>4</v>
      </c>
      <c r="E220">
        <f>_xlfn.XLOOKUP(B220,Sheet1!A:A,Sheet1!D:D)</f>
        <v>8.5</v>
      </c>
      <c r="F220">
        <f>_xlfn.XLOOKUP(Sheet3!B220,Sheet1!A:A,Sheet1!E:E)</f>
        <v>6</v>
      </c>
      <c r="G220">
        <f>_xlfn.XLOOKUP(B220,Sheet1!A:A,Sheet1!F:F)</f>
        <v>7</v>
      </c>
      <c r="H220" cm="1">
        <f t="array" aca="1" ref="H220" ca="1">INDEX(Sheet1!$G$2:$G$3, RANDBETWEEN(1, ROWS(Sheet1!$G$2:$G$3)))</f>
        <v>0</v>
      </c>
    </row>
    <row r="221" spans="1:8" x14ac:dyDescent="0.3">
      <c r="A221" s="2" t="str" cm="1">
        <f t="array" aca="1" ref="A221" ca="1">INDEX(Sheet1!$A$2:$A$46, RANDBETWEEN(1,ROWS(Sheet1!$A$2:$A$46)))</f>
        <v>B010</v>
      </c>
      <c r="B221" s="2" t="s">
        <v>19</v>
      </c>
      <c r="C221" t="str">
        <f>_xlfn.XLOOKUP(B221, Sheet1!A:A, Sheet1!B:B)</f>
        <v>blueberry muffins</v>
      </c>
      <c r="D221">
        <f>_xlfn.XLOOKUP(B221,Sheet1!A:A,Sheet1!C:C)</f>
        <v>10</v>
      </c>
      <c r="E221">
        <f>_xlfn.XLOOKUP(B221,Sheet1!A:A,Sheet1!D:D)</f>
        <v>4.5</v>
      </c>
      <c r="F221">
        <f>_xlfn.XLOOKUP(Sheet3!B221,Sheet1!A:A,Sheet1!E:E)</f>
        <v>4</v>
      </c>
      <c r="G221">
        <f>_xlfn.XLOOKUP(B221,Sheet1!A:A,Sheet1!F:F)</f>
        <v>10</v>
      </c>
      <c r="H221" cm="1">
        <f t="array" aca="1" ref="H221" ca="1">INDEX(Sheet1!$G$2:$G$3, RANDBETWEEN(1, ROWS(Sheet1!$G$2:$G$3)))</f>
        <v>0</v>
      </c>
    </row>
    <row r="222" spans="1:8" x14ac:dyDescent="0.3">
      <c r="A222" s="2" t="str" cm="1">
        <f t="array" aca="1" ref="A222" ca="1">INDEX(Sheet1!$A$2:$A$46, RANDBETWEEN(1,ROWS(Sheet1!$A$2:$A$46)))</f>
        <v>B032</v>
      </c>
      <c r="B222" s="2" t="s">
        <v>69</v>
      </c>
      <c r="C222" t="str">
        <f>_xlfn.XLOOKUP(B222, Sheet1!A:A, Sheet1!B:B)</f>
        <v>coconut creme pie</v>
      </c>
      <c r="D222">
        <f>_xlfn.XLOOKUP(B222,Sheet1!A:A,Sheet1!C:C)</f>
        <v>6</v>
      </c>
      <c r="E222">
        <f>_xlfn.XLOOKUP(B222,Sheet1!A:A,Sheet1!D:D)</f>
        <v>4</v>
      </c>
      <c r="F222">
        <f>_xlfn.XLOOKUP(Sheet3!B222,Sheet1!A:A,Sheet1!E:E)</f>
        <v>3</v>
      </c>
      <c r="G222">
        <f>_xlfn.XLOOKUP(B222,Sheet1!A:A,Sheet1!F:F)</f>
        <v>7</v>
      </c>
      <c r="H222" cm="1">
        <f t="array" aca="1" ref="H222" ca="1">INDEX(Sheet1!$G$2:$G$3, RANDBETWEEN(1, ROWS(Sheet1!$G$2:$G$3)))</f>
        <v>0</v>
      </c>
    </row>
    <row r="223" spans="1:8" x14ac:dyDescent="0.3">
      <c r="A223" s="2" t="str" cm="1">
        <f t="array" aca="1" ref="A223" ca="1">INDEX(Sheet1!$A$2:$A$46, RANDBETWEEN(1,ROWS(Sheet1!$A$2:$A$46)))</f>
        <v>B045</v>
      </c>
      <c r="B223" s="2" t="s">
        <v>71</v>
      </c>
      <c r="C223" t="str">
        <f>_xlfn.XLOOKUP(B223, Sheet1!A:A, Sheet1!B:B)</f>
        <v>blueberry pie</v>
      </c>
      <c r="D223">
        <f>_xlfn.XLOOKUP(B223,Sheet1!A:A,Sheet1!C:C)</f>
        <v>6</v>
      </c>
      <c r="E223">
        <f>_xlfn.XLOOKUP(B223,Sheet1!A:A,Sheet1!D:D)</f>
        <v>4</v>
      </c>
      <c r="F223">
        <f>_xlfn.XLOOKUP(Sheet3!B223,Sheet1!A:A,Sheet1!E:E)</f>
        <v>3</v>
      </c>
      <c r="G223">
        <f>_xlfn.XLOOKUP(B223,Sheet1!A:A,Sheet1!F:F)</f>
        <v>7</v>
      </c>
      <c r="H223" t="str" cm="1">
        <f t="array" aca="1" ref="H223" ca="1">INDEX(Sheet1!$G$2:$G$3, RANDBETWEEN(1, ROWS(Sheet1!$G$2:$G$3)))</f>
        <v>No</v>
      </c>
    </row>
    <row r="224" spans="1:8" x14ac:dyDescent="0.3">
      <c r="A224" s="2" t="str" cm="1">
        <f t="array" aca="1" ref="A224" ca="1">INDEX(Sheet1!$A$2:$A$46, RANDBETWEEN(1,ROWS(Sheet1!$A$2:$A$46)))</f>
        <v>B021</v>
      </c>
      <c r="B224" s="2" t="s">
        <v>68</v>
      </c>
      <c r="C224" t="str">
        <f>_xlfn.XLOOKUP(B224, Sheet1!A:A, Sheet1!B:B)</f>
        <v>oreja cookies</v>
      </c>
      <c r="D224">
        <f>_xlfn.XLOOKUP(B224,Sheet1!A:A,Sheet1!C:C)</f>
        <v>15</v>
      </c>
      <c r="E224">
        <f>_xlfn.XLOOKUP(B224,Sheet1!A:A,Sheet1!D:D)</f>
        <v>4</v>
      </c>
      <c r="F224">
        <f>_xlfn.XLOOKUP(Sheet3!B224,Sheet1!A:A,Sheet1!E:E)</f>
        <v>3</v>
      </c>
      <c r="G224">
        <f>_xlfn.XLOOKUP(B224,Sheet1!A:A,Sheet1!F:F)</f>
        <v>14</v>
      </c>
      <c r="H224" cm="1">
        <f t="array" aca="1" ref="H224" ca="1">INDEX(Sheet1!$G$2:$G$3, RANDBETWEEN(1, ROWS(Sheet1!$G$2:$G$3)))</f>
        <v>0</v>
      </c>
    </row>
    <row r="225" spans="1:8" x14ac:dyDescent="0.3">
      <c r="A225" s="2" t="str" cm="1">
        <f t="array" aca="1" ref="A225" ca="1">INDEX(Sheet1!$A$2:$A$46, RANDBETWEEN(1,ROWS(Sheet1!$A$2:$A$46)))</f>
        <v>B004</v>
      </c>
      <c r="B225" s="2" t="s">
        <v>68</v>
      </c>
      <c r="C225" t="str">
        <f>_xlfn.XLOOKUP(B225, Sheet1!A:A, Sheet1!B:B)</f>
        <v>oreja cookies</v>
      </c>
      <c r="D225">
        <f>_xlfn.XLOOKUP(B225,Sheet1!A:A,Sheet1!C:C)</f>
        <v>15</v>
      </c>
      <c r="E225">
        <f>_xlfn.XLOOKUP(B225,Sheet1!A:A,Sheet1!D:D)</f>
        <v>4</v>
      </c>
      <c r="F225">
        <f>_xlfn.XLOOKUP(Sheet3!B225,Sheet1!A:A,Sheet1!E:E)</f>
        <v>3</v>
      </c>
      <c r="G225">
        <f>_xlfn.XLOOKUP(B225,Sheet1!A:A,Sheet1!F:F)</f>
        <v>14</v>
      </c>
      <c r="H225" cm="1">
        <f t="array" aca="1" ref="H225" ca="1">INDEX(Sheet1!$G$2:$G$3, RANDBETWEEN(1, ROWS(Sheet1!$G$2:$G$3)))</f>
        <v>0</v>
      </c>
    </row>
    <row r="226" spans="1:8" x14ac:dyDescent="0.3">
      <c r="A226" s="2" t="str" cm="1">
        <f t="array" aca="1" ref="A226" ca="1">INDEX(Sheet1!$A$2:$A$46, RANDBETWEEN(1,ROWS(Sheet1!$A$2:$A$46)))</f>
        <v>B030</v>
      </c>
      <c r="B226" s="2" t="s">
        <v>62</v>
      </c>
      <c r="C226" t="str">
        <f>_xlfn.XLOOKUP(B226, Sheet1!A:A, Sheet1!B:B)</f>
        <v>vanilla sliced loaf cake</v>
      </c>
      <c r="D226">
        <f>_xlfn.XLOOKUP(B226,Sheet1!A:A,Sheet1!C:C)</f>
        <v>10</v>
      </c>
      <c r="E226">
        <f>_xlfn.XLOOKUP(B226,Sheet1!A:A,Sheet1!D:D)</f>
        <v>4</v>
      </c>
      <c r="F226">
        <f>_xlfn.XLOOKUP(Sheet3!B226,Sheet1!A:A,Sheet1!E:E)</f>
        <v>3.5</v>
      </c>
      <c r="G226">
        <f>_xlfn.XLOOKUP(B226,Sheet1!A:A,Sheet1!F:F)</f>
        <v>10</v>
      </c>
      <c r="H226" cm="1">
        <f t="array" aca="1" ref="H226" ca="1">INDEX(Sheet1!$G$2:$G$3, RANDBETWEEN(1, ROWS(Sheet1!$G$2:$G$3)))</f>
        <v>0</v>
      </c>
    </row>
    <row r="227" spans="1:8" x14ac:dyDescent="0.3">
      <c r="A227" s="2" t="str" cm="1">
        <f t="array" aca="1" ref="A227" ca="1">INDEX(Sheet1!$A$2:$A$46, RANDBETWEEN(1,ROWS(Sheet1!$A$2:$A$46)))</f>
        <v>B015</v>
      </c>
      <c r="B227" s="2" t="s">
        <v>79</v>
      </c>
      <c r="C227" t="str">
        <f>_xlfn.XLOOKUP(B227, Sheet1!A:A, Sheet1!B:B)</f>
        <v>chocolate square cake</v>
      </c>
      <c r="D227">
        <f>_xlfn.XLOOKUP(B227,Sheet1!A:A,Sheet1!C:C)</f>
        <v>8</v>
      </c>
      <c r="E227">
        <f>_xlfn.XLOOKUP(B227,Sheet1!A:A,Sheet1!D:D)</f>
        <v>2.5</v>
      </c>
      <c r="F227">
        <f>_xlfn.XLOOKUP(Sheet3!B227,Sheet1!A:A,Sheet1!E:E)</f>
        <v>2</v>
      </c>
      <c r="G227">
        <f>_xlfn.XLOOKUP(B227,Sheet1!A:A,Sheet1!F:F)</f>
        <v>5</v>
      </c>
      <c r="H227" cm="1">
        <f t="array" aca="1" ref="H227" ca="1">INDEX(Sheet1!$G$2:$G$3, RANDBETWEEN(1, ROWS(Sheet1!$G$2:$G$3)))</f>
        <v>0</v>
      </c>
    </row>
    <row r="228" spans="1:8" x14ac:dyDescent="0.3">
      <c r="A228" s="2" t="str" cm="1">
        <f t="array" aca="1" ref="A228" ca="1">INDEX(Sheet1!$A$2:$A$46, RANDBETWEEN(1,ROWS(Sheet1!$A$2:$A$46)))</f>
        <v>B023</v>
      </c>
      <c r="B228" s="2" t="s">
        <v>82</v>
      </c>
      <c r="C228" t="str">
        <f>_xlfn.XLOOKUP(B228, Sheet1!A:A, Sheet1!B:B)</f>
        <v>white square cake</v>
      </c>
      <c r="D228">
        <f>_xlfn.XLOOKUP(B228,Sheet1!A:A,Sheet1!C:C)</f>
        <v>8</v>
      </c>
      <c r="E228">
        <f>_xlfn.XLOOKUP(B228,Sheet1!A:A,Sheet1!D:D)</f>
        <v>2.5</v>
      </c>
      <c r="F228">
        <f>_xlfn.XLOOKUP(Sheet3!B228,Sheet1!A:A,Sheet1!E:E)</f>
        <v>2</v>
      </c>
      <c r="G228">
        <f>_xlfn.XLOOKUP(B228,Sheet1!A:A,Sheet1!F:F)</f>
        <v>5</v>
      </c>
      <c r="H228" cm="1">
        <f t="array" aca="1" ref="H228" ca="1">INDEX(Sheet1!$G$2:$G$3, RANDBETWEEN(1, ROWS(Sheet1!$G$2:$G$3)))</f>
        <v>0</v>
      </c>
    </row>
    <row r="229" spans="1:8" x14ac:dyDescent="0.3">
      <c r="A229" s="2" t="str" cm="1">
        <f t="array" aca="1" ref="A229" ca="1">INDEX(Sheet1!$A$2:$A$46, RANDBETWEEN(1,ROWS(Sheet1!$A$2:$A$46)))</f>
        <v>B031</v>
      </c>
      <c r="B229" s="2" t="s">
        <v>41</v>
      </c>
      <c r="C229" t="str">
        <f>_xlfn.XLOOKUP(B229, Sheet1!A:A, Sheet1!B:B)</f>
        <v>frosted blue cookies</v>
      </c>
      <c r="D229">
        <f>_xlfn.XLOOKUP(B229,Sheet1!A:A,Sheet1!C:C)</f>
        <v>15</v>
      </c>
      <c r="E229">
        <f>_xlfn.XLOOKUP(B229,Sheet1!A:A,Sheet1!D:D)</f>
        <v>3</v>
      </c>
      <c r="F229">
        <f>_xlfn.XLOOKUP(Sheet3!B229,Sheet1!A:A,Sheet1!E:E)</f>
        <v>2.5</v>
      </c>
      <c r="G229">
        <f>_xlfn.XLOOKUP(B229,Sheet1!A:A,Sheet1!F:F)</f>
        <v>14</v>
      </c>
      <c r="H229" cm="1">
        <f t="array" aca="1" ref="H229" ca="1">INDEX(Sheet1!$G$2:$G$3, RANDBETWEEN(1, ROWS(Sheet1!$G$2:$G$3)))</f>
        <v>0</v>
      </c>
    </row>
    <row r="230" spans="1:8" x14ac:dyDescent="0.3">
      <c r="A230" s="2" t="str" cm="1">
        <f t="array" aca="1" ref="A230" ca="1">INDEX(Sheet1!$A$2:$A$46, RANDBETWEEN(1,ROWS(Sheet1!$A$2:$A$46)))</f>
        <v>B025</v>
      </c>
      <c r="B230" s="2" t="s">
        <v>39</v>
      </c>
      <c r="C230" t="str">
        <f>_xlfn.XLOOKUP(B230, Sheet1!A:A, Sheet1!B:B)</f>
        <v>macadamia nut cookies</v>
      </c>
      <c r="D230">
        <f>_xlfn.XLOOKUP(B230,Sheet1!A:A,Sheet1!C:C)</f>
        <v>12</v>
      </c>
      <c r="E230">
        <f>_xlfn.XLOOKUP(B230,Sheet1!A:A,Sheet1!D:D)</f>
        <v>3.5</v>
      </c>
      <c r="F230">
        <f>_xlfn.XLOOKUP(Sheet3!B230,Sheet1!A:A,Sheet1!E:E)</f>
        <v>3</v>
      </c>
      <c r="G230">
        <f>_xlfn.XLOOKUP(B230,Sheet1!A:A,Sheet1!F:F)</f>
        <v>14</v>
      </c>
      <c r="H230" t="str" cm="1">
        <f t="array" aca="1" ref="H230" ca="1">INDEX(Sheet1!$G$2:$G$3, RANDBETWEEN(1, ROWS(Sheet1!$G$2:$G$3)))</f>
        <v>No</v>
      </c>
    </row>
    <row r="231" spans="1:8" x14ac:dyDescent="0.3">
      <c r="A231" s="2" t="str" cm="1">
        <f t="array" aca="1" ref="A231" ca="1">INDEX(Sheet1!$A$2:$A$46, RANDBETWEEN(1,ROWS(Sheet1!$A$2:$A$46)))</f>
        <v>B006</v>
      </c>
      <c r="B231" s="2" t="s">
        <v>83</v>
      </c>
      <c r="C231" t="str">
        <f>_xlfn.XLOOKUP(B231, Sheet1!A:A, Sheet1!B:B)</f>
        <v>pumpkin spice muffins</v>
      </c>
      <c r="D231">
        <f>_xlfn.XLOOKUP(B231,Sheet1!A:A,Sheet1!C:C)</f>
        <v>10</v>
      </c>
      <c r="E231">
        <f>_xlfn.XLOOKUP(B231,Sheet1!A:A,Sheet1!D:D)</f>
        <v>4.5</v>
      </c>
      <c r="F231">
        <f>_xlfn.XLOOKUP(Sheet3!B231,Sheet1!A:A,Sheet1!E:E)</f>
        <v>4</v>
      </c>
      <c r="G231">
        <f>_xlfn.XLOOKUP(B231,Sheet1!A:A,Sheet1!F:F)</f>
        <v>10</v>
      </c>
      <c r="H231" cm="1">
        <f t="array" aca="1" ref="H231" ca="1">INDEX(Sheet1!$G$2:$G$3, RANDBETWEEN(1, ROWS(Sheet1!$G$2:$G$3)))</f>
        <v>0</v>
      </c>
    </row>
    <row r="232" spans="1:8" x14ac:dyDescent="0.3">
      <c r="A232" s="2" t="str" cm="1">
        <f t="array" aca="1" ref="A232" ca="1">INDEX(Sheet1!$A$2:$A$46, RANDBETWEEN(1,ROWS(Sheet1!$A$2:$A$46)))</f>
        <v>B011</v>
      </c>
      <c r="B232" s="2" t="s">
        <v>84</v>
      </c>
      <c r="C232" t="str">
        <f>_xlfn.XLOOKUP(B232, Sheet1!A:A, Sheet1!B:B)</f>
        <v>plain bagels</v>
      </c>
      <c r="D232">
        <f>_xlfn.XLOOKUP(B232,Sheet1!A:A,Sheet1!C:C)</f>
        <v>8</v>
      </c>
      <c r="E232">
        <f>_xlfn.XLOOKUP(B232,Sheet1!A:A,Sheet1!D:D)</f>
        <v>3.5</v>
      </c>
      <c r="F232">
        <f>_xlfn.XLOOKUP(Sheet3!B232,Sheet1!A:A,Sheet1!E:E)</f>
        <v>3</v>
      </c>
      <c r="G232">
        <f>_xlfn.XLOOKUP(B232,Sheet1!A:A,Sheet1!F:F)</f>
        <v>8</v>
      </c>
      <c r="H232" cm="1">
        <f t="array" aca="1" ref="H232" ca="1">INDEX(Sheet1!$G$2:$G$3, RANDBETWEEN(1, ROWS(Sheet1!$G$2:$G$3)))</f>
        <v>0</v>
      </c>
    </row>
    <row r="233" spans="1:8" x14ac:dyDescent="0.3">
      <c r="A233" s="2" t="str" cm="1">
        <f t="array" aca="1" ref="A233" ca="1">INDEX(Sheet1!$A$2:$A$46, RANDBETWEEN(1,ROWS(Sheet1!$A$2:$A$46)))</f>
        <v>B030</v>
      </c>
      <c r="B233" s="2" t="s">
        <v>60</v>
      </c>
      <c r="C233" t="str">
        <f>_xlfn.XLOOKUP(B233, Sheet1!A:A, Sheet1!B:B)</f>
        <v>banana nut sliced loaf cake</v>
      </c>
      <c r="D233">
        <f>_xlfn.XLOOKUP(B233,Sheet1!A:A,Sheet1!C:C)</f>
        <v>10</v>
      </c>
      <c r="E233">
        <f>_xlfn.XLOOKUP(B233,Sheet1!A:A,Sheet1!D:D)</f>
        <v>4</v>
      </c>
      <c r="F233">
        <f>_xlfn.XLOOKUP(Sheet3!B233,Sheet1!A:A,Sheet1!E:E)</f>
        <v>3.5</v>
      </c>
      <c r="G233">
        <f>_xlfn.XLOOKUP(B233,Sheet1!A:A,Sheet1!F:F)</f>
        <v>10</v>
      </c>
      <c r="H233" t="str" cm="1">
        <f t="array" aca="1" ref="H233" ca="1">INDEX(Sheet1!$G$2:$G$3, RANDBETWEEN(1, ROWS(Sheet1!$G$2:$G$3)))</f>
        <v>No</v>
      </c>
    </row>
    <row r="234" spans="1:8" x14ac:dyDescent="0.3">
      <c r="A234" s="2" t="str" cm="1">
        <f t="array" aca="1" ref="A234" ca="1">INDEX(Sheet1!$A$2:$A$46, RANDBETWEEN(1,ROWS(Sheet1!$A$2:$A$46)))</f>
        <v>B031</v>
      </c>
      <c r="B234" s="2" t="s">
        <v>35</v>
      </c>
      <c r="C234" t="str">
        <f>_xlfn.XLOOKUP(B234, Sheet1!A:A, Sheet1!B:B)</f>
        <v>orange pound</v>
      </c>
      <c r="D234">
        <f>_xlfn.XLOOKUP(B234,Sheet1!A:A,Sheet1!C:C)</f>
        <v>8</v>
      </c>
      <c r="E234">
        <f>_xlfn.XLOOKUP(B234,Sheet1!A:A,Sheet1!D:D)</f>
        <v>3.5</v>
      </c>
      <c r="F234">
        <f>_xlfn.XLOOKUP(Sheet3!B234,Sheet1!A:A,Sheet1!E:E)</f>
        <v>3</v>
      </c>
      <c r="G234">
        <f>_xlfn.XLOOKUP(B234,Sheet1!A:A,Sheet1!F:F)</f>
        <v>14</v>
      </c>
      <c r="H234" t="str" cm="1">
        <f t="array" aca="1" ref="H234" ca="1">INDEX(Sheet1!$G$2:$G$3, RANDBETWEEN(1, ROWS(Sheet1!$G$2:$G$3)))</f>
        <v>No</v>
      </c>
    </row>
    <row r="235" spans="1:8" x14ac:dyDescent="0.3">
      <c r="A235" s="2" t="str" cm="1">
        <f t="array" aca="1" ref="A235" ca="1">INDEX(Sheet1!$A$2:$A$46, RANDBETWEEN(1,ROWS(Sheet1!$A$2:$A$46)))</f>
        <v>B003</v>
      </c>
      <c r="B235" s="2" t="s">
        <v>24</v>
      </c>
      <c r="C235" t="str">
        <f>_xlfn.XLOOKUP(B235, Sheet1!A:A, Sheet1!B:B)</f>
        <v>tiramisu</v>
      </c>
      <c r="D235">
        <f>_xlfn.XLOOKUP(B235,Sheet1!A:A,Sheet1!C:C)</f>
        <v>8</v>
      </c>
      <c r="E235">
        <f>_xlfn.XLOOKUP(B235,Sheet1!A:A,Sheet1!D:D)</f>
        <v>7.5</v>
      </c>
      <c r="F235">
        <f>_xlfn.XLOOKUP(Sheet3!B235,Sheet1!A:A,Sheet1!E:E)</f>
        <v>5.5</v>
      </c>
      <c r="G235">
        <f>_xlfn.XLOOKUP(B235,Sheet1!A:A,Sheet1!F:F)</f>
        <v>7</v>
      </c>
      <c r="H235" cm="1">
        <f t="array" aca="1" ref="H235" ca="1">INDEX(Sheet1!$G$2:$G$3, RANDBETWEEN(1, ROWS(Sheet1!$G$2:$G$3)))</f>
        <v>0</v>
      </c>
    </row>
    <row r="236" spans="1:8" x14ac:dyDescent="0.3">
      <c r="A236" s="2" t="str" cm="1">
        <f t="array" aca="1" ref="A236" ca="1">INDEX(Sheet1!$A$2:$A$46, RANDBETWEEN(1,ROWS(Sheet1!$A$2:$A$46)))</f>
        <v>B031</v>
      </c>
      <c r="B236" s="2" t="s">
        <v>36</v>
      </c>
      <c r="C236" t="str">
        <f>_xlfn.XLOOKUP(B236, Sheet1!A:A, Sheet1!B:B)</f>
        <v>oatmeal raisin cookies</v>
      </c>
      <c r="D236">
        <f>_xlfn.XLOOKUP(B236,Sheet1!A:A,Sheet1!C:C)</f>
        <v>12</v>
      </c>
      <c r="E236">
        <f>_xlfn.XLOOKUP(B236,Sheet1!A:A,Sheet1!D:D)</f>
        <v>3.5</v>
      </c>
      <c r="F236">
        <f>_xlfn.XLOOKUP(Sheet3!B236,Sheet1!A:A,Sheet1!E:E)</f>
        <v>3</v>
      </c>
      <c r="G236">
        <f>_xlfn.XLOOKUP(B236,Sheet1!A:A,Sheet1!F:F)</f>
        <v>14</v>
      </c>
      <c r="H236" cm="1">
        <f t="array" aca="1" ref="H236" ca="1">INDEX(Sheet1!$G$2:$G$3, RANDBETWEEN(1, ROWS(Sheet1!$G$2:$G$3)))</f>
        <v>0</v>
      </c>
    </row>
    <row r="237" spans="1:8" x14ac:dyDescent="0.3">
      <c r="A237" s="2" t="str" cm="1">
        <f t="array" aca="1" ref="A237" ca="1">INDEX(Sheet1!$A$2:$A$46, RANDBETWEEN(1,ROWS(Sheet1!$A$2:$A$46)))</f>
        <v>B023</v>
      </c>
      <c r="B237" s="2" t="s">
        <v>38</v>
      </c>
      <c r="C237" t="str">
        <f>_xlfn.XLOOKUP(B237, Sheet1!A:A, Sheet1!B:B)</f>
        <v>snickerdoodle cookies</v>
      </c>
      <c r="D237">
        <f>_xlfn.XLOOKUP(B237,Sheet1!A:A,Sheet1!C:C)</f>
        <v>12</v>
      </c>
      <c r="E237">
        <f>_xlfn.XLOOKUP(B237,Sheet1!A:A,Sheet1!D:D)</f>
        <v>3.5</v>
      </c>
      <c r="F237">
        <f>_xlfn.XLOOKUP(Sheet3!B237,Sheet1!A:A,Sheet1!E:E)</f>
        <v>3</v>
      </c>
      <c r="G237">
        <f>_xlfn.XLOOKUP(B237,Sheet1!A:A,Sheet1!F:F)</f>
        <v>14</v>
      </c>
      <c r="H237" t="str" cm="1">
        <f t="array" aca="1" ref="H237" ca="1">INDEX(Sheet1!$G$2:$G$3, RANDBETWEEN(1, ROWS(Sheet1!$G$2:$G$3)))</f>
        <v>No</v>
      </c>
    </row>
    <row r="238" spans="1:8" x14ac:dyDescent="0.3">
      <c r="A238" s="2" t="str" cm="1">
        <f t="array" aca="1" ref="A238" ca="1">INDEX(Sheet1!$A$2:$A$46, RANDBETWEEN(1,ROWS(Sheet1!$A$2:$A$46)))</f>
        <v>B004</v>
      </c>
      <c r="B238" s="2" t="s">
        <v>16</v>
      </c>
      <c r="C238" t="str">
        <f>_xlfn.XLOOKUP(B238, Sheet1!A:A, Sheet1!B:B)</f>
        <v>mini croissant</v>
      </c>
      <c r="D238">
        <f>_xlfn.XLOOKUP(B238,Sheet1!A:A,Sheet1!C:C)</f>
        <v>10</v>
      </c>
      <c r="E238">
        <f>_xlfn.XLOOKUP(B238,Sheet1!A:A,Sheet1!D:D)</f>
        <v>5.5</v>
      </c>
      <c r="F238">
        <f>_xlfn.XLOOKUP(Sheet3!B238,Sheet1!A:A,Sheet1!E:E)</f>
        <v>4.5</v>
      </c>
      <c r="G238">
        <f>_xlfn.XLOOKUP(B238,Sheet1!A:A,Sheet1!F:F)</f>
        <v>7</v>
      </c>
      <c r="H238" t="str" cm="1">
        <f t="array" aca="1" ref="H238" ca="1">INDEX(Sheet1!$G$2:$G$3, RANDBETWEEN(1, ROWS(Sheet1!$G$2:$G$3)))</f>
        <v>No</v>
      </c>
    </row>
    <row r="239" spans="1:8" x14ac:dyDescent="0.3">
      <c r="A239" s="2" t="str" cm="1">
        <f t="array" aca="1" ref="A239" ca="1">INDEX(Sheet1!$A$2:$A$46, RANDBETWEEN(1,ROWS(Sheet1!$A$2:$A$46)))</f>
        <v>B034</v>
      </c>
      <c r="B239" s="2" t="s">
        <v>41</v>
      </c>
      <c r="C239" t="str">
        <f>_xlfn.XLOOKUP(B239, Sheet1!A:A, Sheet1!B:B)</f>
        <v>frosted blue cookies</v>
      </c>
      <c r="D239">
        <f>_xlfn.XLOOKUP(B239,Sheet1!A:A,Sheet1!C:C)</f>
        <v>15</v>
      </c>
      <c r="E239">
        <f>_xlfn.XLOOKUP(B239,Sheet1!A:A,Sheet1!D:D)</f>
        <v>3</v>
      </c>
      <c r="F239">
        <f>_xlfn.XLOOKUP(Sheet3!B239,Sheet1!A:A,Sheet1!E:E)</f>
        <v>2.5</v>
      </c>
      <c r="G239">
        <f>_xlfn.XLOOKUP(B239,Sheet1!A:A,Sheet1!F:F)</f>
        <v>14</v>
      </c>
      <c r="H239" t="str" cm="1">
        <f t="array" aca="1" ref="H239" ca="1">INDEX(Sheet1!$G$2:$G$3, RANDBETWEEN(1, ROWS(Sheet1!$G$2:$G$3)))</f>
        <v>No</v>
      </c>
    </row>
    <row r="240" spans="1:8" x14ac:dyDescent="0.3">
      <c r="A240" s="2" t="str" cm="1">
        <f t="array" aca="1" ref="A240" ca="1">INDEX(Sheet1!$A$2:$A$46, RANDBETWEEN(1,ROWS(Sheet1!$A$2:$A$46)))</f>
        <v>B008</v>
      </c>
      <c r="B240" s="2" t="s">
        <v>83</v>
      </c>
      <c r="C240" t="str">
        <f>_xlfn.XLOOKUP(B240, Sheet1!A:A, Sheet1!B:B)</f>
        <v>pumpkin spice muffins</v>
      </c>
      <c r="D240">
        <f>_xlfn.XLOOKUP(B240,Sheet1!A:A,Sheet1!C:C)</f>
        <v>10</v>
      </c>
      <c r="E240">
        <f>_xlfn.XLOOKUP(B240,Sheet1!A:A,Sheet1!D:D)</f>
        <v>4.5</v>
      </c>
      <c r="F240">
        <f>_xlfn.XLOOKUP(Sheet3!B240,Sheet1!A:A,Sheet1!E:E)</f>
        <v>4</v>
      </c>
      <c r="G240">
        <f>_xlfn.XLOOKUP(B240,Sheet1!A:A,Sheet1!F:F)</f>
        <v>10</v>
      </c>
      <c r="H240" t="str" cm="1">
        <f t="array" aca="1" ref="H240" ca="1">INDEX(Sheet1!$G$2:$G$3, RANDBETWEEN(1, ROWS(Sheet1!$G$2:$G$3)))</f>
        <v>No</v>
      </c>
    </row>
    <row r="241" spans="1:8" x14ac:dyDescent="0.3">
      <c r="A241" s="2" t="str" cm="1">
        <f t="array" aca="1" ref="A241" ca="1">INDEX(Sheet1!$A$2:$A$46, RANDBETWEEN(1,ROWS(Sheet1!$A$2:$A$46)))</f>
        <v>B020</v>
      </c>
      <c r="B241" s="2" t="s">
        <v>90</v>
      </c>
      <c r="C241" t="str">
        <f>_xlfn.XLOOKUP(B241, Sheet1!A:A, Sheet1!B:B)</f>
        <v>mini brownies</v>
      </c>
      <c r="D241">
        <f>_xlfn.XLOOKUP(B241,Sheet1!A:A,Sheet1!C:C)</f>
        <v>12</v>
      </c>
      <c r="E241">
        <f>_xlfn.XLOOKUP(B241,Sheet1!A:A,Sheet1!D:D)</f>
        <v>4.5</v>
      </c>
      <c r="F241">
        <f>_xlfn.XLOOKUP(Sheet3!B241,Sheet1!A:A,Sheet1!E:E)</f>
        <v>4</v>
      </c>
      <c r="G241">
        <f>_xlfn.XLOOKUP(B241,Sheet1!A:A,Sheet1!F:F)</f>
        <v>14</v>
      </c>
      <c r="H241" t="str" cm="1">
        <f t="array" aca="1" ref="H241" ca="1">INDEX(Sheet1!$G$2:$G$3, RANDBETWEEN(1, ROWS(Sheet1!$G$2:$G$3)))</f>
        <v>No</v>
      </c>
    </row>
    <row r="242" spans="1:8" x14ac:dyDescent="0.3">
      <c r="A242" s="2" t="str" cm="1">
        <f t="array" aca="1" ref="A242" ca="1">INDEX(Sheet1!$A$2:$A$46, RANDBETWEEN(1,ROWS(Sheet1!$A$2:$A$46)))</f>
        <v>B008</v>
      </c>
      <c r="B242" s="2" t="s">
        <v>78</v>
      </c>
      <c r="C242" t="str">
        <f>_xlfn.XLOOKUP(B242, Sheet1!A:A, Sheet1!B:B)</f>
        <v>caramel pie</v>
      </c>
      <c r="D242">
        <f>_xlfn.XLOOKUP(B242,Sheet1!A:A,Sheet1!C:C)</f>
        <v>6</v>
      </c>
      <c r="E242">
        <f>_xlfn.XLOOKUP(B242,Sheet1!A:A,Sheet1!D:D)</f>
        <v>4</v>
      </c>
      <c r="F242">
        <f>_xlfn.XLOOKUP(Sheet3!B242,Sheet1!A:A,Sheet1!E:E)</f>
        <v>3</v>
      </c>
      <c r="G242">
        <f>_xlfn.XLOOKUP(B242,Sheet1!A:A,Sheet1!F:F)</f>
        <v>7</v>
      </c>
      <c r="H242" cm="1">
        <f t="array" aca="1" ref="H242" ca="1">INDEX(Sheet1!$G$2:$G$3, RANDBETWEEN(1, ROWS(Sheet1!$G$2:$G$3)))</f>
        <v>0</v>
      </c>
    </row>
    <row r="243" spans="1:8" x14ac:dyDescent="0.3">
      <c r="A243" s="2" t="str" cm="1">
        <f t="array" aca="1" ref="A243" ca="1">INDEX(Sheet1!$A$2:$A$46, RANDBETWEEN(1,ROWS(Sheet1!$A$2:$A$46)))</f>
        <v>B034</v>
      </c>
      <c r="B243" s="2" t="s">
        <v>16</v>
      </c>
      <c r="C243" t="str">
        <f>_xlfn.XLOOKUP(B243, Sheet1!A:A, Sheet1!B:B)</f>
        <v>mini croissant</v>
      </c>
      <c r="D243">
        <f>_xlfn.XLOOKUP(B243,Sheet1!A:A,Sheet1!C:C)</f>
        <v>10</v>
      </c>
      <c r="E243">
        <f>_xlfn.XLOOKUP(B243,Sheet1!A:A,Sheet1!D:D)</f>
        <v>5.5</v>
      </c>
      <c r="F243">
        <f>_xlfn.XLOOKUP(Sheet3!B243,Sheet1!A:A,Sheet1!E:E)</f>
        <v>4.5</v>
      </c>
      <c r="G243">
        <f>_xlfn.XLOOKUP(B243,Sheet1!A:A,Sheet1!F:F)</f>
        <v>7</v>
      </c>
      <c r="H243" t="str" cm="1">
        <f t="array" aca="1" ref="H243" ca="1">INDEX(Sheet1!$G$2:$G$3, RANDBETWEEN(1, ROWS(Sheet1!$G$2:$G$3)))</f>
        <v>No</v>
      </c>
    </row>
    <row r="244" spans="1:8" x14ac:dyDescent="0.3">
      <c r="A244" s="2" t="str" cm="1">
        <f t="array" aca="1" ref="A244" ca="1">INDEX(Sheet1!$A$2:$A$46, RANDBETWEEN(1,ROWS(Sheet1!$A$2:$A$46)))</f>
        <v>B030</v>
      </c>
      <c r="B244" s="2" t="s">
        <v>70</v>
      </c>
      <c r="C244" t="str">
        <f>_xlfn.XLOOKUP(B244, Sheet1!A:A, Sheet1!B:B)</f>
        <v>pumpkin pie</v>
      </c>
      <c r="D244">
        <f>_xlfn.XLOOKUP(B244,Sheet1!A:A,Sheet1!C:C)</f>
        <v>6</v>
      </c>
      <c r="E244">
        <f>_xlfn.XLOOKUP(B244,Sheet1!A:A,Sheet1!D:D)</f>
        <v>4</v>
      </c>
      <c r="F244">
        <f>_xlfn.XLOOKUP(Sheet3!B244,Sheet1!A:A,Sheet1!E:E)</f>
        <v>3</v>
      </c>
      <c r="G244">
        <f>_xlfn.XLOOKUP(B244,Sheet1!A:A,Sheet1!F:F)</f>
        <v>7</v>
      </c>
      <c r="H244" cm="1">
        <f t="array" aca="1" ref="H244" ca="1">INDEX(Sheet1!$G$2:$G$3, RANDBETWEEN(1, ROWS(Sheet1!$G$2:$G$3)))</f>
        <v>0</v>
      </c>
    </row>
    <row r="245" spans="1:8" x14ac:dyDescent="0.3">
      <c r="A245" s="2" t="str" cm="1">
        <f t="array" aca="1" ref="A245" ca="1">INDEX(Sheet1!$A$2:$A$46, RANDBETWEEN(1,ROWS(Sheet1!$A$2:$A$46)))</f>
        <v>B026</v>
      </c>
      <c r="B245" s="2" t="s">
        <v>38</v>
      </c>
      <c r="C245" t="str">
        <f>_xlfn.XLOOKUP(B245, Sheet1!A:A, Sheet1!B:B)</f>
        <v>snickerdoodle cookies</v>
      </c>
      <c r="D245">
        <f>_xlfn.XLOOKUP(B245,Sheet1!A:A,Sheet1!C:C)</f>
        <v>12</v>
      </c>
      <c r="E245">
        <f>_xlfn.XLOOKUP(B245,Sheet1!A:A,Sheet1!D:D)</f>
        <v>3.5</v>
      </c>
      <c r="F245">
        <f>_xlfn.XLOOKUP(Sheet3!B245,Sheet1!A:A,Sheet1!E:E)</f>
        <v>3</v>
      </c>
      <c r="G245">
        <f>_xlfn.XLOOKUP(B245,Sheet1!A:A,Sheet1!F:F)</f>
        <v>14</v>
      </c>
      <c r="H245" t="str" cm="1">
        <f t="array" aca="1" ref="H245" ca="1">INDEX(Sheet1!$G$2:$G$3, RANDBETWEEN(1, ROWS(Sheet1!$G$2:$G$3)))</f>
        <v>No</v>
      </c>
    </row>
    <row r="246" spans="1:8" x14ac:dyDescent="0.3">
      <c r="A246" s="2" t="str" cm="1">
        <f t="array" aca="1" ref="A246" ca="1">INDEX(Sheet1!$A$2:$A$46, RANDBETWEEN(1,ROWS(Sheet1!$A$2:$A$46)))</f>
        <v>B027</v>
      </c>
      <c r="B246" s="2" t="s">
        <v>59</v>
      </c>
      <c r="C246" t="str">
        <f>_xlfn.XLOOKUP(B246, Sheet1!A:A, Sheet1!B:B)</f>
        <v>iced lemon sliced loaf cake</v>
      </c>
      <c r="D246">
        <f>_xlfn.XLOOKUP(B246,Sheet1!A:A,Sheet1!C:C)</f>
        <v>10</v>
      </c>
      <c r="E246">
        <f>_xlfn.XLOOKUP(B246,Sheet1!A:A,Sheet1!D:D)</f>
        <v>4</v>
      </c>
      <c r="F246">
        <f>_xlfn.XLOOKUP(Sheet3!B246,Sheet1!A:A,Sheet1!E:E)</f>
        <v>3.5</v>
      </c>
      <c r="G246">
        <f>_xlfn.XLOOKUP(B246,Sheet1!A:A,Sheet1!F:F)</f>
        <v>10</v>
      </c>
      <c r="H246" t="str" cm="1">
        <f t="array" aca="1" ref="H246" ca="1">INDEX(Sheet1!$G$2:$G$3, RANDBETWEEN(1, ROWS(Sheet1!$G$2:$G$3)))</f>
        <v>No</v>
      </c>
    </row>
    <row r="247" spans="1:8" x14ac:dyDescent="0.3">
      <c r="A247" s="2" t="str" cm="1">
        <f t="array" aca="1" ref="A247" ca="1">INDEX(Sheet1!$A$2:$A$46, RANDBETWEEN(1,ROWS(Sheet1!$A$2:$A$46)))</f>
        <v>B032</v>
      </c>
      <c r="B247" s="2" t="s">
        <v>36</v>
      </c>
      <c r="C247" t="str">
        <f>_xlfn.XLOOKUP(B247, Sheet1!A:A, Sheet1!B:B)</f>
        <v>oatmeal raisin cookies</v>
      </c>
      <c r="D247">
        <f>_xlfn.XLOOKUP(B247,Sheet1!A:A,Sheet1!C:C)</f>
        <v>12</v>
      </c>
      <c r="E247">
        <f>_xlfn.XLOOKUP(B247,Sheet1!A:A,Sheet1!D:D)</f>
        <v>3.5</v>
      </c>
      <c r="F247">
        <f>_xlfn.XLOOKUP(Sheet3!B247,Sheet1!A:A,Sheet1!E:E)</f>
        <v>3</v>
      </c>
      <c r="G247">
        <f>_xlfn.XLOOKUP(B247,Sheet1!A:A,Sheet1!F:F)</f>
        <v>14</v>
      </c>
      <c r="H247" cm="1">
        <f t="array" aca="1" ref="H247" ca="1">INDEX(Sheet1!$G$2:$G$3, RANDBETWEEN(1, ROWS(Sheet1!$G$2:$G$3)))</f>
        <v>0</v>
      </c>
    </row>
    <row r="248" spans="1:8" x14ac:dyDescent="0.3">
      <c r="A248" s="2" t="str" cm="1">
        <f t="array" aca="1" ref="A248" ca="1">INDEX(Sheet1!$A$2:$A$46, RANDBETWEEN(1,ROWS(Sheet1!$A$2:$A$46)))</f>
        <v>B006</v>
      </c>
      <c r="B248" s="2" t="s">
        <v>81</v>
      </c>
      <c r="C248" t="str">
        <f>_xlfn.XLOOKUP(B248, Sheet1!A:A, Sheet1!B:B)</f>
        <v>red velvet square cake</v>
      </c>
      <c r="D248">
        <f>_xlfn.XLOOKUP(B248,Sheet1!A:A,Sheet1!C:C)</f>
        <v>8</v>
      </c>
      <c r="E248">
        <f>_xlfn.XLOOKUP(B248,Sheet1!A:A,Sheet1!D:D)</f>
        <v>2.5</v>
      </c>
      <c r="F248">
        <f>_xlfn.XLOOKUP(Sheet3!B248,Sheet1!A:A,Sheet1!E:E)</f>
        <v>2</v>
      </c>
      <c r="G248">
        <f>_xlfn.XLOOKUP(B248,Sheet1!A:A,Sheet1!F:F)</f>
        <v>5</v>
      </c>
      <c r="H248" t="str" cm="1">
        <f t="array" aca="1" ref="H248" ca="1">INDEX(Sheet1!$G$2:$G$3, RANDBETWEEN(1, ROWS(Sheet1!$G$2:$G$3)))</f>
        <v>No</v>
      </c>
    </row>
    <row r="249" spans="1:8" x14ac:dyDescent="0.3">
      <c r="A249" s="2" t="str" cm="1">
        <f t="array" aca="1" ref="A249" ca="1">INDEX(Sheet1!$A$2:$A$46, RANDBETWEEN(1,ROWS(Sheet1!$A$2:$A$46)))</f>
        <v>B042</v>
      </c>
      <c r="B249" s="2" t="s">
        <v>81</v>
      </c>
      <c r="C249" t="str">
        <f>_xlfn.XLOOKUP(B249, Sheet1!A:A, Sheet1!B:B)</f>
        <v>red velvet square cake</v>
      </c>
      <c r="D249">
        <f>_xlfn.XLOOKUP(B249,Sheet1!A:A,Sheet1!C:C)</f>
        <v>8</v>
      </c>
      <c r="E249">
        <f>_xlfn.XLOOKUP(B249,Sheet1!A:A,Sheet1!D:D)</f>
        <v>2.5</v>
      </c>
      <c r="F249">
        <f>_xlfn.XLOOKUP(Sheet3!B249,Sheet1!A:A,Sheet1!E:E)</f>
        <v>2</v>
      </c>
      <c r="G249">
        <f>_xlfn.XLOOKUP(B249,Sheet1!A:A,Sheet1!F:F)</f>
        <v>5</v>
      </c>
      <c r="H249" t="str" cm="1">
        <f t="array" aca="1" ref="H249" ca="1">INDEX(Sheet1!$G$2:$G$3, RANDBETWEEN(1, ROWS(Sheet1!$G$2:$G$3)))</f>
        <v>No</v>
      </c>
    </row>
    <row r="250" spans="1:8" x14ac:dyDescent="0.3">
      <c r="A250" s="2" t="str" cm="1">
        <f t="array" aca="1" ref="A250" ca="1">INDEX(Sheet1!$A$2:$A$46, RANDBETWEEN(1,ROWS(Sheet1!$A$2:$A$46)))</f>
        <v>B041</v>
      </c>
      <c r="B250" s="2" t="s">
        <v>34</v>
      </c>
      <c r="C250" t="str">
        <f>_xlfn.XLOOKUP(B250, Sheet1!A:A, Sheet1!B:B)</f>
        <v>almond croissant</v>
      </c>
      <c r="D250">
        <f>_xlfn.XLOOKUP(B250,Sheet1!A:A,Sheet1!C:C)</f>
        <v>6</v>
      </c>
      <c r="E250">
        <f>_xlfn.XLOOKUP(B250,Sheet1!A:A,Sheet1!D:D)</f>
        <v>3.5</v>
      </c>
      <c r="F250">
        <f>_xlfn.XLOOKUP(Sheet3!B250,Sheet1!A:A,Sheet1!E:E)</f>
        <v>3</v>
      </c>
      <c r="G250">
        <f>_xlfn.XLOOKUP(B250,Sheet1!A:A,Sheet1!F:F)</f>
        <v>10</v>
      </c>
      <c r="H250" cm="1">
        <f t="array" aca="1" ref="H250" ca="1">INDEX(Sheet1!$G$2:$G$3, RANDBETWEEN(1, ROWS(Sheet1!$G$2:$G$3)))</f>
        <v>0</v>
      </c>
    </row>
    <row r="251" spans="1:8" x14ac:dyDescent="0.3">
      <c r="A251" s="2" t="str" cm="1">
        <f t="array" aca="1" ref="A251" ca="1">INDEX(Sheet1!$A$2:$A$46, RANDBETWEEN(1,ROWS(Sheet1!$A$2:$A$46)))</f>
        <v>B032</v>
      </c>
      <c r="B251" s="2" t="s">
        <v>55</v>
      </c>
      <c r="C251" t="str">
        <f>_xlfn.XLOOKUP(B251, Sheet1!A:A, Sheet1!B:B)</f>
        <v>cookies &amp; creme cake</v>
      </c>
      <c r="D251">
        <f>_xlfn.XLOOKUP(B251,Sheet1!A:A,Sheet1!C:C)</f>
        <v>4</v>
      </c>
      <c r="E251">
        <f>_xlfn.XLOOKUP(B251,Sheet1!A:A,Sheet1!D:D)</f>
        <v>8.5</v>
      </c>
      <c r="F251">
        <f>_xlfn.XLOOKUP(Sheet3!B251,Sheet1!A:A,Sheet1!E:E)</f>
        <v>6</v>
      </c>
      <c r="G251">
        <f>_xlfn.XLOOKUP(B251,Sheet1!A:A,Sheet1!F:F)</f>
        <v>7</v>
      </c>
      <c r="H251" t="str" cm="1">
        <f t="array" aca="1" ref="H251" ca="1">INDEX(Sheet1!$G$2:$G$3, RANDBETWEEN(1, ROWS(Sheet1!$G$2:$G$3)))</f>
        <v>No</v>
      </c>
    </row>
    <row r="252" spans="1:8" x14ac:dyDescent="0.3">
      <c r="A252" s="2" t="str" cm="1">
        <f t="array" aca="1" ref="A252" ca="1">INDEX(Sheet1!$A$2:$A$46, RANDBETWEEN(1,ROWS(Sheet1!$A$2:$A$46)))</f>
        <v>B034</v>
      </c>
      <c r="B252" s="2" t="s">
        <v>22</v>
      </c>
      <c r="C252" t="str">
        <f>_xlfn.XLOOKUP(B252, Sheet1!A:A, Sheet1!B:B)</f>
        <v>chocolate chip cookies</v>
      </c>
      <c r="D252">
        <f>_xlfn.XLOOKUP(B252,Sheet1!A:A,Sheet1!C:C)</f>
        <v>12</v>
      </c>
      <c r="E252">
        <f>_xlfn.XLOOKUP(B252,Sheet1!A:A,Sheet1!D:D)</f>
        <v>3.5</v>
      </c>
      <c r="F252">
        <f>_xlfn.XLOOKUP(Sheet3!B252,Sheet1!A:A,Sheet1!E:E)</f>
        <v>3</v>
      </c>
      <c r="G252">
        <f>_xlfn.XLOOKUP(B252,Sheet1!A:A,Sheet1!F:F)</f>
        <v>14</v>
      </c>
      <c r="H252" cm="1">
        <f t="array" aca="1" ref="H252" ca="1">INDEX(Sheet1!$G$2:$G$3, RANDBETWEEN(1, ROWS(Sheet1!$G$2:$G$3)))</f>
        <v>0</v>
      </c>
    </row>
    <row r="253" spans="1:8" x14ac:dyDescent="0.3">
      <c r="A253" s="2" t="str" cm="1">
        <f t="array" aca="1" ref="A253" ca="1">INDEX(Sheet1!$A$2:$A$46, RANDBETWEEN(1,ROWS(Sheet1!$A$2:$A$46)))</f>
        <v>B034</v>
      </c>
      <c r="B253" s="2" t="s">
        <v>88</v>
      </c>
      <c r="C253" t="str">
        <f>_xlfn.XLOOKUP(B253, Sheet1!A:A, Sheet1!B:B)</f>
        <v>everything bagels</v>
      </c>
      <c r="D253">
        <f>_xlfn.XLOOKUP(B253,Sheet1!A:A,Sheet1!C:C)</f>
        <v>8</v>
      </c>
      <c r="E253">
        <f>_xlfn.XLOOKUP(B253,Sheet1!A:A,Sheet1!D:D)</f>
        <v>3.5</v>
      </c>
      <c r="F253">
        <f>_xlfn.XLOOKUP(Sheet3!B253,Sheet1!A:A,Sheet1!E:E)</f>
        <v>3</v>
      </c>
      <c r="G253">
        <f>_xlfn.XLOOKUP(B253,Sheet1!A:A,Sheet1!F:F)</f>
        <v>8</v>
      </c>
      <c r="H253" cm="1">
        <f t="array" aca="1" ref="H253" ca="1">INDEX(Sheet1!$G$2:$G$3, RANDBETWEEN(1, ROWS(Sheet1!$G$2:$G$3)))</f>
        <v>0</v>
      </c>
    </row>
    <row r="254" spans="1:8" x14ac:dyDescent="0.3">
      <c r="A254" s="2" t="str" cm="1">
        <f t="array" aca="1" ref="A254" ca="1">INDEX(Sheet1!$A$2:$A$46, RANDBETWEEN(1,ROWS(Sheet1!$A$2:$A$46)))</f>
        <v>B005</v>
      </c>
      <c r="B254" s="2" t="s">
        <v>62</v>
      </c>
      <c r="C254" t="str">
        <f>_xlfn.XLOOKUP(B254, Sheet1!A:A, Sheet1!B:B)</f>
        <v>vanilla sliced loaf cake</v>
      </c>
      <c r="D254">
        <f>_xlfn.XLOOKUP(B254,Sheet1!A:A,Sheet1!C:C)</f>
        <v>10</v>
      </c>
      <c r="E254">
        <f>_xlfn.XLOOKUP(B254,Sheet1!A:A,Sheet1!D:D)</f>
        <v>4</v>
      </c>
      <c r="F254">
        <f>_xlfn.XLOOKUP(Sheet3!B254,Sheet1!A:A,Sheet1!E:E)</f>
        <v>3.5</v>
      </c>
      <c r="G254">
        <f>_xlfn.XLOOKUP(B254,Sheet1!A:A,Sheet1!F:F)</f>
        <v>10</v>
      </c>
      <c r="H254" cm="1">
        <f t="array" aca="1" ref="H254" ca="1">INDEX(Sheet1!$G$2:$G$3, RANDBETWEEN(1, ROWS(Sheet1!$G$2:$G$3)))</f>
        <v>0</v>
      </c>
    </row>
    <row r="255" spans="1:8" x14ac:dyDescent="0.3">
      <c r="A255" s="2" t="str" cm="1">
        <f t="array" aca="1" ref="A255" ca="1">INDEX(Sheet1!$A$2:$A$46, RANDBETWEEN(1,ROWS(Sheet1!$A$2:$A$46)))</f>
        <v>B003</v>
      </c>
      <c r="B255" s="2" t="s">
        <v>22</v>
      </c>
      <c r="C255" t="str">
        <f>_xlfn.XLOOKUP(B255, Sheet1!A:A, Sheet1!B:B)</f>
        <v>chocolate chip cookies</v>
      </c>
      <c r="D255">
        <f>_xlfn.XLOOKUP(B255,Sheet1!A:A,Sheet1!C:C)</f>
        <v>12</v>
      </c>
      <c r="E255">
        <f>_xlfn.XLOOKUP(B255,Sheet1!A:A,Sheet1!D:D)</f>
        <v>3.5</v>
      </c>
      <c r="F255">
        <f>_xlfn.XLOOKUP(Sheet3!B255,Sheet1!A:A,Sheet1!E:E)</f>
        <v>3</v>
      </c>
      <c r="G255">
        <f>_xlfn.XLOOKUP(B255,Sheet1!A:A,Sheet1!F:F)</f>
        <v>14</v>
      </c>
      <c r="H255" cm="1">
        <f t="array" aca="1" ref="H255" ca="1">INDEX(Sheet1!$G$2:$G$3, RANDBETWEEN(1, ROWS(Sheet1!$G$2:$G$3)))</f>
        <v>0</v>
      </c>
    </row>
    <row r="256" spans="1:8" x14ac:dyDescent="0.3">
      <c r="A256" s="2" t="str" cm="1">
        <f t="array" aca="1" ref="A256" ca="1">INDEX(Sheet1!$A$2:$A$46, RANDBETWEEN(1,ROWS(Sheet1!$A$2:$A$46)))</f>
        <v>B033</v>
      </c>
      <c r="B256" s="2" t="s">
        <v>68</v>
      </c>
      <c r="C256" t="str">
        <f>_xlfn.XLOOKUP(B256, Sheet1!A:A, Sheet1!B:B)</f>
        <v>oreja cookies</v>
      </c>
      <c r="D256">
        <f>_xlfn.XLOOKUP(B256,Sheet1!A:A,Sheet1!C:C)</f>
        <v>15</v>
      </c>
      <c r="E256">
        <f>_xlfn.XLOOKUP(B256,Sheet1!A:A,Sheet1!D:D)</f>
        <v>4</v>
      </c>
      <c r="F256">
        <f>_xlfn.XLOOKUP(Sheet3!B256,Sheet1!A:A,Sheet1!E:E)</f>
        <v>3</v>
      </c>
      <c r="G256">
        <f>_xlfn.XLOOKUP(B256,Sheet1!A:A,Sheet1!F:F)</f>
        <v>14</v>
      </c>
      <c r="H256" t="str" cm="1">
        <f t="array" aca="1" ref="H256" ca="1">INDEX(Sheet1!$G$2:$G$3, RANDBETWEEN(1, ROWS(Sheet1!$G$2:$G$3)))</f>
        <v>No</v>
      </c>
    </row>
    <row r="257" spans="1:8" x14ac:dyDescent="0.3">
      <c r="A257" s="2" t="str" cm="1">
        <f t="array" aca="1" ref="A257" ca="1">INDEX(Sheet1!$A$2:$A$46, RANDBETWEEN(1,ROWS(Sheet1!$A$2:$A$46)))</f>
        <v>B021</v>
      </c>
      <c r="B257" s="2" t="s">
        <v>57</v>
      </c>
      <c r="C257" t="str">
        <f>_xlfn.XLOOKUP(B257, Sheet1!A:A, Sheet1!B:B)</f>
        <v>vanilla cupcakes</v>
      </c>
      <c r="D257">
        <f>_xlfn.XLOOKUP(B257,Sheet1!A:A,Sheet1!C:C)</f>
        <v>8</v>
      </c>
      <c r="E257">
        <f>_xlfn.XLOOKUP(B257,Sheet1!A:A,Sheet1!D:D)</f>
        <v>6</v>
      </c>
      <c r="F257">
        <f>_xlfn.XLOOKUP(Sheet3!B257,Sheet1!A:A,Sheet1!E:E)</f>
        <v>5.5</v>
      </c>
      <c r="G257">
        <f>_xlfn.XLOOKUP(B257,Sheet1!A:A,Sheet1!F:F)</f>
        <v>20</v>
      </c>
      <c r="H257" t="str" cm="1">
        <f t="array" aca="1" ref="H257" ca="1">INDEX(Sheet1!$G$2:$G$3, RANDBETWEEN(1, ROWS(Sheet1!$G$2:$G$3)))</f>
        <v>No</v>
      </c>
    </row>
    <row r="258" spans="1:8" x14ac:dyDescent="0.3">
      <c r="A258" s="2" t="str" cm="1">
        <f t="array" aca="1" ref="A258" ca="1">INDEX(Sheet1!$A$2:$A$46, RANDBETWEEN(1,ROWS(Sheet1!$A$2:$A$46)))</f>
        <v>B021</v>
      </c>
      <c r="B258" s="2" t="s">
        <v>21</v>
      </c>
      <c r="C258" t="str">
        <f>_xlfn.XLOOKUP(B258, Sheet1!A:A, Sheet1!B:B)</f>
        <v>butter cake</v>
      </c>
      <c r="D258">
        <f>_xlfn.XLOOKUP(B258,Sheet1!A:A,Sheet1!C:C)</f>
        <v>8</v>
      </c>
      <c r="E258">
        <f>_xlfn.XLOOKUP(B258,Sheet1!A:A,Sheet1!D:D)</f>
        <v>4</v>
      </c>
      <c r="F258">
        <f>_xlfn.XLOOKUP(Sheet3!B258,Sheet1!A:A,Sheet1!E:E)</f>
        <v>3</v>
      </c>
      <c r="G258">
        <f>_xlfn.XLOOKUP(B258,Sheet1!A:A,Sheet1!F:F)</f>
        <v>14</v>
      </c>
      <c r="H258" t="str" cm="1">
        <f t="array" aca="1" ref="H258" ca="1">INDEX(Sheet1!$G$2:$G$3, RANDBETWEEN(1, ROWS(Sheet1!$G$2:$G$3)))</f>
        <v>No</v>
      </c>
    </row>
    <row r="259" spans="1:8" x14ac:dyDescent="0.3">
      <c r="A259" s="2" t="str" cm="1">
        <f t="array" aca="1" ref="A259" ca="1">INDEX(Sheet1!$A$2:$A$46, RANDBETWEEN(1,ROWS(Sheet1!$A$2:$A$46)))</f>
        <v>B035</v>
      </c>
      <c r="B259" s="2" t="s">
        <v>36</v>
      </c>
      <c r="C259" t="str">
        <f>_xlfn.XLOOKUP(B259, Sheet1!A:A, Sheet1!B:B)</f>
        <v>oatmeal raisin cookies</v>
      </c>
      <c r="D259">
        <f>_xlfn.XLOOKUP(B259,Sheet1!A:A,Sheet1!C:C)</f>
        <v>12</v>
      </c>
      <c r="E259">
        <f>_xlfn.XLOOKUP(B259,Sheet1!A:A,Sheet1!D:D)</f>
        <v>3.5</v>
      </c>
      <c r="F259">
        <f>_xlfn.XLOOKUP(Sheet3!B259,Sheet1!A:A,Sheet1!E:E)</f>
        <v>3</v>
      </c>
      <c r="G259">
        <f>_xlfn.XLOOKUP(B259,Sheet1!A:A,Sheet1!F:F)</f>
        <v>14</v>
      </c>
      <c r="H259" cm="1">
        <f t="array" aca="1" ref="H259" ca="1">INDEX(Sheet1!$G$2:$G$3, RANDBETWEEN(1, ROWS(Sheet1!$G$2:$G$3)))</f>
        <v>0</v>
      </c>
    </row>
    <row r="260" spans="1:8" x14ac:dyDescent="0.3">
      <c r="A260" s="2" t="str" cm="1">
        <f t="array" aca="1" ref="A260" ca="1">INDEX(Sheet1!$A$2:$A$46, RANDBETWEEN(1,ROWS(Sheet1!$A$2:$A$46)))</f>
        <v>B019</v>
      </c>
      <c r="B260" s="2" t="s">
        <v>55</v>
      </c>
      <c r="C260" t="str">
        <f>_xlfn.XLOOKUP(B260, Sheet1!A:A, Sheet1!B:B)</f>
        <v>cookies &amp; creme cake</v>
      </c>
      <c r="D260">
        <f>_xlfn.XLOOKUP(B260,Sheet1!A:A,Sheet1!C:C)</f>
        <v>4</v>
      </c>
      <c r="E260">
        <f>_xlfn.XLOOKUP(B260,Sheet1!A:A,Sheet1!D:D)</f>
        <v>8.5</v>
      </c>
      <c r="F260">
        <f>_xlfn.XLOOKUP(Sheet3!B260,Sheet1!A:A,Sheet1!E:E)</f>
        <v>6</v>
      </c>
      <c r="G260">
        <f>_xlfn.XLOOKUP(B260,Sheet1!A:A,Sheet1!F:F)</f>
        <v>7</v>
      </c>
      <c r="H260" cm="1">
        <f t="array" aca="1" ref="H260" ca="1">INDEX(Sheet1!$G$2:$G$3, RANDBETWEEN(1, ROWS(Sheet1!$G$2:$G$3)))</f>
        <v>0</v>
      </c>
    </row>
    <row r="261" spans="1:8" x14ac:dyDescent="0.3">
      <c r="A261" s="2" t="str" cm="1">
        <f t="array" aca="1" ref="A261" ca="1">INDEX(Sheet1!$A$2:$A$46, RANDBETWEEN(1,ROWS(Sheet1!$A$2:$A$46)))</f>
        <v>B042</v>
      </c>
      <c r="B261" s="2" t="s">
        <v>10</v>
      </c>
      <c r="C261" t="str">
        <f>_xlfn.XLOOKUP(B261, Sheet1!A:A, Sheet1!B:B)</f>
        <v>croissant</v>
      </c>
      <c r="D261">
        <f>_xlfn.XLOOKUP(B261,Sheet1!A:A,Sheet1!C:C)</f>
        <v>10</v>
      </c>
      <c r="E261">
        <f>_xlfn.XLOOKUP(B261,Sheet1!A:A,Sheet1!D:D)</f>
        <v>5.5</v>
      </c>
      <c r="F261">
        <f>_xlfn.XLOOKUP(Sheet3!B261,Sheet1!A:A,Sheet1!E:E)</f>
        <v>4.5</v>
      </c>
      <c r="G261">
        <f>_xlfn.XLOOKUP(B261,Sheet1!A:A,Sheet1!F:F)</f>
        <v>7</v>
      </c>
      <c r="H261" t="str" cm="1">
        <f t="array" aca="1" ref="H261" ca="1">INDEX(Sheet1!$G$2:$G$3, RANDBETWEEN(1, ROWS(Sheet1!$G$2:$G$3)))</f>
        <v>No</v>
      </c>
    </row>
    <row r="262" spans="1:8" x14ac:dyDescent="0.3">
      <c r="A262" s="2" t="str" cm="1">
        <f t="array" aca="1" ref="A262" ca="1">INDEX(Sheet1!$A$2:$A$46, RANDBETWEEN(1,ROWS(Sheet1!$A$2:$A$46)))</f>
        <v>B013</v>
      </c>
      <c r="B262" s="2" t="s">
        <v>22</v>
      </c>
      <c r="C262" t="str">
        <f>_xlfn.XLOOKUP(B262, Sheet1!A:A, Sheet1!B:B)</f>
        <v>chocolate chip cookies</v>
      </c>
      <c r="D262">
        <f>_xlfn.XLOOKUP(B262,Sheet1!A:A,Sheet1!C:C)</f>
        <v>12</v>
      </c>
      <c r="E262">
        <f>_xlfn.XLOOKUP(B262,Sheet1!A:A,Sheet1!D:D)</f>
        <v>3.5</v>
      </c>
      <c r="F262">
        <f>_xlfn.XLOOKUP(Sheet3!B262,Sheet1!A:A,Sheet1!E:E)</f>
        <v>3</v>
      </c>
      <c r="G262">
        <f>_xlfn.XLOOKUP(B262,Sheet1!A:A,Sheet1!F:F)</f>
        <v>14</v>
      </c>
      <c r="H262" cm="1">
        <f t="array" aca="1" ref="H262" ca="1">INDEX(Sheet1!$G$2:$G$3, RANDBETWEEN(1, ROWS(Sheet1!$G$2:$G$3)))</f>
        <v>0</v>
      </c>
    </row>
    <row r="263" spans="1:8" x14ac:dyDescent="0.3">
      <c r="A263" s="2" t="str" cm="1">
        <f t="array" aca="1" ref="A263" ca="1">INDEX(Sheet1!$A$2:$A$46, RANDBETWEEN(1,ROWS(Sheet1!$A$2:$A$46)))</f>
        <v>B034</v>
      </c>
      <c r="B263" s="2" t="s">
        <v>62</v>
      </c>
      <c r="C263" t="str">
        <f>_xlfn.XLOOKUP(B263, Sheet1!A:A, Sheet1!B:B)</f>
        <v>vanilla sliced loaf cake</v>
      </c>
      <c r="D263">
        <f>_xlfn.XLOOKUP(B263,Sheet1!A:A,Sheet1!C:C)</f>
        <v>10</v>
      </c>
      <c r="E263">
        <f>_xlfn.XLOOKUP(B263,Sheet1!A:A,Sheet1!D:D)</f>
        <v>4</v>
      </c>
      <c r="F263">
        <f>_xlfn.XLOOKUP(Sheet3!B263,Sheet1!A:A,Sheet1!E:E)</f>
        <v>3.5</v>
      </c>
      <c r="G263">
        <f>_xlfn.XLOOKUP(B263,Sheet1!A:A,Sheet1!F:F)</f>
        <v>10</v>
      </c>
      <c r="H263" cm="1">
        <f t="array" aca="1" ref="H263" ca="1">INDEX(Sheet1!$G$2:$G$3, RANDBETWEEN(1, ROWS(Sheet1!$G$2:$G$3)))</f>
        <v>0</v>
      </c>
    </row>
    <row r="264" spans="1:8" x14ac:dyDescent="0.3">
      <c r="A264" s="2" t="str" cm="1">
        <f t="array" aca="1" ref="A264" ca="1">INDEX(Sheet1!$A$2:$A$46, RANDBETWEEN(1,ROWS(Sheet1!$A$2:$A$46)))</f>
        <v>B023</v>
      </c>
      <c r="B264" s="2" t="s">
        <v>59</v>
      </c>
      <c r="C264" t="str">
        <f>_xlfn.XLOOKUP(B264, Sheet1!A:A, Sheet1!B:B)</f>
        <v>iced lemon sliced loaf cake</v>
      </c>
      <c r="D264">
        <f>_xlfn.XLOOKUP(B264,Sheet1!A:A,Sheet1!C:C)</f>
        <v>10</v>
      </c>
      <c r="E264">
        <f>_xlfn.XLOOKUP(B264,Sheet1!A:A,Sheet1!D:D)</f>
        <v>4</v>
      </c>
      <c r="F264">
        <f>_xlfn.XLOOKUP(Sheet3!B264,Sheet1!A:A,Sheet1!E:E)</f>
        <v>3.5</v>
      </c>
      <c r="G264">
        <f>_xlfn.XLOOKUP(B264,Sheet1!A:A,Sheet1!F:F)</f>
        <v>10</v>
      </c>
      <c r="H264" cm="1">
        <f t="array" aca="1" ref="H264" ca="1">INDEX(Sheet1!$G$2:$G$3, RANDBETWEEN(1, ROWS(Sheet1!$G$2:$G$3)))</f>
        <v>0</v>
      </c>
    </row>
    <row r="265" spans="1:8" x14ac:dyDescent="0.3">
      <c r="A265" s="2" t="str" cm="1">
        <f t="array" aca="1" ref="A265" ca="1">INDEX(Sheet1!$A$2:$A$46, RANDBETWEEN(1,ROWS(Sheet1!$A$2:$A$46)))</f>
        <v>B041</v>
      </c>
      <c r="B265" s="2" t="s">
        <v>41</v>
      </c>
      <c r="C265" t="str">
        <f>_xlfn.XLOOKUP(B265, Sheet1!A:A, Sheet1!B:B)</f>
        <v>frosted blue cookies</v>
      </c>
      <c r="D265">
        <f>_xlfn.XLOOKUP(B265,Sheet1!A:A,Sheet1!C:C)</f>
        <v>15</v>
      </c>
      <c r="E265">
        <f>_xlfn.XLOOKUP(B265,Sheet1!A:A,Sheet1!D:D)</f>
        <v>3</v>
      </c>
      <c r="F265">
        <f>_xlfn.XLOOKUP(Sheet3!B265,Sheet1!A:A,Sheet1!E:E)</f>
        <v>2.5</v>
      </c>
      <c r="G265">
        <f>_xlfn.XLOOKUP(B265,Sheet1!A:A,Sheet1!F:F)</f>
        <v>14</v>
      </c>
      <c r="H265" cm="1">
        <f t="array" aca="1" ref="H265" ca="1">INDEX(Sheet1!$G$2:$G$3, RANDBETWEEN(1, ROWS(Sheet1!$G$2:$G$3)))</f>
        <v>0</v>
      </c>
    </row>
    <row r="266" spans="1:8" x14ac:dyDescent="0.3">
      <c r="A266" s="2" t="str" cm="1">
        <f t="array" aca="1" ref="A266" ca="1">INDEX(Sheet1!$A$2:$A$46, RANDBETWEEN(1,ROWS(Sheet1!$A$2:$A$46)))</f>
        <v>B040</v>
      </c>
      <c r="B266" s="2" t="s">
        <v>57</v>
      </c>
      <c r="C266" t="str">
        <f>_xlfn.XLOOKUP(B266, Sheet1!A:A, Sheet1!B:B)</f>
        <v>vanilla cupcakes</v>
      </c>
      <c r="D266">
        <f>_xlfn.XLOOKUP(B266,Sheet1!A:A,Sheet1!C:C)</f>
        <v>8</v>
      </c>
      <c r="E266">
        <f>_xlfn.XLOOKUP(B266,Sheet1!A:A,Sheet1!D:D)</f>
        <v>6</v>
      </c>
      <c r="F266">
        <f>_xlfn.XLOOKUP(Sheet3!B266,Sheet1!A:A,Sheet1!E:E)</f>
        <v>5.5</v>
      </c>
      <c r="G266">
        <f>_xlfn.XLOOKUP(B266,Sheet1!A:A,Sheet1!F:F)</f>
        <v>20</v>
      </c>
      <c r="H266" cm="1">
        <f t="array" aca="1" ref="H266" ca="1">INDEX(Sheet1!$G$2:$G$3, RANDBETWEEN(1, ROWS(Sheet1!$G$2:$G$3)))</f>
        <v>0</v>
      </c>
    </row>
    <row r="267" spans="1:8" x14ac:dyDescent="0.3">
      <c r="A267" s="2" t="str" cm="1">
        <f t="array" aca="1" ref="A267" ca="1">INDEX(Sheet1!$A$2:$A$46, RANDBETWEEN(1,ROWS(Sheet1!$A$2:$A$46)))</f>
        <v>B018</v>
      </c>
      <c r="B267" s="2" t="s">
        <v>90</v>
      </c>
      <c r="C267" t="str">
        <f>_xlfn.XLOOKUP(B267, Sheet1!A:A, Sheet1!B:B)</f>
        <v>mini brownies</v>
      </c>
      <c r="D267">
        <f>_xlfn.XLOOKUP(B267,Sheet1!A:A,Sheet1!C:C)</f>
        <v>12</v>
      </c>
      <c r="E267">
        <f>_xlfn.XLOOKUP(B267,Sheet1!A:A,Sheet1!D:D)</f>
        <v>4.5</v>
      </c>
      <c r="F267">
        <f>_xlfn.XLOOKUP(Sheet3!B267,Sheet1!A:A,Sheet1!E:E)</f>
        <v>4</v>
      </c>
      <c r="G267">
        <f>_xlfn.XLOOKUP(B267,Sheet1!A:A,Sheet1!F:F)</f>
        <v>14</v>
      </c>
      <c r="H267" cm="1">
        <f t="array" aca="1" ref="H267" ca="1">INDEX(Sheet1!$G$2:$G$3, RANDBETWEEN(1, ROWS(Sheet1!$G$2:$G$3)))</f>
        <v>0</v>
      </c>
    </row>
    <row r="268" spans="1:8" x14ac:dyDescent="0.3">
      <c r="A268" s="2" t="str" cm="1">
        <f t="array" aca="1" ref="A268" ca="1">INDEX(Sheet1!$A$2:$A$46, RANDBETWEEN(1,ROWS(Sheet1!$A$2:$A$46)))</f>
        <v>B012</v>
      </c>
      <c r="B268" s="2" t="s">
        <v>21</v>
      </c>
      <c r="C268" t="str">
        <f>_xlfn.XLOOKUP(B268, Sheet1!A:A, Sheet1!B:B)</f>
        <v>butter cake</v>
      </c>
      <c r="D268">
        <f>_xlfn.XLOOKUP(B268,Sheet1!A:A,Sheet1!C:C)</f>
        <v>8</v>
      </c>
      <c r="E268">
        <f>_xlfn.XLOOKUP(B268,Sheet1!A:A,Sheet1!D:D)</f>
        <v>4</v>
      </c>
      <c r="F268">
        <f>_xlfn.XLOOKUP(Sheet3!B268,Sheet1!A:A,Sheet1!E:E)</f>
        <v>3</v>
      </c>
      <c r="G268">
        <f>_xlfn.XLOOKUP(B268,Sheet1!A:A,Sheet1!F:F)</f>
        <v>14</v>
      </c>
      <c r="H268" cm="1">
        <f t="array" aca="1" ref="H268" ca="1">INDEX(Sheet1!$G$2:$G$3, RANDBETWEEN(1, ROWS(Sheet1!$G$2:$G$3)))</f>
        <v>0</v>
      </c>
    </row>
    <row r="269" spans="1:8" x14ac:dyDescent="0.3">
      <c r="A269" s="2" t="str" cm="1">
        <f t="array" aca="1" ref="A269" ca="1">INDEX(Sheet1!$A$2:$A$46, RANDBETWEEN(1,ROWS(Sheet1!$A$2:$A$46)))</f>
        <v>B024</v>
      </c>
      <c r="B269" s="2" t="s">
        <v>41</v>
      </c>
      <c r="C269" t="str">
        <f>_xlfn.XLOOKUP(B269, Sheet1!A:A, Sheet1!B:B)</f>
        <v>frosted blue cookies</v>
      </c>
      <c r="D269">
        <f>_xlfn.XLOOKUP(B269,Sheet1!A:A,Sheet1!C:C)</f>
        <v>15</v>
      </c>
      <c r="E269">
        <f>_xlfn.XLOOKUP(B269,Sheet1!A:A,Sheet1!D:D)</f>
        <v>3</v>
      </c>
      <c r="F269">
        <f>_xlfn.XLOOKUP(Sheet3!B269,Sheet1!A:A,Sheet1!E:E)</f>
        <v>2.5</v>
      </c>
      <c r="G269">
        <f>_xlfn.XLOOKUP(B269,Sheet1!A:A,Sheet1!F:F)</f>
        <v>14</v>
      </c>
      <c r="H269" t="str" cm="1">
        <f t="array" aca="1" ref="H269" ca="1">INDEX(Sheet1!$G$2:$G$3, RANDBETWEEN(1, ROWS(Sheet1!$G$2:$G$3)))</f>
        <v>No</v>
      </c>
    </row>
    <row r="270" spans="1:8" x14ac:dyDescent="0.3">
      <c r="A270" s="2" t="str" cm="1">
        <f t="array" aca="1" ref="A270" ca="1">INDEX(Sheet1!$A$2:$A$46, RANDBETWEEN(1,ROWS(Sheet1!$A$2:$A$46)))</f>
        <v>B035</v>
      </c>
      <c r="B270" s="2" t="s">
        <v>72</v>
      </c>
      <c r="C270" t="str">
        <f>_xlfn.XLOOKUP(B270, Sheet1!A:A, Sheet1!B:B)</f>
        <v>cherry pie</v>
      </c>
      <c r="D270">
        <f>_xlfn.XLOOKUP(B270,Sheet1!A:A,Sheet1!C:C)</f>
        <v>6</v>
      </c>
      <c r="E270">
        <f>_xlfn.XLOOKUP(B270,Sheet1!A:A,Sheet1!D:D)</f>
        <v>4</v>
      </c>
      <c r="F270">
        <f>_xlfn.XLOOKUP(Sheet3!B270,Sheet1!A:A,Sheet1!E:E)</f>
        <v>3</v>
      </c>
      <c r="G270">
        <f>_xlfn.XLOOKUP(B270,Sheet1!A:A,Sheet1!F:F)</f>
        <v>7</v>
      </c>
      <c r="H270" t="str" cm="1">
        <f t="array" aca="1" ref="H270" ca="1">INDEX(Sheet1!$G$2:$G$3, RANDBETWEEN(1, ROWS(Sheet1!$G$2:$G$3)))</f>
        <v>No</v>
      </c>
    </row>
    <row r="271" spans="1:8" x14ac:dyDescent="0.3">
      <c r="A271" s="2" t="str" cm="1">
        <f t="array" aca="1" ref="A271" ca="1">INDEX(Sheet1!$A$2:$A$46, RANDBETWEEN(1,ROWS(Sheet1!$A$2:$A$46)))</f>
        <v>B020</v>
      </c>
      <c r="B271" s="2" t="s">
        <v>61</v>
      </c>
      <c r="C271" t="str">
        <f>_xlfn.XLOOKUP(B271, Sheet1!A:A, Sheet1!B:B)</f>
        <v>marble sliced loaf cake</v>
      </c>
      <c r="D271">
        <f>_xlfn.XLOOKUP(B271,Sheet1!A:A,Sheet1!C:C)</f>
        <v>10</v>
      </c>
      <c r="E271">
        <f>_xlfn.XLOOKUP(B271,Sheet1!A:A,Sheet1!D:D)</f>
        <v>4</v>
      </c>
      <c r="F271">
        <f>_xlfn.XLOOKUP(Sheet3!B271,Sheet1!A:A,Sheet1!E:E)</f>
        <v>3.5</v>
      </c>
      <c r="G271">
        <f>_xlfn.XLOOKUP(B271,Sheet1!A:A,Sheet1!F:F)</f>
        <v>10</v>
      </c>
      <c r="H271" cm="1">
        <f t="array" aca="1" ref="H271" ca="1">INDEX(Sheet1!$G$2:$G$3, RANDBETWEEN(1, ROWS(Sheet1!$G$2:$G$3)))</f>
        <v>0</v>
      </c>
    </row>
    <row r="272" spans="1:8" x14ac:dyDescent="0.3">
      <c r="A272" s="2" t="str" cm="1">
        <f t="array" aca="1" ref="A272" ca="1">INDEX(Sheet1!$A$2:$A$46, RANDBETWEEN(1,ROWS(Sheet1!$A$2:$A$46)))</f>
        <v>B008</v>
      </c>
      <c r="B272" s="2" t="s">
        <v>65</v>
      </c>
      <c r="C272" t="str">
        <f>_xlfn.XLOOKUP(B272, Sheet1!A:A, Sheet1!B:B)</f>
        <v>sourdough bread</v>
      </c>
      <c r="D272">
        <f>_xlfn.XLOOKUP(B272,Sheet1!A:A,Sheet1!C:C)</f>
        <v>10</v>
      </c>
      <c r="E272">
        <f>_xlfn.XLOOKUP(B272,Sheet1!A:A,Sheet1!D:D)</f>
        <v>3.5</v>
      </c>
      <c r="F272">
        <f>_xlfn.XLOOKUP(Sheet3!B272,Sheet1!A:A,Sheet1!E:E)</f>
        <v>3</v>
      </c>
      <c r="G272">
        <f>_xlfn.XLOOKUP(B272,Sheet1!A:A,Sheet1!F:F)</f>
        <v>8</v>
      </c>
      <c r="H272" t="str" cm="1">
        <f t="array" aca="1" ref="H272" ca="1">INDEX(Sheet1!$G$2:$G$3, RANDBETWEEN(1, ROWS(Sheet1!$G$2:$G$3)))</f>
        <v>No</v>
      </c>
    </row>
    <row r="273" spans="1:8" x14ac:dyDescent="0.3">
      <c r="A273" s="2" t="str" cm="1">
        <f t="array" aca="1" ref="A273" ca="1">INDEX(Sheet1!$A$2:$A$46, RANDBETWEEN(1,ROWS(Sheet1!$A$2:$A$46)))</f>
        <v>B014</v>
      </c>
      <c r="B273" s="2" t="s">
        <v>23</v>
      </c>
      <c r="C273" t="str">
        <f>_xlfn.XLOOKUP(B273, Sheet1!A:A, Sheet1!B:B)</f>
        <v>cheese cake</v>
      </c>
      <c r="D273">
        <f>_xlfn.XLOOKUP(B273,Sheet1!A:A,Sheet1!C:C)</f>
        <v>9</v>
      </c>
      <c r="E273">
        <f>_xlfn.XLOOKUP(B273,Sheet1!A:A,Sheet1!D:D)</f>
        <v>6.5</v>
      </c>
      <c r="F273">
        <f>_xlfn.XLOOKUP(Sheet3!B273,Sheet1!A:A,Sheet1!E:E)</f>
        <v>5.5</v>
      </c>
      <c r="G273">
        <f>_xlfn.XLOOKUP(B273,Sheet1!A:A,Sheet1!F:F)</f>
        <v>9</v>
      </c>
      <c r="H273" cm="1">
        <f t="array" aca="1" ref="H273" ca="1">INDEX(Sheet1!$G$2:$G$3, RANDBETWEEN(1, ROWS(Sheet1!$G$2:$G$3)))</f>
        <v>0</v>
      </c>
    </row>
    <row r="274" spans="1:8" x14ac:dyDescent="0.3">
      <c r="A274" s="2" t="str" cm="1">
        <f t="array" aca="1" ref="A274" ca="1">INDEX(Sheet1!$A$2:$A$46, RANDBETWEEN(1,ROWS(Sheet1!$A$2:$A$46)))</f>
        <v>B011</v>
      </c>
      <c r="B274" s="2" t="s">
        <v>61</v>
      </c>
      <c r="C274" t="str">
        <f>_xlfn.XLOOKUP(B274, Sheet1!A:A, Sheet1!B:B)</f>
        <v>marble sliced loaf cake</v>
      </c>
      <c r="D274">
        <f>_xlfn.XLOOKUP(B274,Sheet1!A:A,Sheet1!C:C)</f>
        <v>10</v>
      </c>
      <c r="E274">
        <f>_xlfn.XLOOKUP(B274,Sheet1!A:A,Sheet1!D:D)</f>
        <v>4</v>
      </c>
      <c r="F274">
        <f>_xlfn.XLOOKUP(Sheet3!B274,Sheet1!A:A,Sheet1!E:E)</f>
        <v>3.5</v>
      </c>
      <c r="G274">
        <f>_xlfn.XLOOKUP(B274,Sheet1!A:A,Sheet1!F:F)</f>
        <v>10</v>
      </c>
      <c r="H274" cm="1">
        <f t="array" aca="1" ref="H274" ca="1">INDEX(Sheet1!$G$2:$G$3, RANDBETWEEN(1, ROWS(Sheet1!$G$2:$G$3)))</f>
        <v>0</v>
      </c>
    </row>
    <row r="275" spans="1:8" x14ac:dyDescent="0.3">
      <c r="A275" s="2" t="str" cm="1">
        <f t="array" aca="1" ref="A275" ca="1">INDEX(Sheet1!$A$2:$A$46, RANDBETWEEN(1,ROWS(Sheet1!$A$2:$A$46)))</f>
        <v>B039</v>
      </c>
      <c r="B275" s="2" t="s">
        <v>34</v>
      </c>
      <c r="C275" t="str">
        <f>_xlfn.XLOOKUP(B275, Sheet1!A:A, Sheet1!B:B)</f>
        <v>almond croissant</v>
      </c>
      <c r="D275">
        <f>_xlfn.XLOOKUP(B275,Sheet1!A:A,Sheet1!C:C)</f>
        <v>6</v>
      </c>
      <c r="E275">
        <f>_xlfn.XLOOKUP(B275,Sheet1!A:A,Sheet1!D:D)</f>
        <v>3.5</v>
      </c>
      <c r="F275">
        <f>_xlfn.XLOOKUP(Sheet3!B275,Sheet1!A:A,Sheet1!E:E)</f>
        <v>3</v>
      </c>
      <c r="G275">
        <f>_xlfn.XLOOKUP(B275,Sheet1!A:A,Sheet1!F:F)</f>
        <v>10</v>
      </c>
      <c r="H275" cm="1">
        <f t="array" aca="1" ref="H275" ca="1">INDEX(Sheet1!$G$2:$G$3, RANDBETWEEN(1, ROWS(Sheet1!$G$2:$G$3)))</f>
        <v>0</v>
      </c>
    </row>
    <row r="276" spans="1:8" x14ac:dyDescent="0.3">
      <c r="A276" s="2" t="str" cm="1">
        <f t="array" aca="1" ref="A276" ca="1">INDEX(Sheet1!$A$2:$A$46, RANDBETWEEN(1,ROWS(Sheet1!$A$2:$A$46)))</f>
        <v>B001</v>
      </c>
      <c r="B276" s="2" t="s">
        <v>83</v>
      </c>
      <c r="C276" t="str">
        <f>_xlfn.XLOOKUP(B276, Sheet1!A:A, Sheet1!B:B)</f>
        <v>pumpkin spice muffins</v>
      </c>
      <c r="D276">
        <f>_xlfn.XLOOKUP(B276,Sheet1!A:A,Sheet1!C:C)</f>
        <v>10</v>
      </c>
      <c r="E276">
        <f>_xlfn.XLOOKUP(B276,Sheet1!A:A,Sheet1!D:D)</f>
        <v>4.5</v>
      </c>
      <c r="F276">
        <f>_xlfn.XLOOKUP(Sheet3!B276,Sheet1!A:A,Sheet1!E:E)</f>
        <v>4</v>
      </c>
      <c r="G276">
        <f>_xlfn.XLOOKUP(B276,Sheet1!A:A,Sheet1!F:F)</f>
        <v>10</v>
      </c>
      <c r="H276" cm="1">
        <f t="array" aca="1" ref="H276" ca="1">INDEX(Sheet1!$G$2:$G$3, RANDBETWEEN(1, ROWS(Sheet1!$G$2:$G$3)))</f>
        <v>0</v>
      </c>
    </row>
    <row r="277" spans="1:8" x14ac:dyDescent="0.3">
      <c r="A277" s="2" t="str" cm="1">
        <f t="array" aca="1" ref="A277" ca="1">INDEX(Sheet1!$A$2:$A$46, RANDBETWEEN(1,ROWS(Sheet1!$A$2:$A$46)))</f>
        <v>B043</v>
      </c>
      <c r="B277" s="2" t="s">
        <v>39</v>
      </c>
      <c r="C277" t="str">
        <f>_xlfn.XLOOKUP(B277, Sheet1!A:A, Sheet1!B:B)</f>
        <v>macadamia nut cookies</v>
      </c>
      <c r="D277">
        <f>_xlfn.XLOOKUP(B277,Sheet1!A:A,Sheet1!C:C)</f>
        <v>12</v>
      </c>
      <c r="E277">
        <f>_xlfn.XLOOKUP(B277,Sheet1!A:A,Sheet1!D:D)</f>
        <v>3.5</v>
      </c>
      <c r="F277">
        <f>_xlfn.XLOOKUP(Sheet3!B277,Sheet1!A:A,Sheet1!E:E)</f>
        <v>3</v>
      </c>
      <c r="G277">
        <f>_xlfn.XLOOKUP(B277,Sheet1!A:A,Sheet1!F:F)</f>
        <v>14</v>
      </c>
      <c r="H277" cm="1">
        <f t="array" aca="1" ref="H277" ca="1">INDEX(Sheet1!$G$2:$G$3, RANDBETWEEN(1, ROWS(Sheet1!$G$2:$G$3)))</f>
        <v>0</v>
      </c>
    </row>
    <row r="278" spans="1:8" x14ac:dyDescent="0.3">
      <c r="A278" s="2" t="str" cm="1">
        <f t="array" aca="1" ref="A278" ca="1">INDEX(Sheet1!$A$2:$A$46, RANDBETWEEN(1,ROWS(Sheet1!$A$2:$A$46)))</f>
        <v>B025</v>
      </c>
      <c r="B278" s="2" t="s">
        <v>78</v>
      </c>
      <c r="C278" t="str">
        <f>_xlfn.XLOOKUP(B278, Sheet1!A:A, Sheet1!B:B)</f>
        <v>caramel pie</v>
      </c>
      <c r="D278">
        <f>_xlfn.XLOOKUP(B278,Sheet1!A:A,Sheet1!C:C)</f>
        <v>6</v>
      </c>
      <c r="E278">
        <f>_xlfn.XLOOKUP(B278,Sheet1!A:A,Sheet1!D:D)</f>
        <v>4</v>
      </c>
      <c r="F278">
        <f>_xlfn.XLOOKUP(Sheet3!B278,Sheet1!A:A,Sheet1!E:E)</f>
        <v>3</v>
      </c>
      <c r="G278">
        <f>_xlfn.XLOOKUP(B278,Sheet1!A:A,Sheet1!F:F)</f>
        <v>7</v>
      </c>
      <c r="H278" t="str" cm="1">
        <f t="array" aca="1" ref="H278" ca="1">INDEX(Sheet1!$G$2:$G$3, RANDBETWEEN(1, ROWS(Sheet1!$G$2:$G$3)))</f>
        <v>No</v>
      </c>
    </row>
    <row r="279" spans="1:8" x14ac:dyDescent="0.3">
      <c r="A279" s="2" t="str" cm="1">
        <f t="array" aca="1" ref="A279" ca="1">INDEX(Sheet1!$A$2:$A$46, RANDBETWEEN(1,ROWS(Sheet1!$A$2:$A$46)))</f>
        <v>B010</v>
      </c>
      <c r="B279" s="2" t="s">
        <v>34</v>
      </c>
      <c r="C279" t="str">
        <f>_xlfn.XLOOKUP(B279, Sheet1!A:A, Sheet1!B:B)</f>
        <v>almond croissant</v>
      </c>
      <c r="D279">
        <f>_xlfn.XLOOKUP(B279,Sheet1!A:A,Sheet1!C:C)</f>
        <v>6</v>
      </c>
      <c r="E279">
        <f>_xlfn.XLOOKUP(B279,Sheet1!A:A,Sheet1!D:D)</f>
        <v>3.5</v>
      </c>
      <c r="F279">
        <f>_xlfn.XLOOKUP(Sheet3!B279,Sheet1!A:A,Sheet1!E:E)</f>
        <v>3</v>
      </c>
      <c r="G279">
        <f>_xlfn.XLOOKUP(B279,Sheet1!A:A,Sheet1!F:F)</f>
        <v>10</v>
      </c>
      <c r="H279" cm="1">
        <f t="array" aca="1" ref="H279" ca="1">INDEX(Sheet1!$G$2:$G$3, RANDBETWEEN(1, ROWS(Sheet1!$G$2:$G$3)))</f>
        <v>0</v>
      </c>
    </row>
    <row r="280" spans="1:8" x14ac:dyDescent="0.3">
      <c r="A280" s="2" t="str" cm="1">
        <f t="array" aca="1" ref="A280" ca="1">INDEX(Sheet1!$A$2:$A$46, RANDBETWEEN(1,ROWS(Sheet1!$A$2:$A$46)))</f>
        <v>B004</v>
      </c>
      <c r="B280" s="2" t="s">
        <v>10</v>
      </c>
      <c r="C280" t="str">
        <f>_xlfn.XLOOKUP(B280, Sheet1!A:A, Sheet1!B:B)</f>
        <v>croissant</v>
      </c>
      <c r="D280">
        <f>_xlfn.XLOOKUP(B280,Sheet1!A:A,Sheet1!C:C)</f>
        <v>10</v>
      </c>
      <c r="E280">
        <f>_xlfn.XLOOKUP(B280,Sheet1!A:A,Sheet1!D:D)</f>
        <v>5.5</v>
      </c>
      <c r="F280">
        <f>_xlfn.XLOOKUP(Sheet3!B280,Sheet1!A:A,Sheet1!E:E)</f>
        <v>4.5</v>
      </c>
      <c r="G280">
        <f>_xlfn.XLOOKUP(B280,Sheet1!A:A,Sheet1!F:F)</f>
        <v>7</v>
      </c>
      <c r="H280" cm="1">
        <f t="array" aca="1" ref="H280" ca="1">INDEX(Sheet1!$G$2:$G$3, RANDBETWEEN(1, ROWS(Sheet1!$G$2:$G$3)))</f>
        <v>0</v>
      </c>
    </row>
    <row r="281" spans="1:8" x14ac:dyDescent="0.3">
      <c r="A281" s="2" t="str" cm="1">
        <f t="array" aca="1" ref="A281" ca="1">INDEX(Sheet1!$A$2:$A$46, RANDBETWEEN(1,ROWS(Sheet1!$A$2:$A$46)))</f>
        <v>B021</v>
      </c>
      <c r="B281" s="2" t="s">
        <v>19</v>
      </c>
      <c r="C281" t="str">
        <f>_xlfn.XLOOKUP(B281, Sheet1!A:A, Sheet1!B:B)</f>
        <v>blueberry muffins</v>
      </c>
      <c r="D281">
        <f>_xlfn.XLOOKUP(B281,Sheet1!A:A,Sheet1!C:C)</f>
        <v>10</v>
      </c>
      <c r="E281">
        <f>_xlfn.XLOOKUP(B281,Sheet1!A:A,Sheet1!D:D)</f>
        <v>4.5</v>
      </c>
      <c r="F281">
        <f>_xlfn.XLOOKUP(Sheet3!B281,Sheet1!A:A,Sheet1!E:E)</f>
        <v>4</v>
      </c>
      <c r="G281">
        <f>_xlfn.XLOOKUP(B281,Sheet1!A:A,Sheet1!F:F)</f>
        <v>10</v>
      </c>
      <c r="H281" cm="1">
        <f t="array" aca="1" ref="H281" ca="1">INDEX(Sheet1!$G$2:$G$3, RANDBETWEEN(1, ROWS(Sheet1!$G$2:$G$3)))</f>
        <v>0</v>
      </c>
    </row>
    <row r="282" spans="1:8" x14ac:dyDescent="0.3">
      <c r="A282" s="2" t="str" cm="1">
        <f t="array" aca="1" ref="A282" ca="1">INDEX(Sheet1!$A$2:$A$46, RANDBETWEEN(1,ROWS(Sheet1!$A$2:$A$46)))</f>
        <v>B008</v>
      </c>
      <c r="B282" s="2" t="s">
        <v>58</v>
      </c>
      <c r="C282" t="str">
        <f>_xlfn.XLOOKUP(B282, Sheet1!A:A, Sheet1!B:B)</f>
        <v>cookies &amp; creme cupcakes</v>
      </c>
      <c r="D282">
        <f>_xlfn.XLOOKUP(B282,Sheet1!A:A,Sheet1!C:C)</f>
        <v>15</v>
      </c>
      <c r="E282">
        <f>_xlfn.XLOOKUP(B282,Sheet1!A:A,Sheet1!D:D)</f>
        <v>6</v>
      </c>
      <c r="F282">
        <f>_xlfn.XLOOKUP(Sheet3!B282,Sheet1!A:A,Sheet1!E:E)</f>
        <v>5.5</v>
      </c>
      <c r="G282">
        <f>_xlfn.XLOOKUP(B282,Sheet1!A:A,Sheet1!F:F)</f>
        <v>20</v>
      </c>
      <c r="H282" cm="1">
        <f t="array" aca="1" ref="H282" ca="1">INDEX(Sheet1!$G$2:$G$3, RANDBETWEEN(1, ROWS(Sheet1!$G$2:$G$3)))</f>
        <v>0</v>
      </c>
    </row>
    <row r="283" spans="1:8" x14ac:dyDescent="0.3">
      <c r="A283" s="2" t="str" cm="1">
        <f t="array" aca="1" ref="A283" ca="1">INDEX(Sheet1!$A$2:$A$46, RANDBETWEEN(1,ROWS(Sheet1!$A$2:$A$46)))</f>
        <v>B032</v>
      </c>
      <c r="B283" s="2" t="s">
        <v>66</v>
      </c>
      <c r="C283" t="str">
        <f>_xlfn.XLOOKUP(B283, Sheet1!A:A, Sheet1!B:B)</f>
        <v>pumpernickel bread</v>
      </c>
      <c r="D283">
        <f>_xlfn.XLOOKUP(B283,Sheet1!A:A,Sheet1!C:C)</f>
        <v>8</v>
      </c>
      <c r="E283">
        <f>_xlfn.XLOOKUP(B283,Sheet1!A:A,Sheet1!D:D)</f>
        <v>3.5</v>
      </c>
      <c r="F283">
        <f>_xlfn.XLOOKUP(Sheet3!B283,Sheet1!A:A,Sheet1!E:E)</f>
        <v>3</v>
      </c>
      <c r="G283">
        <f>_xlfn.XLOOKUP(B283,Sheet1!A:A,Sheet1!F:F)</f>
        <v>8</v>
      </c>
      <c r="H283" cm="1">
        <f t="array" aca="1" ref="H283" ca="1">INDEX(Sheet1!$G$2:$G$3, RANDBETWEEN(1, ROWS(Sheet1!$G$2:$G$3)))</f>
        <v>0</v>
      </c>
    </row>
    <row r="284" spans="1:8" x14ac:dyDescent="0.3">
      <c r="A284" s="2" t="str" cm="1">
        <f t="array" aca="1" ref="A284" ca="1">INDEX(Sheet1!$A$2:$A$46, RANDBETWEEN(1,ROWS(Sheet1!$A$2:$A$46)))</f>
        <v>B016</v>
      </c>
      <c r="B284" s="2" t="s">
        <v>70</v>
      </c>
      <c r="C284" t="str">
        <f>_xlfn.XLOOKUP(B284, Sheet1!A:A, Sheet1!B:B)</f>
        <v>pumpkin pie</v>
      </c>
      <c r="D284">
        <f>_xlfn.XLOOKUP(B284,Sheet1!A:A,Sheet1!C:C)</f>
        <v>6</v>
      </c>
      <c r="E284">
        <f>_xlfn.XLOOKUP(B284,Sheet1!A:A,Sheet1!D:D)</f>
        <v>4</v>
      </c>
      <c r="F284">
        <f>_xlfn.XLOOKUP(Sheet3!B284,Sheet1!A:A,Sheet1!E:E)</f>
        <v>3</v>
      </c>
      <c r="G284">
        <f>_xlfn.XLOOKUP(B284,Sheet1!A:A,Sheet1!F:F)</f>
        <v>7</v>
      </c>
      <c r="H284" cm="1">
        <f t="array" aca="1" ref="H284" ca="1">INDEX(Sheet1!$G$2:$G$3, RANDBETWEEN(1, ROWS(Sheet1!$G$2:$G$3)))</f>
        <v>0</v>
      </c>
    </row>
    <row r="285" spans="1:8" x14ac:dyDescent="0.3">
      <c r="A285" s="2" t="str" cm="1">
        <f t="array" aca="1" ref="A285" ca="1">INDEX(Sheet1!$A$2:$A$46, RANDBETWEEN(1,ROWS(Sheet1!$A$2:$A$46)))</f>
        <v>B029</v>
      </c>
      <c r="B285" s="2" t="s">
        <v>40</v>
      </c>
      <c r="C285" t="str">
        <f>_xlfn.XLOOKUP(B285, Sheet1!A:A, Sheet1!B:B)</f>
        <v>frosted pink cookies</v>
      </c>
      <c r="D285">
        <f>_xlfn.XLOOKUP(B285,Sheet1!A:A,Sheet1!C:C)</f>
        <v>15</v>
      </c>
      <c r="E285">
        <f>_xlfn.XLOOKUP(B285,Sheet1!A:A,Sheet1!D:D)</f>
        <v>3</v>
      </c>
      <c r="F285">
        <f>_xlfn.XLOOKUP(Sheet3!B285,Sheet1!A:A,Sheet1!E:E)</f>
        <v>2.5</v>
      </c>
      <c r="G285">
        <f>_xlfn.XLOOKUP(B285,Sheet1!A:A,Sheet1!F:F)</f>
        <v>14</v>
      </c>
      <c r="H285" t="str" cm="1">
        <f t="array" aca="1" ref="H285" ca="1">INDEX(Sheet1!$G$2:$G$3, RANDBETWEEN(1, ROWS(Sheet1!$G$2:$G$3)))</f>
        <v>No</v>
      </c>
    </row>
    <row r="286" spans="1:8" x14ac:dyDescent="0.3">
      <c r="A286" s="2" t="str" cm="1">
        <f t="array" aca="1" ref="A286" ca="1">INDEX(Sheet1!$A$2:$A$46, RANDBETWEEN(1,ROWS(Sheet1!$A$2:$A$46)))</f>
        <v>B032</v>
      </c>
      <c r="B286" s="2" t="s">
        <v>40</v>
      </c>
      <c r="C286" t="str">
        <f>_xlfn.XLOOKUP(B286, Sheet1!A:A, Sheet1!B:B)</f>
        <v>frosted pink cookies</v>
      </c>
      <c r="D286">
        <f>_xlfn.XLOOKUP(B286,Sheet1!A:A,Sheet1!C:C)</f>
        <v>15</v>
      </c>
      <c r="E286">
        <f>_xlfn.XLOOKUP(B286,Sheet1!A:A,Sheet1!D:D)</f>
        <v>3</v>
      </c>
      <c r="F286">
        <f>_xlfn.XLOOKUP(Sheet3!B286,Sheet1!A:A,Sheet1!E:E)</f>
        <v>2.5</v>
      </c>
      <c r="G286">
        <f>_xlfn.XLOOKUP(B286,Sheet1!A:A,Sheet1!F:F)</f>
        <v>14</v>
      </c>
      <c r="H286" cm="1">
        <f t="array" aca="1" ref="H286" ca="1">INDEX(Sheet1!$G$2:$G$3, RANDBETWEEN(1, ROWS(Sheet1!$G$2:$G$3)))</f>
        <v>0</v>
      </c>
    </row>
    <row r="287" spans="1:8" x14ac:dyDescent="0.3">
      <c r="A287" s="2" t="str" cm="1">
        <f t="array" aca="1" ref="A287" ca="1">INDEX(Sheet1!$A$2:$A$46, RANDBETWEEN(1,ROWS(Sheet1!$A$2:$A$46)))</f>
        <v>B007</v>
      </c>
      <c r="B287" s="2" t="s">
        <v>65</v>
      </c>
      <c r="C287" t="str">
        <f>_xlfn.XLOOKUP(B287, Sheet1!A:A, Sheet1!B:B)</f>
        <v>sourdough bread</v>
      </c>
      <c r="D287">
        <f>_xlfn.XLOOKUP(B287,Sheet1!A:A,Sheet1!C:C)</f>
        <v>10</v>
      </c>
      <c r="E287">
        <f>_xlfn.XLOOKUP(B287,Sheet1!A:A,Sheet1!D:D)</f>
        <v>3.5</v>
      </c>
      <c r="F287">
        <f>_xlfn.XLOOKUP(Sheet3!B287,Sheet1!A:A,Sheet1!E:E)</f>
        <v>3</v>
      </c>
      <c r="G287">
        <f>_xlfn.XLOOKUP(B287,Sheet1!A:A,Sheet1!F:F)</f>
        <v>8</v>
      </c>
      <c r="H287" t="str" cm="1">
        <f t="array" aca="1" ref="H287" ca="1">INDEX(Sheet1!$G$2:$G$3, RANDBETWEEN(1, ROWS(Sheet1!$G$2:$G$3)))</f>
        <v>No</v>
      </c>
    </row>
    <row r="288" spans="1:8" x14ac:dyDescent="0.3">
      <c r="A288" s="2" t="str" cm="1">
        <f t="array" aca="1" ref="A288" ca="1">INDEX(Sheet1!$A$2:$A$46, RANDBETWEEN(1,ROWS(Sheet1!$A$2:$A$46)))</f>
        <v>B026</v>
      </c>
      <c r="B288" s="2" t="s">
        <v>67</v>
      </c>
      <c r="C288" t="str">
        <f>_xlfn.XLOOKUP(B288, Sheet1!A:A, Sheet1!B:B)</f>
        <v>seeded bread</v>
      </c>
      <c r="D288">
        <f>_xlfn.XLOOKUP(B288,Sheet1!A:A,Sheet1!C:C)</f>
        <v>8</v>
      </c>
      <c r="E288">
        <f>_xlfn.XLOOKUP(B288,Sheet1!A:A,Sheet1!D:D)</f>
        <v>3.5</v>
      </c>
      <c r="F288">
        <f>_xlfn.XLOOKUP(Sheet3!B288,Sheet1!A:A,Sheet1!E:E)</f>
        <v>3</v>
      </c>
      <c r="G288">
        <f>_xlfn.XLOOKUP(B288,Sheet1!A:A,Sheet1!F:F)</f>
        <v>8</v>
      </c>
      <c r="H288" cm="1">
        <f t="array" aca="1" ref="H288" ca="1">INDEX(Sheet1!$G$2:$G$3, RANDBETWEEN(1, ROWS(Sheet1!$G$2:$G$3)))</f>
        <v>0</v>
      </c>
    </row>
    <row r="289" spans="1:8" x14ac:dyDescent="0.3">
      <c r="A289" s="2" t="str" cm="1">
        <f t="array" aca="1" ref="A289" ca="1">INDEX(Sheet1!$A$2:$A$46, RANDBETWEEN(1,ROWS(Sheet1!$A$2:$A$46)))</f>
        <v>B010</v>
      </c>
      <c r="B289" s="2" t="s">
        <v>81</v>
      </c>
      <c r="C289" t="str">
        <f>_xlfn.XLOOKUP(B289, Sheet1!A:A, Sheet1!B:B)</f>
        <v>red velvet square cake</v>
      </c>
      <c r="D289">
        <f>_xlfn.XLOOKUP(B289,Sheet1!A:A,Sheet1!C:C)</f>
        <v>8</v>
      </c>
      <c r="E289">
        <f>_xlfn.XLOOKUP(B289,Sheet1!A:A,Sheet1!D:D)</f>
        <v>2.5</v>
      </c>
      <c r="F289">
        <f>_xlfn.XLOOKUP(Sheet3!B289,Sheet1!A:A,Sheet1!E:E)</f>
        <v>2</v>
      </c>
      <c r="G289">
        <f>_xlfn.XLOOKUP(B289,Sheet1!A:A,Sheet1!F:F)</f>
        <v>5</v>
      </c>
      <c r="H289" cm="1">
        <f t="array" aca="1" ref="H289" ca="1">INDEX(Sheet1!$G$2:$G$3, RANDBETWEEN(1, ROWS(Sheet1!$G$2:$G$3)))</f>
        <v>0</v>
      </c>
    </row>
    <row r="290" spans="1:8" x14ac:dyDescent="0.3">
      <c r="A290" s="2" t="str" cm="1">
        <f t="array" aca="1" ref="A290" ca="1">INDEX(Sheet1!$A$2:$A$46, RANDBETWEEN(1,ROWS(Sheet1!$A$2:$A$46)))</f>
        <v>B028</v>
      </c>
      <c r="B290" s="2" t="s">
        <v>79</v>
      </c>
      <c r="C290" t="str">
        <f>_xlfn.XLOOKUP(B290, Sheet1!A:A, Sheet1!B:B)</f>
        <v>chocolate square cake</v>
      </c>
      <c r="D290">
        <f>_xlfn.XLOOKUP(B290,Sheet1!A:A,Sheet1!C:C)</f>
        <v>8</v>
      </c>
      <c r="E290">
        <f>_xlfn.XLOOKUP(B290,Sheet1!A:A,Sheet1!D:D)</f>
        <v>2.5</v>
      </c>
      <c r="F290">
        <f>_xlfn.XLOOKUP(Sheet3!B290,Sheet1!A:A,Sheet1!E:E)</f>
        <v>2</v>
      </c>
      <c r="G290">
        <f>_xlfn.XLOOKUP(B290,Sheet1!A:A,Sheet1!F:F)</f>
        <v>5</v>
      </c>
      <c r="H290" t="str" cm="1">
        <f t="array" aca="1" ref="H290" ca="1">INDEX(Sheet1!$G$2:$G$3, RANDBETWEEN(1, ROWS(Sheet1!$G$2:$G$3)))</f>
        <v>No</v>
      </c>
    </row>
    <row r="291" spans="1:8" x14ac:dyDescent="0.3">
      <c r="A291" s="2" t="str" cm="1">
        <f t="array" aca="1" ref="A291" ca="1">INDEX(Sheet1!$A$2:$A$46, RANDBETWEEN(1,ROWS(Sheet1!$A$2:$A$46)))</f>
        <v>B004</v>
      </c>
      <c r="B291" s="2" t="s">
        <v>21</v>
      </c>
      <c r="C291" t="str">
        <f>_xlfn.XLOOKUP(B291, Sheet1!A:A, Sheet1!B:B)</f>
        <v>butter cake</v>
      </c>
      <c r="D291">
        <f>_xlfn.XLOOKUP(B291,Sheet1!A:A,Sheet1!C:C)</f>
        <v>8</v>
      </c>
      <c r="E291">
        <f>_xlfn.XLOOKUP(B291,Sheet1!A:A,Sheet1!D:D)</f>
        <v>4</v>
      </c>
      <c r="F291">
        <f>_xlfn.XLOOKUP(Sheet3!B291,Sheet1!A:A,Sheet1!E:E)</f>
        <v>3</v>
      </c>
      <c r="G291">
        <f>_xlfn.XLOOKUP(B291,Sheet1!A:A,Sheet1!F:F)</f>
        <v>14</v>
      </c>
      <c r="H291" cm="1">
        <f t="array" aca="1" ref="H291" ca="1">INDEX(Sheet1!$G$2:$G$3, RANDBETWEEN(1, ROWS(Sheet1!$G$2:$G$3)))</f>
        <v>0</v>
      </c>
    </row>
    <row r="292" spans="1:8" x14ac:dyDescent="0.3">
      <c r="A292" s="2" t="str" cm="1">
        <f t="array" aca="1" ref="A292" ca="1">INDEX(Sheet1!$A$2:$A$46, RANDBETWEEN(1,ROWS(Sheet1!$A$2:$A$46)))</f>
        <v>B022</v>
      </c>
      <c r="B292" s="2" t="s">
        <v>71</v>
      </c>
      <c r="C292" t="str">
        <f>_xlfn.XLOOKUP(B292, Sheet1!A:A, Sheet1!B:B)</f>
        <v>blueberry pie</v>
      </c>
      <c r="D292">
        <f>_xlfn.XLOOKUP(B292,Sheet1!A:A,Sheet1!C:C)</f>
        <v>6</v>
      </c>
      <c r="E292">
        <f>_xlfn.XLOOKUP(B292,Sheet1!A:A,Sheet1!D:D)</f>
        <v>4</v>
      </c>
      <c r="F292">
        <f>_xlfn.XLOOKUP(Sheet3!B292,Sheet1!A:A,Sheet1!E:E)</f>
        <v>3</v>
      </c>
      <c r="G292">
        <f>_xlfn.XLOOKUP(B292,Sheet1!A:A,Sheet1!F:F)</f>
        <v>7</v>
      </c>
      <c r="H292" t="str" cm="1">
        <f t="array" aca="1" ref="H292" ca="1">INDEX(Sheet1!$G$2:$G$3, RANDBETWEEN(1, ROWS(Sheet1!$G$2:$G$3)))</f>
        <v>No</v>
      </c>
    </row>
    <row r="293" spans="1:8" x14ac:dyDescent="0.3">
      <c r="A293" s="2" t="str" cm="1">
        <f t="array" aca="1" ref="A293" ca="1">INDEX(Sheet1!$A$2:$A$46, RANDBETWEEN(1,ROWS(Sheet1!$A$2:$A$46)))</f>
        <v>B014</v>
      </c>
      <c r="B293" s="2" t="s">
        <v>58</v>
      </c>
      <c r="C293" t="str">
        <f>_xlfn.XLOOKUP(B293, Sheet1!A:A, Sheet1!B:B)</f>
        <v>cookies &amp; creme cupcakes</v>
      </c>
      <c r="D293">
        <f>_xlfn.XLOOKUP(B293,Sheet1!A:A,Sheet1!C:C)</f>
        <v>15</v>
      </c>
      <c r="E293">
        <f>_xlfn.XLOOKUP(B293,Sheet1!A:A,Sheet1!D:D)</f>
        <v>6</v>
      </c>
      <c r="F293">
        <f>_xlfn.XLOOKUP(Sheet3!B293,Sheet1!A:A,Sheet1!E:E)</f>
        <v>5.5</v>
      </c>
      <c r="G293">
        <f>_xlfn.XLOOKUP(B293,Sheet1!A:A,Sheet1!F:F)</f>
        <v>20</v>
      </c>
      <c r="H293" cm="1">
        <f t="array" aca="1" ref="H293" ca="1">INDEX(Sheet1!$G$2:$G$3, RANDBETWEEN(1, ROWS(Sheet1!$G$2:$G$3)))</f>
        <v>0</v>
      </c>
    </row>
    <row r="294" spans="1:8" x14ac:dyDescent="0.3">
      <c r="A294" s="2" t="str" cm="1">
        <f t="array" aca="1" ref="A294" ca="1">INDEX(Sheet1!$A$2:$A$46, RANDBETWEEN(1,ROWS(Sheet1!$A$2:$A$46)))</f>
        <v>B037</v>
      </c>
      <c r="B294" s="2" t="s">
        <v>67</v>
      </c>
      <c r="C294" t="str">
        <f>_xlfn.XLOOKUP(B294, Sheet1!A:A, Sheet1!B:B)</f>
        <v>seeded bread</v>
      </c>
      <c r="D294">
        <f>_xlfn.XLOOKUP(B294,Sheet1!A:A,Sheet1!C:C)</f>
        <v>8</v>
      </c>
      <c r="E294">
        <f>_xlfn.XLOOKUP(B294,Sheet1!A:A,Sheet1!D:D)</f>
        <v>3.5</v>
      </c>
      <c r="F294">
        <f>_xlfn.XLOOKUP(Sheet3!B294,Sheet1!A:A,Sheet1!E:E)</f>
        <v>3</v>
      </c>
      <c r="G294">
        <f>_xlfn.XLOOKUP(B294,Sheet1!A:A,Sheet1!F:F)</f>
        <v>8</v>
      </c>
      <c r="H294" t="str" cm="1">
        <f t="array" aca="1" ref="H294" ca="1">INDEX(Sheet1!$G$2:$G$3, RANDBETWEEN(1, ROWS(Sheet1!$G$2:$G$3)))</f>
        <v>No</v>
      </c>
    </row>
    <row r="295" spans="1:8" x14ac:dyDescent="0.3">
      <c r="A295" s="2" t="str" cm="1">
        <f t="array" aca="1" ref="A295" ca="1">INDEX(Sheet1!$A$2:$A$46, RANDBETWEEN(1,ROWS(Sheet1!$A$2:$A$46)))</f>
        <v>B043</v>
      </c>
      <c r="B295" s="2" t="s">
        <v>21</v>
      </c>
      <c r="C295" t="str">
        <f>_xlfn.XLOOKUP(B295, Sheet1!A:A, Sheet1!B:B)</f>
        <v>butter cake</v>
      </c>
      <c r="D295">
        <f>_xlfn.XLOOKUP(B295,Sheet1!A:A,Sheet1!C:C)</f>
        <v>8</v>
      </c>
      <c r="E295">
        <f>_xlfn.XLOOKUP(B295,Sheet1!A:A,Sheet1!D:D)</f>
        <v>4</v>
      </c>
      <c r="F295">
        <f>_xlfn.XLOOKUP(Sheet3!B295,Sheet1!A:A,Sheet1!E:E)</f>
        <v>3</v>
      </c>
      <c r="G295">
        <f>_xlfn.XLOOKUP(B295,Sheet1!A:A,Sheet1!F:F)</f>
        <v>14</v>
      </c>
      <c r="H295" cm="1">
        <f t="array" aca="1" ref="H295" ca="1">INDEX(Sheet1!$G$2:$G$3, RANDBETWEEN(1, ROWS(Sheet1!$G$2:$G$3)))</f>
        <v>0</v>
      </c>
    </row>
    <row r="296" spans="1:8" x14ac:dyDescent="0.3">
      <c r="A296" s="2" t="str" cm="1">
        <f t="array" aca="1" ref="A296" ca="1">INDEX(Sheet1!$A$2:$A$46, RANDBETWEEN(1,ROWS(Sheet1!$A$2:$A$46)))</f>
        <v>B005</v>
      </c>
      <c r="B296" s="2" t="s">
        <v>20</v>
      </c>
      <c r="C296" t="str">
        <f>_xlfn.XLOOKUP(B296, Sheet1!A:A, Sheet1!B:B)</f>
        <v>banana nut muffins</v>
      </c>
      <c r="D296">
        <f>_xlfn.XLOOKUP(B296,Sheet1!A:A,Sheet1!C:C)</f>
        <v>10</v>
      </c>
      <c r="E296">
        <f>_xlfn.XLOOKUP(B296,Sheet1!A:A,Sheet1!D:D)</f>
        <v>4.5</v>
      </c>
      <c r="F296">
        <f>_xlfn.XLOOKUP(Sheet3!B296,Sheet1!A:A,Sheet1!E:E)</f>
        <v>4</v>
      </c>
      <c r="G296">
        <f>_xlfn.XLOOKUP(B296,Sheet1!A:A,Sheet1!F:F)</f>
        <v>10</v>
      </c>
      <c r="H296" t="str" cm="1">
        <f t="array" aca="1" ref="H296" ca="1">INDEX(Sheet1!$G$2:$G$3, RANDBETWEEN(1, ROWS(Sheet1!$G$2:$G$3)))</f>
        <v>No</v>
      </c>
    </row>
    <row r="297" spans="1:8" x14ac:dyDescent="0.3">
      <c r="A297" s="2" t="str" cm="1">
        <f t="array" aca="1" ref="A297" ca="1">INDEX(Sheet1!$A$2:$A$46, RANDBETWEEN(1,ROWS(Sheet1!$A$2:$A$46)))</f>
        <v>B020</v>
      </c>
      <c r="B297" s="2" t="s">
        <v>63</v>
      </c>
      <c r="C297" t="str">
        <f>_xlfn.XLOOKUP(B297, Sheet1!A:A, Sheet1!B:B)</f>
        <v>chocolate sliced loaf cake</v>
      </c>
      <c r="D297">
        <f>_xlfn.XLOOKUP(B297,Sheet1!A:A,Sheet1!C:C)</f>
        <v>10</v>
      </c>
      <c r="E297">
        <f>_xlfn.XLOOKUP(B297,Sheet1!A:A,Sheet1!D:D)</f>
        <v>4</v>
      </c>
      <c r="F297">
        <f>_xlfn.XLOOKUP(Sheet3!B297,Sheet1!A:A,Sheet1!E:E)</f>
        <v>3.5</v>
      </c>
      <c r="G297">
        <f>_xlfn.XLOOKUP(B297,Sheet1!A:A,Sheet1!F:F)</f>
        <v>10</v>
      </c>
      <c r="H297" cm="1">
        <f t="array" aca="1" ref="H297" ca="1">INDEX(Sheet1!$G$2:$G$3, RANDBETWEEN(1, ROWS(Sheet1!$G$2:$G$3)))</f>
        <v>0</v>
      </c>
    </row>
    <row r="298" spans="1:8" x14ac:dyDescent="0.3">
      <c r="A298" s="2" t="str" cm="1">
        <f t="array" aca="1" ref="A298" ca="1">INDEX(Sheet1!$A$2:$A$46, RANDBETWEEN(1,ROWS(Sheet1!$A$2:$A$46)))</f>
        <v>B026</v>
      </c>
      <c r="B298" s="2" t="s">
        <v>92</v>
      </c>
      <c r="C298" t="str">
        <f>_xlfn.XLOOKUP(B298, Sheet1!A:A, Sheet1!B:B)</f>
        <v>square brownies</v>
      </c>
      <c r="D298">
        <f>_xlfn.XLOOKUP(B298,Sheet1!A:A,Sheet1!C:C)</f>
        <v>6</v>
      </c>
      <c r="E298">
        <f>_xlfn.XLOOKUP(B298,Sheet1!A:A,Sheet1!D:D)</f>
        <v>4.5</v>
      </c>
      <c r="F298">
        <f>_xlfn.XLOOKUP(Sheet3!B298,Sheet1!A:A,Sheet1!E:E)</f>
        <v>4</v>
      </c>
      <c r="G298">
        <f>_xlfn.XLOOKUP(B298,Sheet1!A:A,Sheet1!F:F)</f>
        <v>14</v>
      </c>
      <c r="H298" t="str" cm="1">
        <f t="array" aca="1" ref="H298" ca="1">INDEX(Sheet1!$G$2:$G$3, RANDBETWEEN(1, ROWS(Sheet1!$G$2:$G$3)))</f>
        <v>No</v>
      </c>
    </row>
    <row r="299" spans="1:8" x14ac:dyDescent="0.3">
      <c r="A299" s="2" t="str" cm="1">
        <f t="array" aca="1" ref="A299" ca="1">INDEX(Sheet1!$A$2:$A$46, RANDBETWEEN(1,ROWS(Sheet1!$A$2:$A$46)))</f>
        <v>B040</v>
      </c>
      <c r="B299" s="2" t="s">
        <v>80</v>
      </c>
      <c r="C299" t="str">
        <f>_xlfn.XLOOKUP(B299, Sheet1!A:A, Sheet1!B:B)</f>
        <v>carrot square cake</v>
      </c>
      <c r="D299">
        <f>_xlfn.XLOOKUP(B299,Sheet1!A:A,Sheet1!C:C)</f>
        <v>8</v>
      </c>
      <c r="E299">
        <f>_xlfn.XLOOKUP(B299,Sheet1!A:A,Sheet1!D:D)</f>
        <v>2.5</v>
      </c>
      <c r="F299">
        <f>_xlfn.XLOOKUP(Sheet3!B299,Sheet1!A:A,Sheet1!E:E)</f>
        <v>2</v>
      </c>
      <c r="G299">
        <f>_xlfn.XLOOKUP(B299,Sheet1!A:A,Sheet1!F:F)</f>
        <v>5</v>
      </c>
      <c r="H299" t="str" cm="1">
        <f t="array" aca="1" ref="H299" ca="1">INDEX(Sheet1!$G$2:$G$3, RANDBETWEEN(1, ROWS(Sheet1!$G$2:$G$3)))</f>
        <v>No</v>
      </c>
    </row>
    <row r="300" spans="1:8" x14ac:dyDescent="0.3">
      <c r="A300" s="2" t="str" cm="1">
        <f t="array" aca="1" ref="A300" ca="1">INDEX(Sheet1!$A$2:$A$46, RANDBETWEEN(1,ROWS(Sheet1!$A$2:$A$46)))</f>
        <v>B012</v>
      </c>
      <c r="B300" s="2" t="s">
        <v>65</v>
      </c>
      <c r="C300" t="str">
        <f>_xlfn.XLOOKUP(B300, Sheet1!A:A, Sheet1!B:B)</f>
        <v>sourdough bread</v>
      </c>
      <c r="D300">
        <f>_xlfn.XLOOKUP(B300,Sheet1!A:A,Sheet1!C:C)</f>
        <v>10</v>
      </c>
      <c r="E300">
        <f>_xlfn.XLOOKUP(B300,Sheet1!A:A,Sheet1!D:D)</f>
        <v>3.5</v>
      </c>
      <c r="F300">
        <f>_xlfn.XLOOKUP(Sheet3!B300,Sheet1!A:A,Sheet1!E:E)</f>
        <v>3</v>
      </c>
      <c r="G300">
        <f>_xlfn.XLOOKUP(B300,Sheet1!A:A,Sheet1!F:F)</f>
        <v>8</v>
      </c>
      <c r="H300" t="str" cm="1">
        <f t="array" aca="1" ref="H300" ca="1">INDEX(Sheet1!$G$2:$G$3, RANDBETWEEN(1, ROWS(Sheet1!$G$2:$G$3)))</f>
        <v>No</v>
      </c>
    </row>
    <row r="301" spans="1:8" x14ac:dyDescent="0.3">
      <c r="A301" s="2" t="str" cm="1">
        <f t="array" aca="1" ref="A301" ca="1">INDEX(Sheet1!$A$2:$A$46, RANDBETWEEN(1,ROWS(Sheet1!$A$2:$A$46)))</f>
        <v>B037</v>
      </c>
      <c r="B301" s="2" t="s">
        <v>16</v>
      </c>
      <c r="C301" t="str">
        <f>_xlfn.XLOOKUP(B301, Sheet1!A:A, Sheet1!B:B)</f>
        <v>mini croissant</v>
      </c>
      <c r="D301">
        <f>_xlfn.XLOOKUP(B301,Sheet1!A:A,Sheet1!C:C)</f>
        <v>10</v>
      </c>
      <c r="E301">
        <f>_xlfn.XLOOKUP(B301,Sheet1!A:A,Sheet1!D:D)</f>
        <v>5.5</v>
      </c>
      <c r="F301">
        <f>_xlfn.XLOOKUP(Sheet3!B301,Sheet1!A:A,Sheet1!E:E)</f>
        <v>4.5</v>
      </c>
      <c r="G301">
        <f>_xlfn.XLOOKUP(B301,Sheet1!A:A,Sheet1!F:F)</f>
        <v>7</v>
      </c>
      <c r="H301" cm="1">
        <f t="array" aca="1" ref="H301" ca="1">INDEX(Sheet1!$G$2:$G$3, RANDBETWEEN(1, ROWS(Sheet1!$G$2:$G$3)))</f>
        <v>0</v>
      </c>
    </row>
    <row r="302" spans="1:8" x14ac:dyDescent="0.3">
      <c r="A302" s="2" t="str" cm="1">
        <f t="array" aca="1" ref="A302" ca="1">INDEX(Sheet1!$A$2:$A$46, RANDBETWEEN(1,ROWS(Sheet1!$A$2:$A$46)))</f>
        <v>B040</v>
      </c>
      <c r="B302" s="2" t="s">
        <v>37</v>
      </c>
      <c r="C302" t="str">
        <f>_xlfn.XLOOKUP(B302, Sheet1!A:A, Sheet1!B:B)</f>
        <v>sugar cookies</v>
      </c>
      <c r="D302">
        <f>_xlfn.XLOOKUP(B302,Sheet1!A:A,Sheet1!C:C)</f>
        <v>12</v>
      </c>
      <c r="E302">
        <f>_xlfn.XLOOKUP(B302,Sheet1!A:A,Sheet1!D:D)</f>
        <v>3.5</v>
      </c>
      <c r="F302">
        <f>_xlfn.XLOOKUP(Sheet3!B302,Sheet1!A:A,Sheet1!E:E)</f>
        <v>3</v>
      </c>
      <c r="G302">
        <f>_xlfn.XLOOKUP(B302,Sheet1!A:A,Sheet1!F:F)</f>
        <v>14</v>
      </c>
      <c r="H302" cm="1">
        <f t="array" aca="1" ref="H302" ca="1">INDEX(Sheet1!$G$2:$G$3, RANDBETWEEN(1, ROWS(Sheet1!$G$2:$G$3)))</f>
        <v>0</v>
      </c>
    </row>
    <row r="303" spans="1:8" x14ac:dyDescent="0.3">
      <c r="A303" s="2" t="str" cm="1">
        <f t="array" aca="1" ref="A303" ca="1">INDEX(Sheet1!$A$2:$A$46, RANDBETWEEN(1,ROWS(Sheet1!$A$2:$A$46)))</f>
        <v>B030</v>
      </c>
      <c r="B303" s="2" t="s">
        <v>23</v>
      </c>
      <c r="C303" t="str">
        <f>_xlfn.XLOOKUP(B303, Sheet1!A:A, Sheet1!B:B)</f>
        <v>cheese cake</v>
      </c>
      <c r="D303">
        <f>_xlfn.XLOOKUP(B303,Sheet1!A:A,Sheet1!C:C)</f>
        <v>9</v>
      </c>
      <c r="E303">
        <f>_xlfn.XLOOKUP(B303,Sheet1!A:A,Sheet1!D:D)</f>
        <v>6.5</v>
      </c>
      <c r="F303">
        <f>_xlfn.XLOOKUP(Sheet3!B303,Sheet1!A:A,Sheet1!E:E)</f>
        <v>5.5</v>
      </c>
      <c r="G303">
        <f>_xlfn.XLOOKUP(B303,Sheet1!A:A,Sheet1!F:F)</f>
        <v>9</v>
      </c>
      <c r="H303" t="str" cm="1">
        <f t="array" aca="1" ref="H303" ca="1">INDEX(Sheet1!$G$2:$G$3, RANDBETWEEN(1, ROWS(Sheet1!$G$2:$G$3)))</f>
        <v>No</v>
      </c>
    </row>
    <row r="304" spans="1:8" x14ac:dyDescent="0.3">
      <c r="A304" s="2" t="str" cm="1">
        <f t="array" aca="1" ref="A304" ca="1">INDEX(Sheet1!$A$2:$A$46, RANDBETWEEN(1,ROWS(Sheet1!$A$2:$A$46)))</f>
        <v>B023</v>
      </c>
      <c r="B304" s="2" t="s">
        <v>21</v>
      </c>
      <c r="C304" t="str">
        <f>_xlfn.XLOOKUP(B304, Sheet1!A:A, Sheet1!B:B)</f>
        <v>butter cake</v>
      </c>
      <c r="D304">
        <f>_xlfn.XLOOKUP(B304,Sheet1!A:A,Sheet1!C:C)</f>
        <v>8</v>
      </c>
      <c r="E304">
        <f>_xlfn.XLOOKUP(B304,Sheet1!A:A,Sheet1!D:D)</f>
        <v>4</v>
      </c>
      <c r="F304">
        <f>_xlfn.XLOOKUP(Sheet3!B304,Sheet1!A:A,Sheet1!E:E)</f>
        <v>3</v>
      </c>
      <c r="G304">
        <f>_xlfn.XLOOKUP(B304,Sheet1!A:A,Sheet1!F:F)</f>
        <v>14</v>
      </c>
      <c r="H304" t="str" cm="1">
        <f t="array" aca="1" ref="H304" ca="1">INDEX(Sheet1!$G$2:$G$3, RANDBETWEEN(1, ROWS(Sheet1!$G$2:$G$3)))</f>
        <v>No</v>
      </c>
    </row>
    <row r="305" spans="1:8" x14ac:dyDescent="0.3">
      <c r="A305" s="2" t="str" cm="1">
        <f t="array" aca="1" ref="A305" ca="1">INDEX(Sheet1!$A$2:$A$46, RANDBETWEEN(1,ROWS(Sheet1!$A$2:$A$46)))</f>
        <v>B004</v>
      </c>
      <c r="B305" s="2" t="s">
        <v>60</v>
      </c>
      <c r="C305" t="str">
        <f>_xlfn.XLOOKUP(B305, Sheet1!A:A, Sheet1!B:B)</f>
        <v>banana nut sliced loaf cake</v>
      </c>
      <c r="D305">
        <f>_xlfn.XLOOKUP(B305,Sheet1!A:A,Sheet1!C:C)</f>
        <v>10</v>
      </c>
      <c r="E305">
        <f>_xlfn.XLOOKUP(B305,Sheet1!A:A,Sheet1!D:D)</f>
        <v>4</v>
      </c>
      <c r="F305">
        <f>_xlfn.XLOOKUP(Sheet3!B305,Sheet1!A:A,Sheet1!E:E)</f>
        <v>3.5</v>
      </c>
      <c r="G305">
        <f>_xlfn.XLOOKUP(B305,Sheet1!A:A,Sheet1!F:F)</f>
        <v>10</v>
      </c>
      <c r="H305" t="str" cm="1">
        <f t="array" aca="1" ref="H305" ca="1">INDEX(Sheet1!$G$2:$G$3, RANDBETWEEN(1, ROWS(Sheet1!$G$2:$G$3)))</f>
        <v>No</v>
      </c>
    </row>
    <row r="306" spans="1:8" x14ac:dyDescent="0.3">
      <c r="A306" s="2" t="str" cm="1">
        <f t="array" aca="1" ref="A306" ca="1">INDEX(Sheet1!$A$2:$A$46, RANDBETWEEN(1,ROWS(Sheet1!$A$2:$A$46)))</f>
        <v>B007</v>
      </c>
      <c r="B306" s="2" t="s">
        <v>37</v>
      </c>
      <c r="C306" t="str">
        <f>_xlfn.XLOOKUP(B306, Sheet1!A:A, Sheet1!B:B)</f>
        <v>sugar cookies</v>
      </c>
      <c r="D306">
        <f>_xlfn.XLOOKUP(B306,Sheet1!A:A,Sheet1!C:C)</f>
        <v>12</v>
      </c>
      <c r="E306">
        <f>_xlfn.XLOOKUP(B306,Sheet1!A:A,Sheet1!D:D)</f>
        <v>3.5</v>
      </c>
      <c r="F306">
        <f>_xlfn.XLOOKUP(Sheet3!B306,Sheet1!A:A,Sheet1!E:E)</f>
        <v>3</v>
      </c>
      <c r="G306">
        <f>_xlfn.XLOOKUP(B306,Sheet1!A:A,Sheet1!F:F)</f>
        <v>14</v>
      </c>
      <c r="H306" cm="1">
        <f t="array" aca="1" ref="H306" ca="1">INDEX(Sheet1!$G$2:$G$3, RANDBETWEEN(1, ROWS(Sheet1!$G$2:$G$3)))</f>
        <v>0</v>
      </c>
    </row>
    <row r="307" spans="1:8" x14ac:dyDescent="0.3">
      <c r="A307" s="2" t="str" cm="1">
        <f t="array" aca="1" ref="A307" ca="1">INDEX(Sheet1!$A$2:$A$46, RANDBETWEEN(1,ROWS(Sheet1!$A$2:$A$46)))</f>
        <v>B019</v>
      </c>
      <c r="B307" s="2" t="s">
        <v>68</v>
      </c>
      <c r="C307" t="str">
        <f>_xlfn.XLOOKUP(B307, Sheet1!A:A, Sheet1!B:B)</f>
        <v>oreja cookies</v>
      </c>
      <c r="D307">
        <f>_xlfn.XLOOKUP(B307,Sheet1!A:A,Sheet1!C:C)</f>
        <v>15</v>
      </c>
      <c r="E307">
        <f>_xlfn.XLOOKUP(B307,Sheet1!A:A,Sheet1!D:D)</f>
        <v>4</v>
      </c>
      <c r="F307">
        <f>_xlfn.XLOOKUP(Sheet3!B307,Sheet1!A:A,Sheet1!E:E)</f>
        <v>3</v>
      </c>
      <c r="G307">
        <f>_xlfn.XLOOKUP(B307,Sheet1!A:A,Sheet1!F:F)</f>
        <v>14</v>
      </c>
      <c r="H307" t="str" cm="1">
        <f t="array" aca="1" ref="H307" ca="1">INDEX(Sheet1!$G$2:$G$3, RANDBETWEEN(1, ROWS(Sheet1!$G$2:$G$3)))</f>
        <v>No</v>
      </c>
    </row>
    <row r="308" spans="1:8" x14ac:dyDescent="0.3">
      <c r="A308" s="2" t="str" cm="1">
        <f t="array" aca="1" ref="A308" ca="1">INDEX(Sheet1!$A$2:$A$46, RANDBETWEEN(1,ROWS(Sheet1!$A$2:$A$46)))</f>
        <v>B007</v>
      </c>
      <c r="B308" s="2" t="s">
        <v>65</v>
      </c>
      <c r="C308" t="str">
        <f>_xlfn.XLOOKUP(B308, Sheet1!A:A, Sheet1!B:B)</f>
        <v>sourdough bread</v>
      </c>
      <c r="D308">
        <f>_xlfn.XLOOKUP(B308,Sheet1!A:A,Sheet1!C:C)</f>
        <v>10</v>
      </c>
      <c r="E308">
        <f>_xlfn.XLOOKUP(B308,Sheet1!A:A,Sheet1!D:D)</f>
        <v>3.5</v>
      </c>
      <c r="F308">
        <f>_xlfn.XLOOKUP(Sheet3!B308,Sheet1!A:A,Sheet1!E:E)</f>
        <v>3</v>
      </c>
      <c r="G308">
        <f>_xlfn.XLOOKUP(B308,Sheet1!A:A,Sheet1!F:F)</f>
        <v>8</v>
      </c>
      <c r="H308" cm="1">
        <f t="array" aca="1" ref="H308" ca="1">INDEX(Sheet1!$G$2:$G$3, RANDBETWEEN(1, ROWS(Sheet1!$G$2:$G$3)))</f>
        <v>0</v>
      </c>
    </row>
    <row r="309" spans="1:8" x14ac:dyDescent="0.3">
      <c r="A309" s="2" t="str" cm="1">
        <f t="array" aca="1" ref="A309" ca="1">INDEX(Sheet1!$A$2:$A$46, RANDBETWEEN(1,ROWS(Sheet1!$A$2:$A$46)))</f>
        <v>B019</v>
      </c>
      <c r="B309" s="2" t="s">
        <v>64</v>
      </c>
      <c r="C309" t="str">
        <f>_xlfn.XLOOKUP(B309, Sheet1!A:A, Sheet1!B:B)</f>
        <v>marble bread</v>
      </c>
      <c r="D309">
        <f>_xlfn.XLOOKUP(B309,Sheet1!A:A,Sheet1!C:C)</f>
        <v>8</v>
      </c>
      <c r="E309">
        <f>_xlfn.XLOOKUP(B309,Sheet1!A:A,Sheet1!D:D)</f>
        <v>3.5</v>
      </c>
      <c r="F309">
        <f>_xlfn.XLOOKUP(Sheet3!B309,Sheet1!A:A,Sheet1!E:E)</f>
        <v>3</v>
      </c>
      <c r="G309">
        <f>_xlfn.XLOOKUP(B309,Sheet1!A:A,Sheet1!F:F)</f>
        <v>8</v>
      </c>
      <c r="H309" t="str" cm="1">
        <f t="array" aca="1" ref="H309" ca="1">INDEX(Sheet1!$G$2:$G$3, RANDBETWEEN(1, ROWS(Sheet1!$G$2:$G$3)))</f>
        <v>No</v>
      </c>
    </row>
    <row r="310" spans="1:8" x14ac:dyDescent="0.3">
      <c r="A310" s="2" t="str" cm="1">
        <f t="array" aca="1" ref="A310" ca="1">INDEX(Sheet1!$A$2:$A$46, RANDBETWEEN(1,ROWS(Sheet1!$A$2:$A$46)))</f>
        <v>B024</v>
      </c>
      <c r="B310" s="2" t="s">
        <v>41</v>
      </c>
      <c r="C310" t="str">
        <f>_xlfn.XLOOKUP(B310, Sheet1!A:A, Sheet1!B:B)</f>
        <v>frosted blue cookies</v>
      </c>
      <c r="D310">
        <f>_xlfn.XLOOKUP(B310,Sheet1!A:A,Sheet1!C:C)</f>
        <v>15</v>
      </c>
      <c r="E310">
        <f>_xlfn.XLOOKUP(B310,Sheet1!A:A,Sheet1!D:D)</f>
        <v>3</v>
      </c>
      <c r="F310">
        <f>_xlfn.XLOOKUP(Sheet3!B310,Sheet1!A:A,Sheet1!E:E)</f>
        <v>2.5</v>
      </c>
      <c r="G310">
        <f>_xlfn.XLOOKUP(B310,Sheet1!A:A,Sheet1!F:F)</f>
        <v>14</v>
      </c>
      <c r="H310" cm="1">
        <f t="array" aca="1" ref="H310" ca="1">INDEX(Sheet1!$G$2:$G$3, RANDBETWEEN(1, ROWS(Sheet1!$G$2:$G$3)))</f>
        <v>0</v>
      </c>
    </row>
    <row r="311" spans="1:8" x14ac:dyDescent="0.3">
      <c r="A311" s="2" t="str" cm="1">
        <f t="array" aca="1" ref="A311" ca="1">INDEX(Sheet1!$A$2:$A$46, RANDBETWEEN(1,ROWS(Sheet1!$A$2:$A$46)))</f>
        <v>B008</v>
      </c>
      <c r="B311" s="2" t="s">
        <v>70</v>
      </c>
      <c r="C311" t="str">
        <f>_xlfn.XLOOKUP(B311, Sheet1!A:A, Sheet1!B:B)</f>
        <v>pumpkin pie</v>
      </c>
      <c r="D311">
        <f>_xlfn.XLOOKUP(B311,Sheet1!A:A,Sheet1!C:C)</f>
        <v>6</v>
      </c>
      <c r="E311">
        <f>_xlfn.XLOOKUP(B311,Sheet1!A:A,Sheet1!D:D)</f>
        <v>4</v>
      </c>
      <c r="F311">
        <f>_xlfn.XLOOKUP(Sheet3!B311,Sheet1!A:A,Sheet1!E:E)</f>
        <v>3</v>
      </c>
      <c r="G311">
        <f>_xlfn.XLOOKUP(B311,Sheet1!A:A,Sheet1!F:F)</f>
        <v>7</v>
      </c>
      <c r="H311" cm="1">
        <f t="array" aca="1" ref="H311" ca="1">INDEX(Sheet1!$G$2:$G$3, RANDBETWEEN(1, ROWS(Sheet1!$G$2:$G$3)))</f>
        <v>0</v>
      </c>
    </row>
    <row r="312" spans="1:8" x14ac:dyDescent="0.3">
      <c r="A312" s="2" t="str" cm="1">
        <f t="array" aca="1" ref="A312" ca="1">INDEX(Sheet1!$A$2:$A$46, RANDBETWEEN(1,ROWS(Sheet1!$A$2:$A$46)))</f>
        <v>B044</v>
      </c>
      <c r="B312" s="2" t="s">
        <v>69</v>
      </c>
      <c r="C312" t="str">
        <f>_xlfn.XLOOKUP(B312, Sheet1!A:A, Sheet1!B:B)</f>
        <v>coconut creme pie</v>
      </c>
      <c r="D312">
        <f>_xlfn.XLOOKUP(B312,Sheet1!A:A,Sheet1!C:C)</f>
        <v>6</v>
      </c>
      <c r="E312">
        <f>_xlfn.XLOOKUP(B312,Sheet1!A:A,Sheet1!D:D)</f>
        <v>4</v>
      </c>
      <c r="F312">
        <f>_xlfn.XLOOKUP(Sheet3!B312,Sheet1!A:A,Sheet1!E:E)</f>
        <v>3</v>
      </c>
      <c r="G312">
        <f>_xlfn.XLOOKUP(B312,Sheet1!A:A,Sheet1!F:F)</f>
        <v>7</v>
      </c>
      <c r="H312" t="str" cm="1">
        <f t="array" aca="1" ref="H312" ca="1">INDEX(Sheet1!$G$2:$G$3, RANDBETWEEN(1, ROWS(Sheet1!$G$2:$G$3)))</f>
        <v>No</v>
      </c>
    </row>
    <row r="313" spans="1:8" x14ac:dyDescent="0.3">
      <c r="A313" s="2" t="str" cm="1">
        <f t="array" aca="1" ref="A313" ca="1">INDEX(Sheet1!$A$2:$A$46, RANDBETWEEN(1,ROWS(Sheet1!$A$2:$A$46)))</f>
        <v>B032</v>
      </c>
      <c r="B313" s="2" t="s">
        <v>80</v>
      </c>
      <c r="C313" t="str">
        <f>_xlfn.XLOOKUP(B313, Sheet1!A:A, Sheet1!B:B)</f>
        <v>carrot square cake</v>
      </c>
      <c r="D313">
        <f>_xlfn.XLOOKUP(B313,Sheet1!A:A,Sheet1!C:C)</f>
        <v>8</v>
      </c>
      <c r="E313">
        <f>_xlfn.XLOOKUP(B313,Sheet1!A:A,Sheet1!D:D)</f>
        <v>2.5</v>
      </c>
      <c r="F313">
        <f>_xlfn.XLOOKUP(Sheet3!B313,Sheet1!A:A,Sheet1!E:E)</f>
        <v>2</v>
      </c>
      <c r="G313">
        <f>_xlfn.XLOOKUP(B313,Sheet1!A:A,Sheet1!F:F)</f>
        <v>5</v>
      </c>
      <c r="H313" cm="1">
        <f t="array" aca="1" ref="H313" ca="1">INDEX(Sheet1!$G$2:$G$3, RANDBETWEEN(1, ROWS(Sheet1!$G$2:$G$3)))</f>
        <v>0</v>
      </c>
    </row>
    <row r="314" spans="1:8" x14ac:dyDescent="0.3">
      <c r="A314" s="2" t="str" cm="1">
        <f t="array" aca="1" ref="A314" ca="1">INDEX(Sheet1!$A$2:$A$46, RANDBETWEEN(1,ROWS(Sheet1!$A$2:$A$46)))</f>
        <v>B002</v>
      </c>
      <c r="B314" s="2" t="s">
        <v>72</v>
      </c>
      <c r="C314" t="str">
        <f>_xlfn.XLOOKUP(B314, Sheet1!A:A, Sheet1!B:B)</f>
        <v>cherry pie</v>
      </c>
      <c r="D314">
        <f>_xlfn.XLOOKUP(B314,Sheet1!A:A,Sheet1!C:C)</f>
        <v>6</v>
      </c>
      <c r="E314">
        <f>_xlfn.XLOOKUP(B314,Sheet1!A:A,Sheet1!D:D)</f>
        <v>4</v>
      </c>
      <c r="F314">
        <f>_xlfn.XLOOKUP(Sheet3!B314,Sheet1!A:A,Sheet1!E:E)</f>
        <v>3</v>
      </c>
      <c r="G314">
        <f>_xlfn.XLOOKUP(B314,Sheet1!A:A,Sheet1!F:F)</f>
        <v>7</v>
      </c>
      <c r="H314" cm="1">
        <f t="array" aca="1" ref="H314" ca="1">INDEX(Sheet1!$G$2:$G$3, RANDBETWEEN(1, ROWS(Sheet1!$G$2:$G$3)))</f>
        <v>0</v>
      </c>
    </row>
    <row r="315" spans="1:8" x14ac:dyDescent="0.3">
      <c r="A315" s="2" t="str" cm="1">
        <f t="array" aca="1" ref="A315" ca="1">INDEX(Sheet1!$A$2:$A$46, RANDBETWEEN(1,ROWS(Sheet1!$A$2:$A$46)))</f>
        <v>B024</v>
      </c>
      <c r="B315" s="2" t="s">
        <v>55</v>
      </c>
      <c r="C315" t="str">
        <f>_xlfn.XLOOKUP(B315, Sheet1!A:A, Sheet1!B:B)</f>
        <v>cookies &amp; creme cake</v>
      </c>
      <c r="D315">
        <f>_xlfn.XLOOKUP(B315,Sheet1!A:A,Sheet1!C:C)</f>
        <v>4</v>
      </c>
      <c r="E315">
        <f>_xlfn.XLOOKUP(B315,Sheet1!A:A,Sheet1!D:D)</f>
        <v>8.5</v>
      </c>
      <c r="F315">
        <f>_xlfn.XLOOKUP(Sheet3!B315,Sheet1!A:A,Sheet1!E:E)</f>
        <v>6</v>
      </c>
      <c r="G315">
        <f>_xlfn.XLOOKUP(B315,Sheet1!A:A,Sheet1!F:F)</f>
        <v>7</v>
      </c>
      <c r="H315" cm="1">
        <f t="array" aca="1" ref="H315" ca="1">INDEX(Sheet1!$G$2:$G$3, RANDBETWEEN(1, ROWS(Sheet1!$G$2:$G$3)))</f>
        <v>0</v>
      </c>
    </row>
    <row r="316" spans="1:8" x14ac:dyDescent="0.3">
      <c r="A316" s="2" t="str" cm="1">
        <f t="array" aca="1" ref="A316" ca="1">INDEX(Sheet1!$A$2:$A$46, RANDBETWEEN(1,ROWS(Sheet1!$A$2:$A$46)))</f>
        <v>B034</v>
      </c>
      <c r="B316" s="2" t="s">
        <v>71</v>
      </c>
      <c r="C316" t="str">
        <f>_xlfn.XLOOKUP(B316, Sheet1!A:A, Sheet1!B:B)</f>
        <v>blueberry pie</v>
      </c>
      <c r="D316">
        <f>_xlfn.XLOOKUP(B316,Sheet1!A:A,Sheet1!C:C)</f>
        <v>6</v>
      </c>
      <c r="E316">
        <f>_xlfn.XLOOKUP(B316,Sheet1!A:A,Sheet1!D:D)</f>
        <v>4</v>
      </c>
      <c r="F316">
        <f>_xlfn.XLOOKUP(Sheet3!B316,Sheet1!A:A,Sheet1!E:E)</f>
        <v>3</v>
      </c>
      <c r="G316">
        <f>_xlfn.XLOOKUP(B316,Sheet1!A:A,Sheet1!F:F)</f>
        <v>7</v>
      </c>
      <c r="H316" cm="1">
        <f t="array" aca="1" ref="H316" ca="1">INDEX(Sheet1!$G$2:$G$3, RANDBETWEEN(1, ROWS(Sheet1!$G$2:$G$3)))</f>
        <v>0</v>
      </c>
    </row>
    <row r="317" spans="1:8" x14ac:dyDescent="0.3">
      <c r="A317" s="2" t="str" cm="1">
        <f t="array" aca="1" ref="A317" ca="1">INDEX(Sheet1!$A$2:$A$46, RANDBETWEEN(1,ROWS(Sheet1!$A$2:$A$46)))</f>
        <v>B003</v>
      </c>
      <c r="B317" s="2" t="s">
        <v>88</v>
      </c>
      <c r="C317" t="str">
        <f>_xlfn.XLOOKUP(B317, Sheet1!A:A, Sheet1!B:B)</f>
        <v>everything bagels</v>
      </c>
      <c r="D317">
        <f>_xlfn.XLOOKUP(B317,Sheet1!A:A,Sheet1!C:C)</f>
        <v>8</v>
      </c>
      <c r="E317">
        <f>_xlfn.XLOOKUP(B317,Sheet1!A:A,Sheet1!D:D)</f>
        <v>3.5</v>
      </c>
      <c r="F317">
        <f>_xlfn.XLOOKUP(Sheet3!B317,Sheet1!A:A,Sheet1!E:E)</f>
        <v>3</v>
      </c>
      <c r="G317">
        <f>_xlfn.XLOOKUP(B317,Sheet1!A:A,Sheet1!F:F)</f>
        <v>8</v>
      </c>
      <c r="H317" cm="1">
        <f t="array" aca="1" ref="H317" ca="1">INDEX(Sheet1!$G$2:$G$3, RANDBETWEEN(1, ROWS(Sheet1!$G$2:$G$3)))</f>
        <v>0</v>
      </c>
    </row>
    <row r="318" spans="1:8" x14ac:dyDescent="0.3">
      <c r="A318" s="2" t="str" cm="1">
        <f t="array" aca="1" ref="A318" ca="1">INDEX(Sheet1!$A$2:$A$46, RANDBETWEEN(1,ROWS(Sheet1!$A$2:$A$46)))</f>
        <v>B016</v>
      </c>
      <c r="B318" s="2" t="s">
        <v>68</v>
      </c>
      <c r="C318" t="str">
        <f>_xlfn.XLOOKUP(B318, Sheet1!A:A, Sheet1!B:B)</f>
        <v>oreja cookies</v>
      </c>
      <c r="D318">
        <f>_xlfn.XLOOKUP(B318,Sheet1!A:A,Sheet1!C:C)</f>
        <v>15</v>
      </c>
      <c r="E318">
        <f>_xlfn.XLOOKUP(B318,Sheet1!A:A,Sheet1!D:D)</f>
        <v>4</v>
      </c>
      <c r="F318">
        <f>_xlfn.XLOOKUP(Sheet3!B318,Sheet1!A:A,Sheet1!E:E)</f>
        <v>3</v>
      </c>
      <c r="G318">
        <f>_xlfn.XLOOKUP(B318,Sheet1!A:A,Sheet1!F:F)</f>
        <v>14</v>
      </c>
      <c r="H318" cm="1">
        <f t="array" aca="1" ref="H318" ca="1">INDEX(Sheet1!$G$2:$G$3, RANDBETWEEN(1, ROWS(Sheet1!$G$2:$G$3)))</f>
        <v>0</v>
      </c>
    </row>
    <row r="319" spans="1:8" x14ac:dyDescent="0.3">
      <c r="A319" s="2" t="str" cm="1">
        <f t="array" aca="1" ref="A319" ca="1">INDEX(Sheet1!$A$2:$A$46, RANDBETWEEN(1,ROWS(Sheet1!$A$2:$A$46)))</f>
        <v>B004</v>
      </c>
      <c r="B319" s="2" t="s">
        <v>10</v>
      </c>
      <c r="C319" t="str">
        <f>_xlfn.XLOOKUP(B319, Sheet1!A:A, Sheet1!B:B)</f>
        <v>croissant</v>
      </c>
      <c r="D319">
        <f>_xlfn.XLOOKUP(B319,Sheet1!A:A,Sheet1!C:C)</f>
        <v>10</v>
      </c>
      <c r="E319">
        <f>_xlfn.XLOOKUP(B319,Sheet1!A:A,Sheet1!D:D)</f>
        <v>5.5</v>
      </c>
      <c r="F319">
        <f>_xlfn.XLOOKUP(Sheet3!B319,Sheet1!A:A,Sheet1!E:E)</f>
        <v>4.5</v>
      </c>
      <c r="G319">
        <f>_xlfn.XLOOKUP(B319,Sheet1!A:A,Sheet1!F:F)</f>
        <v>7</v>
      </c>
      <c r="H319" t="str" cm="1">
        <f t="array" aca="1" ref="H319" ca="1">INDEX(Sheet1!$G$2:$G$3, RANDBETWEEN(1, ROWS(Sheet1!$G$2:$G$3)))</f>
        <v>No</v>
      </c>
    </row>
    <row r="320" spans="1:8" x14ac:dyDescent="0.3">
      <c r="A320" s="2" t="str" cm="1">
        <f t="array" aca="1" ref="A320" ca="1">INDEX(Sheet1!$A$2:$A$46, RANDBETWEEN(1,ROWS(Sheet1!$A$2:$A$46)))</f>
        <v>B021</v>
      </c>
      <c r="B320" s="2" t="s">
        <v>62</v>
      </c>
      <c r="C320" t="str">
        <f>_xlfn.XLOOKUP(B320, Sheet1!A:A, Sheet1!B:B)</f>
        <v>vanilla sliced loaf cake</v>
      </c>
      <c r="D320">
        <f>_xlfn.XLOOKUP(B320,Sheet1!A:A,Sheet1!C:C)</f>
        <v>10</v>
      </c>
      <c r="E320">
        <f>_xlfn.XLOOKUP(B320,Sheet1!A:A,Sheet1!D:D)</f>
        <v>4</v>
      </c>
      <c r="F320">
        <f>_xlfn.XLOOKUP(Sheet3!B320,Sheet1!A:A,Sheet1!E:E)</f>
        <v>3.5</v>
      </c>
      <c r="G320">
        <f>_xlfn.XLOOKUP(B320,Sheet1!A:A,Sheet1!F:F)</f>
        <v>10</v>
      </c>
      <c r="H320" cm="1">
        <f t="array" aca="1" ref="H320" ca="1">INDEX(Sheet1!$G$2:$G$3, RANDBETWEEN(1, ROWS(Sheet1!$G$2:$G$3)))</f>
        <v>0</v>
      </c>
    </row>
    <row r="321" spans="1:8" x14ac:dyDescent="0.3">
      <c r="A321" s="2" t="str" cm="1">
        <f t="array" aca="1" ref="A321" ca="1">INDEX(Sheet1!$A$2:$A$46, RANDBETWEEN(1,ROWS(Sheet1!$A$2:$A$46)))</f>
        <v>B014</v>
      </c>
      <c r="B321" s="2" t="s">
        <v>70</v>
      </c>
      <c r="C321" t="str">
        <f>_xlfn.XLOOKUP(B321, Sheet1!A:A, Sheet1!B:B)</f>
        <v>pumpkin pie</v>
      </c>
      <c r="D321">
        <f>_xlfn.XLOOKUP(B321,Sheet1!A:A,Sheet1!C:C)</f>
        <v>6</v>
      </c>
      <c r="E321">
        <f>_xlfn.XLOOKUP(B321,Sheet1!A:A,Sheet1!D:D)</f>
        <v>4</v>
      </c>
      <c r="F321">
        <f>_xlfn.XLOOKUP(Sheet3!B321,Sheet1!A:A,Sheet1!E:E)</f>
        <v>3</v>
      </c>
      <c r="G321">
        <f>_xlfn.XLOOKUP(B321,Sheet1!A:A,Sheet1!F:F)</f>
        <v>7</v>
      </c>
      <c r="H321" cm="1">
        <f t="array" aca="1" ref="H321" ca="1">INDEX(Sheet1!$G$2:$G$3, RANDBETWEEN(1, ROWS(Sheet1!$G$2:$G$3)))</f>
        <v>0</v>
      </c>
    </row>
    <row r="322" spans="1:8" x14ac:dyDescent="0.3">
      <c r="A322" s="2" t="str" cm="1">
        <f t="array" aca="1" ref="A322" ca="1">INDEX(Sheet1!$A$2:$A$46, RANDBETWEEN(1,ROWS(Sheet1!$A$2:$A$46)))</f>
        <v>B007</v>
      </c>
      <c r="B322" s="2" t="s">
        <v>65</v>
      </c>
      <c r="C322" t="str">
        <f>_xlfn.XLOOKUP(B322, Sheet1!A:A, Sheet1!B:B)</f>
        <v>sourdough bread</v>
      </c>
      <c r="D322">
        <f>_xlfn.XLOOKUP(B322,Sheet1!A:A,Sheet1!C:C)</f>
        <v>10</v>
      </c>
      <c r="E322">
        <f>_xlfn.XLOOKUP(B322,Sheet1!A:A,Sheet1!D:D)</f>
        <v>3.5</v>
      </c>
      <c r="F322">
        <f>_xlfn.XLOOKUP(Sheet3!B322,Sheet1!A:A,Sheet1!E:E)</f>
        <v>3</v>
      </c>
      <c r="G322">
        <f>_xlfn.XLOOKUP(B322,Sheet1!A:A,Sheet1!F:F)</f>
        <v>8</v>
      </c>
      <c r="H322" cm="1">
        <f t="array" aca="1" ref="H322" ca="1">INDEX(Sheet1!$G$2:$G$3, RANDBETWEEN(1, ROWS(Sheet1!$G$2:$G$3)))</f>
        <v>0</v>
      </c>
    </row>
    <row r="323" spans="1:8" x14ac:dyDescent="0.3">
      <c r="A323" s="2" t="str" cm="1">
        <f t="array" aca="1" ref="A323" ca="1">INDEX(Sheet1!$A$2:$A$46, RANDBETWEEN(1,ROWS(Sheet1!$A$2:$A$46)))</f>
        <v>B033</v>
      </c>
      <c r="B323" s="2" t="s">
        <v>81</v>
      </c>
      <c r="C323" t="str">
        <f>_xlfn.XLOOKUP(B323, Sheet1!A:A, Sheet1!B:B)</f>
        <v>red velvet square cake</v>
      </c>
      <c r="D323">
        <f>_xlfn.XLOOKUP(B323,Sheet1!A:A,Sheet1!C:C)</f>
        <v>8</v>
      </c>
      <c r="E323">
        <f>_xlfn.XLOOKUP(B323,Sheet1!A:A,Sheet1!D:D)</f>
        <v>2.5</v>
      </c>
      <c r="F323">
        <f>_xlfn.XLOOKUP(Sheet3!B323,Sheet1!A:A,Sheet1!E:E)</f>
        <v>2</v>
      </c>
      <c r="G323">
        <f>_xlfn.XLOOKUP(B323,Sheet1!A:A,Sheet1!F:F)</f>
        <v>5</v>
      </c>
      <c r="H323" t="str" cm="1">
        <f t="array" aca="1" ref="H323" ca="1">INDEX(Sheet1!$G$2:$G$3, RANDBETWEEN(1, ROWS(Sheet1!$G$2:$G$3)))</f>
        <v>No</v>
      </c>
    </row>
    <row r="324" spans="1:8" x14ac:dyDescent="0.3">
      <c r="A324" s="2" t="str" cm="1">
        <f t="array" aca="1" ref="A324" ca="1">INDEX(Sheet1!$A$2:$A$46, RANDBETWEEN(1,ROWS(Sheet1!$A$2:$A$46)))</f>
        <v>B030</v>
      </c>
      <c r="B324" s="2" t="s">
        <v>19</v>
      </c>
      <c r="C324" t="str">
        <f>_xlfn.XLOOKUP(B324, Sheet1!A:A, Sheet1!B:B)</f>
        <v>blueberry muffins</v>
      </c>
      <c r="D324">
        <f>_xlfn.XLOOKUP(B324,Sheet1!A:A,Sheet1!C:C)</f>
        <v>10</v>
      </c>
      <c r="E324">
        <f>_xlfn.XLOOKUP(B324,Sheet1!A:A,Sheet1!D:D)</f>
        <v>4.5</v>
      </c>
      <c r="F324">
        <f>_xlfn.XLOOKUP(Sheet3!B324,Sheet1!A:A,Sheet1!E:E)</f>
        <v>4</v>
      </c>
      <c r="G324">
        <f>_xlfn.XLOOKUP(B324,Sheet1!A:A,Sheet1!F:F)</f>
        <v>10</v>
      </c>
      <c r="H324" cm="1">
        <f t="array" aca="1" ref="H324" ca="1">INDEX(Sheet1!$G$2:$G$3, RANDBETWEEN(1, ROWS(Sheet1!$G$2:$G$3)))</f>
        <v>0</v>
      </c>
    </row>
    <row r="325" spans="1:8" x14ac:dyDescent="0.3">
      <c r="A325" s="2" t="str" cm="1">
        <f t="array" aca="1" ref="A325" ca="1">INDEX(Sheet1!$A$2:$A$46, RANDBETWEEN(1,ROWS(Sheet1!$A$2:$A$46)))</f>
        <v>B018</v>
      </c>
      <c r="B325" s="2" t="s">
        <v>62</v>
      </c>
      <c r="C325" t="str">
        <f>_xlfn.XLOOKUP(B325, Sheet1!A:A, Sheet1!B:B)</f>
        <v>vanilla sliced loaf cake</v>
      </c>
      <c r="D325">
        <f>_xlfn.XLOOKUP(B325,Sheet1!A:A,Sheet1!C:C)</f>
        <v>10</v>
      </c>
      <c r="E325">
        <f>_xlfn.XLOOKUP(B325,Sheet1!A:A,Sheet1!D:D)</f>
        <v>4</v>
      </c>
      <c r="F325">
        <f>_xlfn.XLOOKUP(Sheet3!B325,Sheet1!A:A,Sheet1!E:E)</f>
        <v>3.5</v>
      </c>
      <c r="G325">
        <f>_xlfn.XLOOKUP(B325,Sheet1!A:A,Sheet1!F:F)</f>
        <v>10</v>
      </c>
      <c r="H325" cm="1">
        <f t="array" aca="1" ref="H325" ca="1">INDEX(Sheet1!$G$2:$G$3, RANDBETWEEN(1, ROWS(Sheet1!$G$2:$G$3)))</f>
        <v>0</v>
      </c>
    </row>
    <row r="326" spans="1:8" x14ac:dyDescent="0.3">
      <c r="A326" s="2" t="str" cm="1">
        <f t="array" aca="1" ref="A326" ca="1">INDEX(Sheet1!$A$2:$A$46, RANDBETWEEN(1,ROWS(Sheet1!$A$2:$A$46)))</f>
        <v>B030</v>
      </c>
      <c r="B326" s="2" t="s">
        <v>67</v>
      </c>
      <c r="C326" t="str">
        <f>_xlfn.XLOOKUP(B326, Sheet1!A:A, Sheet1!B:B)</f>
        <v>seeded bread</v>
      </c>
      <c r="D326">
        <f>_xlfn.XLOOKUP(B326,Sheet1!A:A,Sheet1!C:C)</f>
        <v>8</v>
      </c>
      <c r="E326">
        <f>_xlfn.XLOOKUP(B326,Sheet1!A:A,Sheet1!D:D)</f>
        <v>3.5</v>
      </c>
      <c r="F326">
        <f>_xlfn.XLOOKUP(Sheet3!B326,Sheet1!A:A,Sheet1!E:E)</f>
        <v>3</v>
      </c>
      <c r="G326">
        <f>_xlfn.XLOOKUP(B326,Sheet1!A:A,Sheet1!F:F)</f>
        <v>8</v>
      </c>
      <c r="H326" t="str" cm="1">
        <f t="array" aca="1" ref="H326" ca="1">INDEX(Sheet1!$G$2:$G$3, RANDBETWEEN(1, ROWS(Sheet1!$G$2:$G$3)))</f>
        <v>No</v>
      </c>
    </row>
    <row r="327" spans="1:8" x14ac:dyDescent="0.3">
      <c r="A327" s="2" t="str" cm="1">
        <f t="array" aca="1" ref="A327" ca="1">INDEX(Sheet1!$A$2:$A$46, RANDBETWEEN(1,ROWS(Sheet1!$A$2:$A$46)))</f>
        <v>B038</v>
      </c>
      <c r="B327" s="2" t="s">
        <v>34</v>
      </c>
      <c r="C327" t="str">
        <f>_xlfn.XLOOKUP(B327, Sheet1!A:A, Sheet1!B:B)</f>
        <v>almond croissant</v>
      </c>
      <c r="D327">
        <f>_xlfn.XLOOKUP(B327,Sheet1!A:A,Sheet1!C:C)</f>
        <v>6</v>
      </c>
      <c r="E327">
        <f>_xlfn.XLOOKUP(B327,Sheet1!A:A,Sheet1!D:D)</f>
        <v>3.5</v>
      </c>
      <c r="F327">
        <f>_xlfn.XLOOKUP(Sheet3!B327,Sheet1!A:A,Sheet1!E:E)</f>
        <v>3</v>
      </c>
      <c r="G327">
        <f>_xlfn.XLOOKUP(B327,Sheet1!A:A,Sheet1!F:F)</f>
        <v>10</v>
      </c>
      <c r="H327" t="str" cm="1">
        <f t="array" aca="1" ref="H327" ca="1">INDEX(Sheet1!$G$2:$G$3, RANDBETWEEN(1, ROWS(Sheet1!$G$2:$G$3)))</f>
        <v>No</v>
      </c>
    </row>
    <row r="328" spans="1:8" x14ac:dyDescent="0.3">
      <c r="A328" s="2" t="str" cm="1">
        <f t="array" aca="1" ref="A328" ca="1">INDEX(Sheet1!$A$2:$A$46, RANDBETWEEN(1,ROWS(Sheet1!$A$2:$A$46)))</f>
        <v>B015</v>
      </c>
      <c r="B328" s="2" t="s">
        <v>80</v>
      </c>
      <c r="C328" t="str">
        <f>_xlfn.XLOOKUP(B328, Sheet1!A:A, Sheet1!B:B)</f>
        <v>carrot square cake</v>
      </c>
      <c r="D328">
        <f>_xlfn.XLOOKUP(B328,Sheet1!A:A,Sheet1!C:C)</f>
        <v>8</v>
      </c>
      <c r="E328">
        <f>_xlfn.XLOOKUP(B328,Sheet1!A:A,Sheet1!D:D)</f>
        <v>2.5</v>
      </c>
      <c r="F328">
        <f>_xlfn.XLOOKUP(Sheet3!B328,Sheet1!A:A,Sheet1!E:E)</f>
        <v>2</v>
      </c>
      <c r="G328">
        <f>_xlfn.XLOOKUP(B328,Sheet1!A:A,Sheet1!F:F)</f>
        <v>5</v>
      </c>
      <c r="H328" t="str" cm="1">
        <f t="array" aca="1" ref="H328" ca="1">INDEX(Sheet1!$G$2:$G$3, RANDBETWEEN(1, ROWS(Sheet1!$G$2:$G$3)))</f>
        <v>No</v>
      </c>
    </row>
    <row r="329" spans="1:8" x14ac:dyDescent="0.3">
      <c r="A329" s="2" t="str" cm="1">
        <f t="array" aca="1" ref="A329" ca="1">INDEX(Sheet1!$A$2:$A$46, RANDBETWEEN(1,ROWS(Sheet1!$A$2:$A$46)))</f>
        <v>B041</v>
      </c>
      <c r="B329" s="2" t="s">
        <v>59</v>
      </c>
      <c r="C329" t="str">
        <f>_xlfn.XLOOKUP(B329, Sheet1!A:A, Sheet1!B:B)</f>
        <v>iced lemon sliced loaf cake</v>
      </c>
      <c r="D329">
        <f>_xlfn.XLOOKUP(B329,Sheet1!A:A,Sheet1!C:C)</f>
        <v>10</v>
      </c>
      <c r="E329">
        <f>_xlfn.XLOOKUP(B329,Sheet1!A:A,Sheet1!D:D)</f>
        <v>4</v>
      </c>
      <c r="F329">
        <f>_xlfn.XLOOKUP(Sheet3!B329,Sheet1!A:A,Sheet1!E:E)</f>
        <v>3.5</v>
      </c>
      <c r="G329">
        <f>_xlfn.XLOOKUP(B329,Sheet1!A:A,Sheet1!F:F)</f>
        <v>10</v>
      </c>
      <c r="H329" t="str" cm="1">
        <f t="array" aca="1" ref="H329" ca="1">INDEX(Sheet1!$G$2:$G$3, RANDBETWEEN(1, ROWS(Sheet1!$G$2:$G$3)))</f>
        <v>No</v>
      </c>
    </row>
    <row r="330" spans="1:8" x14ac:dyDescent="0.3">
      <c r="A330" s="2" t="str" cm="1">
        <f t="array" aca="1" ref="A330" ca="1">INDEX(Sheet1!$A$2:$A$46, RANDBETWEEN(1,ROWS(Sheet1!$A$2:$A$46)))</f>
        <v>B004</v>
      </c>
      <c r="B330" s="2" t="s">
        <v>21</v>
      </c>
      <c r="C330" t="str">
        <f>_xlfn.XLOOKUP(B330, Sheet1!A:A, Sheet1!B:B)</f>
        <v>butter cake</v>
      </c>
      <c r="D330">
        <f>_xlfn.XLOOKUP(B330,Sheet1!A:A,Sheet1!C:C)</f>
        <v>8</v>
      </c>
      <c r="E330">
        <f>_xlfn.XLOOKUP(B330,Sheet1!A:A,Sheet1!D:D)</f>
        <v>4</v>
      </c>
      <c r="F330">
        <f>_xlfn.XLOOKUP(Sheet3!B330,Sheet1!A:A,Sheet1!E:E)</f>
        <v>3</v>
      </c>
      <c r="G330">
        <f>_xlfn.XLOOKUP(B330,Sheet1!A:A,Sheet1!F:F)</f>
        <v>14</v>
      </c>
      <c r="H330" t="str" cm="1">
        <f t="array" aca="1" ref="H330" ca="1">INDEX(Sheet1!$G$2:$G$3, RANDBETWEEN(1, ROWS(Sheet1!$G$2:$G$3)))</f>
        <v>No</v>
      </c>
    </row>
    <row r="331" spans="1:8" x14ac:dyDescent="0.3">
      <c r="A331" s="2" t="str" cm="1">
        <f t="array" aca="1" ref="A331" ca="1">INDEX(Sheet1!$A$2:$A$46, RANDBETWEEN(1,ROWS(Sheet1!$A$2:$A$46)))</f>
        <v>B014</v>
      </c>
      <c r="B331" s="2" t="s">
        <v>41</v>
      </c>
      <c r="C331" t="str">
        <f>_xlfn.XLOOKUP(B331, Sheet1!A:A, Sheet1!B:B)</f>
        <v>frosted blue cookies</v>
      </c>
      <c r="D331">
        <f>_xlfn.XLOOKUP(B331,Sheet1!A:A,Sheet1!C:C)</f>
        <v>15</v>
      </c>
      <c r="E331">
        <f>_xlfn.XLOOKUP(B331,Sheet1!A:A,Sheet1!D:D)</f>
        <v>3</v>
      </c>
      <c r="F331">
        <f>_xlfn.XLOOKUP(Sheet3!B331,Sheet1!A:A,Sheet1!E:E)</f>
        <v>2.5</v>
      </c>
      <c r="G331">
        <f>_xlfn.XLOOKUP(B331,Sheet1!A:A,Sheet1!F:F)</f>
        <v>14</v>
      </c>
      <c r="H331" cm="1">
        <f t="array" aca="1" ref="H331" ca="1">INDEX(Sheet1!$G$2:$G$3, RANDBETWEEN(1, ROWS(Sheet1!$G$2:$G$3)))</f>
        <v>0</v>
      </c>
    </row>
    <row r="332" spans="1:8" x14ac:dyDescent="0.3">
      <c r="A332" s="2" t="str" cm="1">
        <f t="array" aca="1" ref="A332" ca="1">INDEX(Sheet1!$A$2:$A$46, RANDBETWEEN(1,ROWS(Sheet1!$A$2:$A$46)))</f>
        <v>B015</v>
      </c>
      <c r="B332" s="2" t="s">
        <v>22</v>
      </c>
      <c r="C332" t="str">
        <f>_xlfn.XLOOKUP(B332, Sheet1!A:A, Sheet1!B:B)</f>
        <v>chocolate chip cookies</v>
      </c>
      <c r="D332">
        <f>_xlfn.XLOOKUP(B332,Sheet1!A:A,Sheet1!C:C)</f>
        <v>12</v>
      </c>
      <c r="E332">
        <f>_xlfn.XLOOKUP(B332,Sheet1!A:A,Sheet1!D:D)</f>
        <v>3.5</v>
      </c>
      <c r="F332">
        <f>_xlfn.XLOOKUP(Sheet3!B332,Sheet1!A:A,Sheet1!E:E)</f>
        <v>3</v>
      </c>
      <c r="G332">
        <f>_xlfn.XLOOKUP(B332,Sheet1!A:A,Sheet1!F:F)</f>
        <v>14</v>
      </c>
      <c r="H332" t="str" cm="1">
        <f t="array" aca="1" ref="H332" ca="1">INDEX(Sheet1!$G$2:$G$3, RANDBETWEEN(1, ROWS(Sheet1!$G$2:$G$3)))</f>
        <v>No</v>
      </c>
    </row>
    <row r="333" spans="1:8" x14ac:dyDescent="0.3">
      <c r="A333" s="2" t="str" cm="1">
        <f t="array" aca="1" ref="A333" ca="1">INDEX(Sheet1!$A$2:$A$46, RANDBETWEEN(1,ROWS(Sheet1!$A$2:$A$46)))</f>
        <v>B015</v>
      </c>
      <c r="B333" s="2" t="s">
        <v>82</v>
      </c>
      <c r="C333" t="str">
        <f>_xlfn.XLOOKUP(B333, Sheet1!A:A, Sheet1!B:B)</f>
        <v>white square cake</v>
      </c>
      <c r="D333">
        <f>_xlfn.XLOOKUP(B333,Sheet1!A:A,Sheet1!C:C)</f>
        <v>8</v>
      </c>
      <c r="E333">
        <f>_xlfn.XLOOKUP(B333,Sheet1!A:A,Sheet1!D:D)</f>
        <v>2.5</v>
      </c>
      <c r="F333">
        <f>_xlfn.XLOOKUP(Sheet3!B333,Sheet1!A:A,Sheet1!E:E)</f>
        <v>2</v>
      </c>
      <c r="G333">
        <f>_xlfn.XLOOKUP(B333,Sheet1!A:A,Sheet1!F:F)</f>
        <v>5</v>
      </c>
      <c r="H333" t="str" cm="1">
        <f t="array" aca="1" ref="H333" ca="1">INDEX(Sheet1!$G$2:$G$3, RANDBETWEEN(1, ROWS(Sheet1!$G$2:$G$3)))</f>
        <v>No</v>
      </c>
    </row>
    <row r="334" spans="1:8" x14ac:dyDescent="0.3">
      <c r="A334" s="2" t="str" cm="1">
        <f t="array" aca="1" ref="A334" ca="1">INDEX(Sheet1!$A$2:$A$46, RANDBETWEEN(1,ROWS(Sheet1!$A$2:$A$46)))</f>
        <v>B029</v>
      </c>
      <c r="B334" s="2" t="s">
        <v>88</v>
      </c>
      <c r="C334" t="str">
        <f>_xlfn.XLOOKUP(B334, Sheet1!A:A, Sheet1!B:B)</f>
        <v>everything bagels</v>
      </c>
      <c r="D334">
        <f>_xlfn.XLOOKUP(B334,Sheet1!A:A,Sheet1!C:C)</f>
        <v>8</v>
      </c>
      <c r="E334">
        <f>_xlfn.XLOOKUP(B334,Sheet1!A:A,Sheet1!D:D)</f>
        <v>3.5</v>
      </c>
      <c r="F334">
        <f>_xlfn.XLOOKUP(Sheet3!B334,Sheet1!A:A,Sheet1!E:E)</f>
        <v>3</v>
      </c>
      <c r="G334">
        <f>_xlfn.XLOOKUP(B334,Sheet1!A:A,Sheet1!F:F)</f>
        <v>8</v>
      </c>
      <c r="H334" cm="1">
        <f t="array" aca="1" ref="H334" ca="1">INDEX(Sheet1!$G$2:$G$3, RANDBETWEEN(1, ROWS(Sheet1!$G$2:$G$3)))</f>
        <v>0</v>
      </c>
    </row>
    <row r="335" spans="1:8" x14ac:dyDescent="0.3">
      <c r="A335" s="2" t="str" cm="1">
        <f t="array" aca="1" ref="A335" ca="1">INDEX(Sheet1!$A$2:$A$46, RANDBETWEEN(1,ROWS(Sheet1!$A$2:$A$46)))</f>
        <v>B013</v>
      </c>
      <c r="B335" s="2" t="s">
        <v>78</v>
      </c>
      <c r="C335" t="str">
        <f>_xlfn.XLOOKUP(B335, Sheet1!A:A, Sheet1!B:B)</f>
        <v>caramel pie</v>
      </c>
      <c r="D335">
        <f>_xlfn.XLOOKUP(B335,Sheet1!A:A,Sheet1!C:C)</f>
        <v>6</v>
      </c>
      <c r="E335">
        <f>_xlfn.XLOOKUP(B335,Sheet1!A:A,Sheet1!D:D)</f>
        <v>4</v>
      </c>
      <c r="F335">
        <f>_xlfn.XLOOKUP(Sheet3!B335,Sheet1!A:A,Sheet1!E:E)</f>
        <v>3</v>
      </c>
      <c r="G335">
        <f>_xlfn.XLOOKUP(B335,Sheet1!A:A,Sheet1!F:F)</f>
        <v>7</v>
      </c>
      <c r="H335" cm="1">
        <f t="array" aca="1" ref="H335" ca="1">INDEX(Sheet1!$G$2:$G$3, RANDBETWEEN(1, ROWS(Sheet1!$G$2:$G$3)))</f>
        <v>0</v>
      </c>
    </row>
    <row r="336" spans="1:8" x14ac:dyDescent="0.3">
      <c r="A336" s="2" t="str" cm="1">
        <f t="array" aca="1" ref="A336" ca="1">INDEX(Sheet1!$A$2:$A$46, RANDBETWEEN(1,ROWS(Sheet1!$A$2:$A$46)))</f>
        <v>B044</v>
      </c>
      <c r="B336" s="2" t="s">
        <v>22</v>
      </c>
      <c r="C336" t="str">
        <f>_xlfn.XLOOKUP(B336, Sheet1!A:A, Sheet1!B:B)</f>
        <v>chocolate chip cookies</v>
      </c>
      <c r="D336">
        <f>_xlfn.XLOOKUP(B336,Sheet1!A:A,Sheet1!C:C)</f>
        <v>12</v>
      </c>
      <c r="E336">
        <f>_xlfn.XLOOKUP(B336,Sheet1!A:A,Sheet1!D:D)</f>
        <v>3.5</v>
      </c>
      <c r="F336">
        <f>_xlfn.XLOOKUP(Sheet3!B336,Sheet1!A:A,Sheet1!E:E)</f>
        <v>3</v>
      </c>
      <c r="G336">
        <f>_xlfn.XLOOKUP(B336,Sheet1!A:A,Sheet1!F:F)</f>
        <v>14</v>
      </c>
      <c r="H336" t="str" cm="1">
        <f t="array" aca="1" ref="H336" ca="1">INDEX(Sheet1!$G$2:$G$3, RANDBETWEEN(1, ROWS(Sheet1!$G$2:$G$3)))</f>
        <v>No</v>
      </c>
    </row>
    <row r="337" spans="1:8" x14ac:dyDescent="0.3">
      <c r="A337" s="2" t="str" cm="1">
        <f t="array" aca="1" ref="A337" ca="1">INDEX(Sheet1!$A$2:$A$46, RANDBETWEEN(1,ROWS(Sheet1!$A$2:$A$46)))</f>
        <v>B015</v>
      </c>
      <c r="B337" s="2" t="s">
        <v>61</v>
      </c>
      <c r="C337" t="str">
        <f>_xlfn.XLOOKUP(B337, Sheet1!A:A, Sheet1!B:B)</f>
        <v>marble sliced loaf cake</v>
      </c>
      <c r="D337">
        <f>_xlfn.XLOOKUP(B337,Sheet1!A:A,Sheet1!C:C)</f>
        <v>10</v>
      </c>
      <c r="E337">
        <f>_xlfn.XLOOKUP(B337,Sheet1!A:A,Sheet1!D:D)</f>
        <v>4</v>
      </c>
      <c r="F337">
        <f>_xlfn.XLOOKUP(Sheet3!B337,Sheet1!A:A,Sheet1!E:E)</f>
        <v>3.5</v>
      </c>
      <c r="G337">
        <f>_xlfn.XLOOKUP(B337,Sheet1!A:A,Sheet1!F:F)</f>
        <v>10</v>
      </c>
      <c r="H337" cm="1">
        <f t="array" aca="1" ref="H337" ca="1">INDEX(Sheet1!$G$2:$G$3, RANDBETWEEN(1, ROWS(Sheet1!$G$2:$G$3)))</f>
        <v>0</v>
      </c>
    </row>
    <row r="338" spans="1:8" x14ac:dyDescent="0.3">
      <c r="A338" s="2" t="str" cm="1">
        <f t="array" aca="1" ref="A338" ca="1">INDEX(Sheet1!$A$2:$A$46, RANDBETWEEN(1,ROWS(Sheet1!$A$2:$A$46)))</f>
        <v>B010</v>
      </c>
      <c r="B338" s="2" t="s">
        <v>90</v>
      </c>
      <c r="C338" t="str">
        <f>_xlfn.XLOOKUP(B338, Sheet1!A:A, Sheet1!B:B)</f>
        <v>mini brownies</v>
      </c>
      <c r="D338">
        <f>_xlfn.XLOOKUP(B338,Sheet1!A:A,Sheet1!C:C)</f>
        <v>12</v>
      </c>
      <c r="E338">
        <f>_xlfn.XLOOKUP(B338,Sheet1!A:A,Sheet1!D:D)</f>
        <v>4.5</v>
      </c>
      <c r="F338">
        <f>_xlfn.XLOOKUP(Sheet3!B338,Sheet1!A:A,Sheet1!E:E)</f>
        <v>4</v>
      </c>
      <c r="G338">
        <f>_xlfn.XLOOKUP(B338,Sheet1!A:A,Sheet1!F:F)</f>
        <v>14</v>
      </c>
      <c r="H338" cm="1">
        <f t="array" aca="1" ref="H338" ca="1">INDEX(Sheet1!$G$2:$G$3, RANDBETWEEN(1, ROWS(Sheet1!$G$2:$G$3)))</f>
        <v>0</v>
      </c>
    </row>
    <row r="339" spans="1:8" x14ac:dyDescent="0.3">
      <c r="A339" s="2" t="str" cm="1">
        <f t="array" aca="1" ref="A339" ca="1">INDEX(Sheet1!$A$2:$A$46, RANDBETWEEN(1,ROWS(Sheet1!$A$2:$A$46)))</f>
        <v>B043</v>
      </c>
      <c r="B339" s="2" t="s">
        <v>89</v>
      </c>
      <c r="C339" t="str">
        <f>_xlfn.XLOOKUP(B339, Sheet1!A:A, Sheet1!B:B)</f>
        <v>blueberry bagels</v>
      </c>
      <c r="D339">
        <f>_xlfn.XLOOKUP(B339,Sheet1!A:A,Sheet1!C:C)</f>
        <v>8</v>
      </c>
      <c r="E339">
        <f>_xlfn.XLOOKUP(B339,Sheet1!A:A,Sheet1!D:D)</f>
        <v>3.5</v>
      </c>
      <c r="F339">
        <f>_xlfn.XLOOKUP(Sheet3!B339,Sheet1!A:A,Sheet1!E:E)</f>
        <v>3</v>
      </c>
      <c r="G339">
        <f>_xlfn.XLOOKUP(B339,Sheet1!A:A,Sheet1!F:F)</f>
        <v>8</v>
      </c>
      <c r="H339" cm="1">
        <f t="array" aca="1" ref="H339" ca="1">INDEX(Sheet1!$G$2:$G$3, RANDBETWEEN(1, ROWS(Sheet1!$G$2:$G$3)))</f>
        <v>0</v>
      </c>
    </row>
    <row r="340" spans="1:8" x14ac:dyDescent="0.3">
      <c r="A340" s="2" t="str" cm="1">
        <f t="array" aca="1" ref="A340" ca="1">INDEX(Sheet1!$A$2:$A$46, RANDBETWEEN(1,ROWS(Sheet1!$A$2:$A$46)))</f>
        <v>B017</v>
      </c>
      <c r="B340" s="2" t="s">
        <v>35</v>
      </c>
      <c r="C340" t="str">
        <f>_xlfn.XLOOKUP(B340, Sheet1!A:A, Sheet1!B:B)</f>
        <v>orange pound</v>
      </c>
      <c r="D340">
        <f>_xlfn.XLOOKUP(B340,Sheet1!A:A,Sheet1!C:C)</f>
        <v>8</v>
      </c>
      <c r="E340">
        <f>_xlfn.XLOOKUP(B340,Sheet1!A:A,Sheet1!D:D)</f>
        <v>3.5</v>
      </c>
      <c r="F340">
        <f>_xlfn.XLOOKUP(Sheet3!B340,Sheet1!A:A,Sheet1!E:E)</f>
        <v>3</v>
      </c>
      <c r="G340">
        <f>_xlfn.XLOOKUP(B340,Sheet1!A:A,Sheet1!F:F)</f>
        <v>14</v>
      </c>
      <c r="H340" cm="1">
        <f t="array" aca="1" ref="H340" ca="1">INDEX(Sheet1!$G$2:$G$3, RANDBETWEEN(1, ROWS(Sheet1!$G$2:$G$3)))</f>
        <v>0</v>
      </c>
    </row>
    <row r="341" spans="1:8" x14ac:dyDescent="0.3">
      <c r="A341" s="2" t="str" cm="1">
        <f t="array" aca="1" ref="A341" ca="1">INDEX(Sheet1!$A$2:$A$46, RANDBETWEEN(1,ROWS(Sheet1!$A$2:$A$46)))</f>
        <v>B022</v>
      </c>
      <c r="B341" s="2" t="s">
        <v>24</v>
      </c>
      <c r="C341" t="str">
        <f>_xlfn.XLOOKUP(B341, Sheet1!A:A, Sheet1!B:B)</f>
        <v>tiramisu</v>
      </c>
      <c r="D341">
        <f>_xlfn.XLOOKUP(B341,Sheet1!A:A,Sheet1!C:C)</f>
        <v>8</v>
      </c>
      <c r="E341">
        <f>_xlfn.XLOOKUP(B341,Sheet1!A:A,Sheet1!D:D)</f>
        <v>7.5</v>
      </c>
      <c r="F341">
        <f>_xlfn.XLOOKUP(Sheet3!B341,Sheet1!A:A,Sheet1!E:E)</f>
        <v>5.5</v>
      </c>
      <c r="G341">
        <f>_xlfn.XLOOKUP(B341,Sheet1!A:A,Sheet1!F:F)</f>
        <v>7</v>
      </c>
      <c r="H341" t="str" cm="1">
        <f t="array" aca="1" ref="H341" ca="1">INDEX(Sheet1!$G$2:$G$3, RANDBETWEEN(1, ROWS(Sheet1!$G$2:$G$3)))</f>
        <v>No</v>
      </c>
    </row>
    <row r="342" spans="1:8" x14ac:dyDescent="0.3">
      <c r="A342" s="2" t="str" cm="1">
        <f t="array" aca="1" ref="A342" ca="1">INDEX(Sheet1!$A$2:$A$46, RANDBETWEEN(1,ROWS(Sheet1!$A$2:$A$46)))</f>
        <v>B040</v>
      </c>
      <c r="B342" s="2" t="s">
        <v>41</v>
      </c>
      <c r="C342" t="str">
        <f>_xlfn.XLOOKUP(B342, Sheet1!A:A, Sheet1!B:B)</f>
        <v>frosted blue cookies</v>
      </c>
      <c r="D342">
        <f>_xlfn.XLOOKUP(B342,Sheet1!A:A,Sheet1!C:C)</f>
        <v>15</v>
      </c>
      <c r="E342">
        <f>_xlfn.XLOOKUP(B342,Sheet1!A:A,Sheet1!D:D)</f>
        <v>3</v>
      </c>
      <c r="F342">
        <f>_xlfn.XLOOKUP(Sheet3!B342,Sheet1!A:A,Sheet1!E:E)</f>
        <v>2.5</v>
      </c>
      <c r="G342">
        <f>_xlfn.XLOOKUP(B342,Sheet1!A:A,Sheet1!F:F)</f>
        <v>14</v>
      </c>
      <c r="H342" cm="1">
        <f t="array" aca="1" ref="H342" ca="1">INDEX(Sheet1!$G$2:$G$3, RANDBETWEEN(1, ROWS(Sheet1!$G$2:$G$3)))</f>
        <v>0</v>
      </c>
    </row>
    <row r="343" spans="1:8" x14ac:dyDescent="0.3">
      <c r="A343" s="2" t="str" cm="1">
        <f t="array" aca="1" ref="A343" ca="1">INDEX(Sheet1!$A$2:$A$46, RANDBETWEEN(1,ROWS(Sheet1!$A$2:$A$46)))</f>
        <v>B026</v>
      </c>
      <c r="B343" s="2" t="s">
        <v>70</v>
      </c>
      <c r="C343" t="str">
        <f>_xlfn.XLOOKUP(B343, Sheet1!A:A, Sheet1!B:B)</f>
        <v>pumpkin pie</v>
      </c>
      <c r="D343">
        <f>_xlfn.XLOOKUP(B343,Sheet1!A:A,Sheet1!C:C)</f>
        <v>6</v>
      </c>
      <c r="E343">
        <f>_xlfn.XLOOKUP(B343,Sheet1!A:A,Sheet1!D:D)</f>
        <v>4</v>
      </c>
      <c r="F343">
        <f>_xlfn.XLOOKUP(Sheet3!B343,Sheet1!A:A,Sheet1!E:E)</f>
        <v>3</v>
      </c>
      <c r="G343">
        <f>_xlfn.XLOOKUP(B343,Sheet1!A:A,Sheet1!F:F)</f>
        <v>7</v>
      </c>
      <c r="H343" t="str" cm="1">
        <f t="array" aca="1" ref="H343" ca="1">INDEX(Sheet1!$G$2:$G$3, RANDBETWEEN(1, ROWS(Sheet1!$G$2:$G$3)))</f>
        <v>No</v>
      </c>
    </row>
    <row r="344" spans="1:8" x14ac:dyDescent="0.3">
      <c r="A344" s="2" t="str" cm="1">
        <f t="array" aca="1" ref="A344" ca="1">INDEX(Sheet1!$A$2:$A$46, RANDBETWEEN(1,ROWS(Sheet1!$A$2:$A$46)))</f>
        <v>B027</v>
      </c>
      <c r="B344" s="2" t="s">
        <v>81</v>
      </c>
      <c r="C344" t="str">
        <f>_xlfn.XLOOKUP(B344, Sheet1!A:A, Sheet1!B:B)</f>
        <v>red velvet square cake</v>
      </c>
      <c r="D344">
        <f>_xlfn.XLOOKUP(B344,Sheet1!A:A,Sheet1!C:C)</f>
        <v>8</v>
      </c>
      <c r="E344">
        <f>_xlfn.XLOOKUP(B344,Sheet1!A:A,Sheet1!D:D)</f>
        <v>2.5</v>
      </c>
      <c r="F344">
        <f>_xlfn.XLOOKUP(Sheet3!B344,Sheet1!A:A,Sheet1!E:E)</f>
        <v>2</v>
      </c>
      <c r="G344">
        <f>_xlfn.XLOOKUP(B344,Sheet1!A:A,Sheet1!F:F)</f>
        <v>5</v>
      </c>
      <c r="H344" t="str" cm="1">
        <f t="array" aca="1" ref="H344" ca="1">INDEX(Sheet1!$G$2:$G$3, RANDBETWEEN(1, ROWS(Sheet1!$G$2:$G$3)))</f>
        <v>No</v>
      </c>
    </row>
    <row r="345" spans="1:8" x14ac:dyDescent="0.3">
      <c r="A345" s="2" t="str" cm="1">
        <f t="array" aca="1" ref="A345" ca="1">INDEX(Sheet1!$A$2:$A$46, RANDBETWEEN(1,ROWS(Sheet1!$A$2:$A$46)))</f>
        <v>B004</v>
      </c>
      <c r="B345" s="2" t="s">
        <v>63</v>
      </c>
      <c r="C345" t="str">
        <f>_xlfn.XLOOKUP(B345, Sheet1!A:A, Sheet1!B:B)</f>
        <v>chocolate sliced loaf cake</v>
      </c>
      <c r="D345">
        <f>_xlfn.XLOOKUP(B345,Sheet1!A:A,Sheet1!C:C)</f>
        <v>10</v>
      </c>
      <c r="E345">
        <f>_xlfn.XLOOKUP(B345,Sheet1!A:A,Sheet1!D:D)</f>
        <v>4</v>
      </c>
      <c r="F345">
        <f>_xlfn.XLOOKUP(Sheet3!B345,Sheet1!A:A,Sheet1!E:E)</f>
        <v>3.5</v>
      </c>
      <c r="G345">
        <f>_xlfn.XLOOKUP(B345,Sheet1!A:A,Sheet1!F:F)</f>
        <v>10</v>
      </c>
      <c r="H345" cm="1">
        <f t="array" aca="1" ref="H345" ca="1">INDEX(Sheet1!$G$2:$G$3, RANDBETWEEN(1, ROWS(Sheet1!$G$2:$G$3)))</f>
        <v>0</v>
      </c>
    </row>
    <row r="346" spans="1:8" x14ac:dyDescent="0.3">
      <c r="A346" s="2" t="str" cm="1">
        <f t="array" aca="1" ref="A346" ca="1">INDEX(Sheet1!$A$2:$A$46, RANDBETWEEN(1,ROWS(Sheet1!$A$2:$A$46)))</f>
        <v>B045</v>
      </c>
      <c r="B346" s="2" t="s">
        <v>82</v>
      </c>
      <c r="C346" t="str">
        <f>_xlfn.XLOOKUP(B346, Sheet1!A:A, Sheet1!B:B)</f>
        <v>white square cake</v>
      </c>
      <c r="D346">
        <f>_xlfn.XLOOKUP(B346,Sheet1!A:A,Sheet1!C:C)</f>
        <v>8</v>
      </c>
      <c r="E346">
        <f>_xlfn.XLOOKUP(B346,Sheet1!A:A,Sheet1!D:D)</f>
        <v>2.5</v>
      </c>
      <c r="F346">
        <f>_xlfn.XLOOKUP(Sheet3!B346,Sheet1!A:A,Sheet1!E:E)</f>
        <v>2</v>
      </c>
      <c r="G346">
        <f>_xlfn.XLOOKUP(B346,Sheet1!A:A,Sheet1!F:F)</f>
        <v>5</v>
      </c>
      <c r="H346" t="str" cm="1">
        <f t="array" aca="1" ref="H346" ca="1">INDEX(Sheet1!$G$2:$G$3, RANDBETWEEN(1, ROWS(Sheet1!$G$2:$G$3)))</f>
        <v>No</v>
      </c>
    </row>
    <row r="347" spans="1:8" x14ac:dyDescent="0.3">
      <c r="A347" s="2" t="str" cm="1">
        <f t="array" aca="1" ref="A347" ca="1">INDEX(Sheet1!$A$2:$A$46, RANDBETWEEN(1,ROWS(Sheet1!$A$2:$A$46)))</f>
        <v>B012</v>
      </c>
      <c r="B347" s="2" t="s">
        <v>92</v>
      </c>
      <c r="C347" t="str">
        <f>_xlfn.XLOOKUP(B347, Sheet1!A:A, Sheet1!B:B)</f>
        <v>square brownies</v>
      </c>
      <c r="D347">
        <f>_xlfn.XLOOKUP(B347,Sheet1!A:A,Sheet1!C:C)</f>
        <v>6</v>
      </c>
      <c r="E347">
        <f>_xlfn.XLOOKUP(B347,Sheet1!A:A,Sheet1!D:D)</f>
        <v>4.5</v>
      </c>
      <c r="F347">
        <f>_xlfn.XLOOKUP(Sheet3!B347,Sheet1!A:A,Sheet1!E:E)</f>
        <v>4</v>
      </c>
      <c r="G347">
        <f>_xlfn.XLOOKUP(B347,Sheet1!A:A,Sheet1!F:F)</f>
        <v>14</v>
      </c>
      <c r="H347" cm="1">
        <f t="array" aca="1" ref="H347" ca="1">INDEX(Sheet1!$G$2:$G$3, RANDBETWEEN(1, ROWS(Sheet1!$G$2:$G$3)))</f>
        <v>0</v>
      </c>
    </row>
    <row r="348" spans="1:8" x14ac:dyDescent="0.3">
      <c r="A348" s="2" t="str" cm="1">
        <f t="array" aca="1" ref="A348" ca="1">INDEX(Sheet1!$A$2:$A$46, RANDBETWEEN(1,ROWS(Sheet1!$A$2:$A$46)))</f>
        <v>B006</v>
      </c>
      <c r="B348" s="2" t="s">
        <v>36</v>
      </c>
      <c r="C348" t="str">
        <f>_xlfn.XLOOKUP(B348, Sheet1!A:A, Sheet1!B:B)</f>
        <v>oatmeal raisin cookies</v>
      </c>
      <c r="D348">
        <f>_xlfn.XLOOKUP(B348,Sheet1!A:A,Sheet1!C:C)</f>
        <v>12</v>
      </c>
      <c r="E348">
        <f>_xlfn.XLOOKUP(B348,Sheet1!A:A,Sheet1!D:D)</f>
        <v>3.5</v>
      </c>
      <c r="F348">
        <f>_xlfn.XLOOKUP(Sheet3!B348,Sheet1!A:A,Sheet1!E:E)</f>
        <v>3</v>
      </c>
      <c r="G348">
        <f>_xlfn.XLOOKUP(B348,Sheet1!A:A,Sheet1!F:F)</f>
        <v>14</v>
      </c>
      <c r="H348" cm="1">
        <f t="array" aca="1" ref="H348" ca="1">INDEX(Sheet1!$G$2:$G$3, RANDBETWEEN(1, ROWS(Sheet1!$G$2:$G$3)))</f>
        <v>0</v>
      </c>
    </row>
    <row r="349" spans="1:8" x14ac:dyDescent="0.3">
      <c r="A349" s="2" t="str" cm="1">
        <f t="array" aca="1" ref="A349" ca="1">INDEX(Sheet1!$A$2:$A$46, RANDBETWEEN(1,ROWS(Sheet1!$A$2:$A$46)))</f>
        <v>B043</v>
      </c>
      <c r="B349" s="2" t="s">
        <v>84</v>
      </c>
      <c r="C349" t="str">
        <f>_xlfn.XLOOKUP(B349, Sheet1!A:A, Sheet1!B:B)</f>
        <v>plain bagels</v>
      </c>
      <c r="D349">
        <f>_xlfn.XLOOKUP(B349,Sheet1!A:A,Sheet1!C:C)</f>
        <v>8</v>
      </c>
      <c r="E349">
        <f>_xlfn.XLOOKUP(B349,Sheet1!A:A,Sheet1!D:D)</f>
        <v>3.5</v>
      </c>
      <c r="F349">
        <f>_xlfn.XLOOKUP(Sheet3!B349,Sheet1!A:A,Sheet1!E:E)</f>
        <v>3</v>
      </c>
      <c r="G349">
        <f>_xlfn.XLOOKUP(B349,Sheet1!A:A,Sheet1!F:F)</f>
        <v>8</v>
      </c>
      <c r="H349" t="str" cm="1">
        <f t="array" aca="1" ref="H349" ca="1">INDEX(Sheet1!$G$2:$G$3, RANDBETWEEN(1, ROWS(Sheet1!$G$2:$G$3)))</f>
        <v>No</v>
      </c>
    </row>
    <row r="350" spans="1:8" x14ac:dyDescent="0.3">
      <c r="A350" s="2" t="str" cm="1">
        <f t="array" aca="1" ref="A350" ca="1">INDEX(Sheet1!$A$2:$A$46, RANDBETWEEN(1,ROWS(Sheet1!$A$2:$A$46)))</f>
        <v>B032</v>
      </c>
      <c r="B350" s="2" t="s">
        <v>90</v>
      </c>
      <c r="C350" t="str">
        <f>_xlfn.XLOOKUP(B350, Sheet1!A:A, Sheet1!B:B)</f>
        <v>mini brownies</v>
      </c>
      <c r="D350">
        <f>_xlfn.XLOOKUP(B350,Sheet1!A:A,Sheet1!C:C)</f>
        <v>12</v>
      </c>
      <c r="E350">
        <f>_xlfn.XLOOKUP(B350,Sheet1!A:A,Sheet1!D:D)</f>
        <v>4.5</v>
      </c>
      <c r="F350">
        <f>_xlfn.XLOOKUP(Sheet3!B350,Sheet1!A:A,Sheet1!E:E)</f>
        <v>4</v>
      </c>
      <c r="G350">
        <f>_xlfn.XLOOKUP(B350,Sheet1!A:A,Sheet1!F:F)</f>
        <v>14</v>
      </c>
      <c r="H350" cm="1">
        <f t="array" aca="1" ref="H350" ca="1">INDEX(Sheet1!$G$2:$G$3, RANDBETWEEN(1, ROWS(Sheet1!$G$2:$G$3)))</f>
        <v>0</v>
      </c>
    </row>
    <row r="351" spans="1:8" x14ac:dyDescent="0.3">
      <c r="A351" s="2" t="str" cm="1">
        <f t="array" aca="1" ref="A351" ca="1">INDEX(Sheet1!$A$2:$A$46, RANDBETWEEN(1,ROWS(Sheet1!$A$2:$A$46)))</f>
        <v>B035</v>
      </c>
      <c r="B351" s="2" t="s">
        <v>82</v>
      </c>
      <c r="C351" t="str">
        <f>_xlfn.XLOOKUP(B351, Sheet1!A:A, Sheet1!B:B)</f>
        <v>white square cake</v>
      </c>
      <c r="D351">
        <f>_xlfn.XLOOKUP(B351,Sheet1!A:A,Sheet1!C:C)</f>
        <v>8</v>
      </c>
      <c r="E351">
        <f>_xlfn.XLOOKUP(B351,Sheet1!A:A,Sheet1!D:D)</f>
        <v>2.5</v>
      </c>
      <c r="F351">
        <f>_xlfn.XLOOKUP(Sheet3!B351,Sheet1!A:A,Sheet1!E:E)</f>
        <v>2</v>
      </c>
      <c r="G351">
        <f>_xlfn.XLOOKUP(B351,Sheet1!A:A,Sheet1!F:F)</f>
        <v>5</v>
      </c>
      <c r="H351" t="str" cm="1">
        <f t="array" aca="1" ref="H351" ca="1">INDEX(Sheet1!$G$2:$G$3, RANDBETWEEN(1, ROWS(Sheet1!$G$2:$G$3)))</f>
        <v>No</v>
      </c>
    </row>
    <row r="352" spans="1:8" x14ac:dyDescent="0.3">
      <c r="A352" s="2" t="str" cm="1">
        <f t="array" aca="1" ref="A352" ca="1">INDEX(Sheet1!$A$2:$A$46, RANDBETWEEN(1,ROWS(Sheet1!$A$2:$A$46)))</f>
        <v>B037</v>
      </c>
      <c r="B352" s="2" t="s">
        <v>70</v>
      </c>
      <c r="C352" t="str">
        <f>_xlfn.XLOOKUP(B352, Sheet1!A:A, Sheet1!B:B)</f>
        <v>pumpkin pie</v>
      </c>
      <c r="D352">
        <f>_xlfn.XLOOKUP(B352,Sheet1!A:A,Sheet1!C:C)</f>
        <v>6</v>
      </c>
      <c r="E352">
        <f>_xlfn.XLOOKUP(B352,Sheet1!A:A,Sheet1!D:D)</f>
        <v>4</v>
      </c>
      <c r="F352">
        <f>_xlfn.XLOOKUP(Sheet3!B352,Sheet1!A:A,Sheet1!E:E)</f>
        <v>3</v>
      </c>
      <c r="G352">
        <f>_xlfn.XLOOKUP(B352,Sheet1!A:A,Sheet1!F:F)</f>
        <v>7</v>
      </c>
      <c r="H352" cm="1">
        <f t="array" aca="1" ref="H352" ca="1">INDEX(Sheet1!$G$2:$G$3, RANDBETWEEN(1, ROWS(Sheet1!$G$2:$G$3)))</f>
        <v>0</v>
      </c>
    </row>
    <row r="353" spans="1:8" x14ac:dyDescent="0.3">
      <c r="A353" s="2" t="str" cm="1">
        <f t="array" aca="1" ref="A353" ca="1">INDEX(Sheet1!$A$2:$A$46, RANDBETWEEN(1,ROWS(Sheet1!$A$2:$A$46)))</f>
        <v>B019</v>
      </c>
      <c r="B353" s="2" t="s">
        <v>37</v>
      </c>
      <c r="C353" t="str">
        <f>_xlfn.XLOOKUP(B353, Sheet1!A:A, Sheet1!B:B)</f>
        <v>sugar cookies</v>
      </c>
      <c r="D353">
        <f>_xlfn.XLOOKUP(B353,Sheet1!A:A,Sheet1!C:C)</f>
        <v>12</v>
      </c>
      <c r="E353">
        <f>_xlfn.XLOOKUP(B353,Sheet1!A:A,Sheet1!D:D)</f>
        <v>3.5</v>
      </c>
      <c r="F353">
        <f>_xlfn.XLOOKUP(Sheet3!B353,Sheet1!A:A,Sheet1!E:E)</f>
        <v>3</v>
      </c>
      <c r="G353">
        <f>_xlfn.XLOOKUP(B353,Sheet1!A:A,Sheet1!F:F)</f>
        <v>14</v>
      </c>
      <c r="H353" cm="1">
        <f t="array" aca="1" ref="H353" ca="1">INDEX(Sheet1!$G$2:$G$3, RANDBETWEEN(1, ROWS(Sheet1!$G$2:$G$3)))</f>
        <v>0</v>
      </c>
    </row>
    <row r="354" spans="1:8" x14ac:dyDescent="0.3">
      <c r="A354" s="2" t="str" cm="1">
        <f t="array" aca="1" ref="A354" ca="1">INDEX(Sheet1!$A$2:$A$46, RANDBETWEEN(1,ROWS(Sheet1!$A$2:$A$46)))</f>
        <v>B011</v>
      </c>
      <c r="B354" s="2" t="s">
        <v>57</v>
      </c>
      <c r="C354" t="str">
        <f>_xlfn.XLOOKUP(B354, Sheet1!A:A, Sheet1!B:B)</f>
        <v>vanilla cupcakes</v>
      </c>
      <c r="D354">
        <f>_xlfn.XLOOKUP(B354,Sheet1!A:A,Sheet1!C:C)</f>
        <v>8</v>
      </c>
      <c r="E354">
        <f>_xlfn.XLOOKUP(B354,Sheet1!A:A,Sheet1!D:D)</f>
        <v>6</v>
      </c>
      <c r="F354">
        <f>_xlfn.XLOOKUP(Sheet3!B354,Sheet1!A:A,Sheet1!E:E)</f>
        <v>5.5</v>
      </c>
      <c r="G354">
        <f>_xlfn.XLOOKUP(B354,Sheet1!A:A,Sheet1!F:F)</f>
        <v>20</v>
      </c>
      <c r="H354" cm="1">
        <f t="array" aca="1" ref="H354" ca="1">INDEX(Sheet1!$G$2:$G$3, RANDBETWEEN(1, ROWS(Sheet1!$G$2:$G$3)))</f>
        <v>0</v>
      </c>
    </row>
    <row r="355" spans="1:8" x14ac:dyDescent="0.3">
      <c r="A355" s="2" t="str" cm="1">
        <f t="array" aca="1" ref="A355" ca="1">INDEX(Sheet1!$A$2:$A$46, RANDBETWEEN(1,ROWS(Sheet1!$A$2:$A$46)))</f>
        <v>B002</v>
      </c>
      <c r="B355" s="2" t="s">
        <v>58</v>
      </c>
      <c r="C355" t="str">
        <f>_xlfn.XLOOKUP(B355, Sheet1!A:A, Sheet1!B:B)</f>
        <v>cookies &amp; creme cupcakes</v>
      </c>
      <c r="D355">
        <f>_xlfn.XLOOKUP(B355,Sheet1!A:A,Sheet1!C:C)</f>
        <v>15</v>
      </c>
      <c r="E355">
        <f>_xlfn.XLOOKUP(B355,Sheet1!A:A,Sheet1!D:D)</f>
        <v>6</v>
      </c>
      <c r="F355">
        <f>_xlfn.XLOOKUP(Sheet3!B355,Sheet1!A:A,Sheet1!E:E)</f>
        <v>5.5</v>
      </c>
      <c r="G355">
        <f>_xlfn.XLOOKUP(B355,Sheet1!A:A,Sheet1!F:F)</f>
        <v>20</v>
      </c>
      <c r="H355" t="str" cm="1">
        <f t="array" aca="1" ref="H355" ca="1">INDEX(Sheet1!$G$2:$G$3, RANDBETWEEN(1, ROWS(Sheet1!$G$2:$G$3)))</f>
        <v>No</v>
      </c>
    </row>
    <row r="356" spans="1:8" x14ac:dyDescent="0.3">
      <c r="A356" s="2" t="str" cm="1">
        <f t="array" aca="1" ref="A356" ca="1">INDEX(Sheet1!$A$2:$A$46, RANDBETWEEN(1,ROWS(Sheet1!$A$2:$A$46)))</f>
        <v>B033</v>
      </c>
      <c r="B356" s="2" t="s">
        <v>70</v>
      </c>
      <c r="C356" t="str">
        <f>_xlfn.XLOOKUP(B356, Sheet1!A:A, Sheet1!B:B)</f>
        <v>pumpkin pie</v>
      </c>
      <c r="D356">
        <f>_xlfn.XLOOKUP(B356,Sheet1!A:A,Sheet1!C:C)</f>
        <v>6</v>
      </c>
      <c r="E356">
        <f>_xlfn.XLOOKUP(B356,Sheet1!A:A,Sheet1!D:D)</f>
        <v>4</v>
      </c>
      <c r="F356">
        <f>_xlfn.XLOOKUP(Sheet3!B356,Sheet1!A:A,Sheet1!E:E)</f>
        <v>3</v>
      </c>
      <c r="G356">
        <f>_xlfn.XLOOKUP(B356,Sheet1!A:A,Sheet1!F:F)</f>
        <v>7</v>
      </c>
      <c r="H356" t="str" cm="1">
        <f t="array" aca="1" ref="H356" ca="1">INDEX(Sheet1!$G$2:$G$3, RANDBETWEEN(1, ROWS(Sheet1!$G$2:$G$3)))</f>
        <v>No</v>
      </c>
    </row>
    <row r="357" spans="1:8" x14ac:dyDescent="0.3">
      <c r="A357" s="2" t="str" cm="1">
        <f t="array" aca="1" ref="A357" ca="1">INDEX(Sheet1!$A$2:$A$46, RANDBETWEEN(1,ROWS(Sheet1!$A$2:$A$46)))</f>
        <v>B030</v>
      </c>
      <c r="B357" s="2" t="s">
        <v>58</v>
      </c>
      <c r="C357" t="str">
        <f>_xlfn.XLOOKUP(B357, Sheet1!A:A, Sheet1!B:B)</f>
        <v>cookies &amp; creme cupcakes</v>
      </c>
      <c r="D357">
        <f>_xlfn.XLOOKUP(B357,Sheet1!A:A,Sheet1!C:C)</f>
        <v>15</v>
      </c>
      <c r="E357">
        <f>_xlfn.XLOOKUP(B357,Sheet1!A:A,Sheet1!D:D)</f>
        <v>6</v>
      </c>
      <c r="F357">
        <f>_xlfn.XLOOKUP(Sheet3!B357,Sheet1!A:A,Sheet1!E:E)</f>
        <v>5.5</v>
      </c>
      <c r="G357">
        <f>_xlfn.XLOOKUP(B357,Sheet1!A:A,Sheet1!F:F)</f>
        <v>20</v>
      </c>
      <c r="H357" cm="1">
        <f t="array" aca="1" ref="H357" ca="1">INDEX(Sheet1!$G$2:$G$3, RANDBETWEEN(1, ROWS(Sheet1!$G$2:$G$3)))</f>
        <v>0</v>
      </c>
    </row>
    <row r="358" spans="1:8" x14ac:dyDescent="0.3">
      <c r="A358" s="2" t="str" cm="1">
        <f t="array" aca="1" ref="A358" ca="1">INDEX(Sheet1!$A$2:$A$46, RANDBETWEEN(1,ROWS(Sheet1!$A$2:$A$46)))</f>
        <v>B030</v>
      </c>
      <c r="B358" s="2" t="s">
        <v>78</v>
      </c>
      <c r="C358" t="str">
        <f>_xlfn.XLOOKUP(B358, Sheet1!A:A, Sheet1!B:B)</f>
        <v>caramel pie</v>
      </c>
      <c r="D358">
        <f>_xlfn.XLOOKUP(B358,Sheet1!A:A,Sheet1!C:C)</f>
        <v>6</v>
      </c>
      <c r="E358">
        <f>_xlfn.XLOOKUP(B358,Sheet1!A:A,Sheet1!D:D)</f>
        <v>4</v>
      </c>
      <c r="F358">
        <f>_xlfn.XLOOKUP(Sheet3!B358,Sheet1!A:A,Sheet1!E:E)</f>
        <v>3</v>
      </c>
      <c r="G358">
        <f>_xlfn.XLOOKUP(B358,Sheet1!A:A,Sheet1!F:F)</f>
        <v>7</v>
      </c>
      <c r="H358" t="str" cm="1">
        <f t="array" aca="1" ref="H358" ca="1">INDEX(Sheet1!$G$2:$G$3, RANDBETWEEN(1, ROWS(Sheet1!$G$2:$G$3)))</f>
        <v>No</v>
      </c>
    </row>
    <row r="359" spans="1:8" x14ac:dyDescent="0.3">
      <c r="A359" s="2" t="str" cm="1">
        <f t="array" aca="1" ref="A359" ca="1">INDEX(Sheet1!$A$2:$A$46, RANDBETWEEN(1,ROWS(Sheet1!$A$2:$A$46)))</f>
        <v>B030</v>
      </c>
      <c r="B359" s="2" t="s">
        <v>35</v>
      </c>
      <c r="C359" t="str">
        <f>_xlfn.XLOOKUP(B359, Sheet1!A:A, Sheet1!B:B)</f>
        <v>orange pound</v>
      </c>
      <c r="D359">
        <f>_xlfn.XLOOKUP(B359,Sheet1!A:A,Sheet1!C:C)</f>
        <v>8</v>
      </c>
      <c r="E359">
        <f>_xlfn.XLOOKUP(B359,Sheet1!A:A,Sheet1!D:D)</f>
        <v>3.5</v>
      </c>
      <c r="F359">
        <f>_xlfn.XLOOKUP(Sheet3!B359,Sheet1!A:A,Sheet1!E:E)</f>
        <v>3</v>
      </c>
      <c r="G359">
        <f>_xlfn.XLOOKUP(B359,Sheet1!A:A,Sheet1!F:F)</f>
        <v>14</v>
      </c>
      <c r="H359" t="str" cm="1">
        <f t="array" aca="1" ref="H359" ca="1">INDEX(Sheet1!$G$2:$G$3, RANDBETWEEN(1, ROWS(Sheet1!$G$2:$G$3)))</f>
        <v>No</v>
      </c>
    </row>
    <row r="360" spans="1:8" x14ac:dyDescent="0.3">
      <c r="A360" s="2" t="str" cm="1">
        <f t="array" aca="1" ref="A360" ca="1">INDEX(Sheet1!$A$2:$A$46, RANDBETWEEN(1,ROWS(Sheet1!$A$2:$A$46)))</f>
        <v>B025</v>
      </c>
      <c r="B360" s="2" t="s">
        <v>89</v>
      </c>
      <c r="C360" t="str">
        <f>_xlfn.XLOOKUP(B360, Sheet1!A:A, Sheet1!B:B)</f>
        <v>blueberry bagels</v>
      </c>
      <c r="D360">
        <f>_xlfn.XLOOKUP(B360,Sheet1!A:A,Sheet1!C:C)</f>
        <v>8</v>
      </c>
      <c r="E360">
        <f>_xlfn.XLOOKUP(B360,Sheet1!A:A,Sheet1!D:D)</f>
        <v>3.5</v>
      </c>
      <c r="F360">
        <f>_xlfn.XLOOKUP(Sheet3!B360,Sheet1!A:A,Sheet1!E:E)</f>
        <v>3</v>
      </c>
      <c r="G360">
        <f>_xlfn.XLOOKUP(B360,Sheet1!A:A,Sheet1!F:F)</f>
        <v>8</v>
      </c>
      <c r="H360" t="str" cm="1">
        <f t="array" aca="1" ref="H360" ca="1">INDEX(Sheet1!$G$2:$G$3, RANDBETWEEN(1, ROWS(Sheet1!$G$2:$G$3)))</f>
        <v>No</v>
      </c>
    </row>
    <row r="361" spans="1:8" x14ac:dyDescent="0.3">
      <c r="A361" s="2" t="str" cm="1">
        <f t="array" aca="1" ref="A361" ca="1">INDEX(Sheet1!$A$2:$A$46, RANDBETWEEN(1,ROWS(Sheet1!$A$2:$A$46)))</f>
        <v>B002</v>
      </c>
      <c r="B361" s="2" t="s">
        <v>65</v>
      </c>
      <c r="C361" t="str">
        <f>_xlfn.XLOOKUP(B361, Sheet1!A:A, Sheet1!B:B)</f>
        <v>sourdough bread</v>
      </c>
      <c r="D361">
        <f>_xlfn.XLOOKUP(B361,Sheet1!A:A,Sheet1!C:C)</f>
        <v>10</v>
      </c>
      <c r="E361">
        <f>_xlfn.XLOOKUP(B361,Sheet1!A:A,Sheet1!D:D)</f>
        <v>3.5</v>
      </c>
      <c r="F361">
        <f>_xlfn.XLOOKUP(Sheet3!B361,Sheet1!A:A,Sheet1!E:E)</f>
        <v>3</v>
      </c>
      <c r="G361">
        <f>_xlfn.XLOOKUP(B361,Sheet1!A:A,Sheet1!F:F)</f>
        <v>8</v>
      </c>
      <c r="H361" t="str" cm="1">
        <f t="array" aca="1" ref="H361" ca="1">INDEX(Sheet1!$G$2:$G$3, RANDBETWEEN(1, ROWS(Sheet1!$G$2:$G$3)))</f>
        <v>No</v>
      </c>
    </row>
    <row r="362" spans="1:8" x14ac:dyDescent="0.3">
      <c r="A362" s="2" t="str" cm="1">
        <f t="array" aca="1" ref="A362" ca="1">INDEX(Sheet1!$A$2:$A$46, RANDBETWEEN(1,ROWS(Sheet1!$A$2:$A$46)))</f>
        <v>B013</v>
      </c>
      <c r="B362" s="2" t="s">
        <v>24</v>
      </c>
      <c r="C362" t="str">
        <f>_xlfn.XLOOKUP(B362, Sheet1!A:A, Sheet1!B:B)</f>
        <v>tiramisu</v>
      </c>
      <c r="D362">
        <f>_xlfn.XLOOKUP(B362,Sheet1!A:A,Sheet1!C:C)</f>
        <v>8</v>
      </c>
      <c r="E362">
        <f>_xlfn.XLOOKUP(B362,Sheet1!A:A,Sheet1!D:D)</f>
        <v>7.5</v>
      </c>
      <c r="F362">
        <f>_xlfn.XLOOKUP(Sheet3!B362,Sheet1!A:A,Sheet1!E:E)</f>
        <v>5.5</v>
      </c>
      <c r="G362">
        <f>_xlfn.XLOOKUP(B362,Sheet1!A:A,Sheet1!F:F)</f>
        <v>7</v>
      </c>
      <c r="H362" t="str" cm="1">
        <f t="array" aca="1" ref="H362" ca="1">INDEX(Sheet1!$G$2:$G$3, RANDBETWEEN(1, ROWS(Sheet1!$G$2:$G$3)))</f>
        <v>No</v>
      </c>
    </row>
    <row r="363" spans="1:8" x14ac:dyDescent="0.3">
      <c r="A363" s="2" t="str" cm="1">
        <f t="array" aca="1" ref="A363" ca="1">INDEX(Sheet1!$A$2:$A$46, RANDBETWEEN(1,ROWS(Sheet1!$A$2:$A$46)))</f>
        <v>B006</v>
      </c>
      <c r="B363" s="2" t="s">
        <v>23</v>
      </c>
      <c r="C363" t="str">
        <f>_xlfn.XLOOKUP(B363, Sheet1!A:A, Sheet1!B:B)</f>
        <v>cheese cake</v>
      </c>
      <c r="D363">
        <f>_xlfn.XLOOKUP(B363,Sheet1!A:A,Sheet1!C:C)</f>
        <v>9</v>
      </c>
      <c r="E363">
        <f>_xlfn.XLOOKUP(B363,Sheet1!A:A,Sheet1!D:D)</f>
        <v>6.5</v>
      </c>
      <c r="F363">
        <f>_xlfn.XLOOKUP(Sheet3!B363,Sheet1!A:A,Sheet1!E:E)</f>
        <v>5.5</v>
      </c>
      <c r="G363">
        <f>_xlfn.XLOOKUP(B363,Sheet1!A:A,Sheet1!F:F)</f>
        <v>9</v>
      </c>
      <c r="H363" t="str" cm="1">
        <f t="array" aca="1" ref="H363" ca="1">INDEX(Sheet1!$G$2:$G$3, RANDBETWEEN(1, ROWS(Sheet1!$G$2:$G$3)))</f>
        <v>No</v>
      </c>
    </row>
    <row r="364" spans="1:8" x14ac:dyDescent="0.3">
      <c r="A364" s="2" t="str" cm="1">
        <f t="array" aca="1" ref="A364" ca="1">INDEX(Sheet1!$A$2:$A$46, RANDBETWEEN(1,ROWS(Sheet1!$A$2:$A$46)))</f>
        <v>B015</v>
      </c>
      <c r="B364" s="2" t="s">
        <v>65</v>
      </c>
      <c r="C364" t="str">
        <f>_xlfn.XLOOKUP(B364, Sheet1!A:A, Sheet1!B:B)</f>
        <v>sourdough bread</v>
      </c>
      <c r="D364">
        <f>_xlfn.XLOOKUP(B364,Sheet1!A:A,Sheet1!C:C)</f>
        <v>10</v>
      </c>
      <c r="E364">
        <f>_xlfn.XLOOKUP(B364,Sheet1!A:A,Sheet1!D:D)</f>
        <v>3.5</v>
      </c>
      <c r="F364">
        <f>_xlfn.XLOOKUP(Sheet3!B364,Sheet1!A:A,Sheet1!E:E)</f>
        <v>3</v>
      </c>
      <c r="G364">
        <f>_xlfn.XLOOKUP(B364,Sheet1!A:A,Sheet1!F:F)</f>
        <v>8</v>
      </c>
      <c r="H364" t="str" cm="1">
        <f t="array" aca="1" ref="H364" ca="1">INDEX(Sheet1!$G$2:$G$3, RANDBETWEEN(1, ROWS(Sheet1!$G$2:$G$3)))</f>
        <v>No</v>
      </c>
    </row>
    <row r="365" spans="1:8" x14ac:dyDescent="0.3">
      <c r="A365" s="2" t="str" cm="1">
        <f t="array" aca="1" ref="A365" ca="1">INDEX(Sheet1!$A$2:$A$46, RANDBETWEEN(1,ROWS(Sheet1!$A$2:$A$46)))</f>
        <v>B026</v>
      </c>
      <c r="B365" s="2" t="s">
        <v>21</v>
      </c>
      <c r="C365" t="str">
        <f>_xlfn.XLOOKUP(B365, Sheet1!A:A, Sheet1!B:B)</f>
        <v>butter cake</v>
      </c>
      <c r="D365">
        <f>_xlfn.XLOOKUP(B365,Sheet1!A:A,Sheet1!C:C)</f>
        <v>8</v>
      </c>
      <c r="E365">
        <f>_xlfn.XLOOKUP(B365,Sheet1!A:A,Sheet1!D:D)</f>
        <v>4</v>
      </c>
      <c r="F365">
        <f>_xlfn.XLOOKUP(Sheet3!B365,Sheet1!A:A,Sheet1!E:E)</f>
        <v>3</v>
      </c>
      <c r="G365">
        <f>_xlfn.XLOOKUP(B365,Sheet1!A:A,Sheet1!F:F)</f>
        <v>14</v>
      </c>
      <c r="H365" cm="1">
        <f t="array" aca="1" ref="H365" ca="1">INDEX(Sheet1!$G$2:$G$3, RANDBETWEEN(1, ROWS(Sheet1!$G$2:$G$3)))</f>
        <v>0</v>
      </c>
    </row>
    <row r="366" spans="1:8" x14ac:dyDescent="0.3">
      <c r="A366" s="2" t="str" cm="1">
        <f t="array" aca="1" ref="A366" ca="1">INDEX(Sheet1!$A$2:$A$46, RANDBETWEEN(1,ROWS(Sheet1!$A$2:$A$46)))</f>
        <v>B014</v>
      </c>
      <c r="B366" s="2" t="s">
        <v>57</v>
      </c>
      <c r="C366" t="str">
        <f>_xlfn.XLOOKUP(B366, Sheet1!A:A, Sheet1!B:B)</f>
        <v>vanilla cupcakes</v>
      </c>
      <c r="D366">
        <f>_xlfn.XLOOKUP(B366,Sheet1!A:A,Sheet1!C:C)</f>
        <v>8</v>
      </c>
      <c r="E366">
        <f>_xlfn.XLOOKUP(B366,Sheet1!A:A,Sheet1!D:D)</f>
        <v>6</v>
      </c>
      <c r="F366">
        <f>_xlfn.XLOOKUP(Sheet3!B366,Sheet1!A:A,Sheet1!E:E)</f>
        <v>5.5</v>
      </c>
      <c r="G366">
        <f>_xlfn.XLOOKUP(B366,Sheet1!A:A,Sheet1!F:F)</f>
        <v>20</v>
      </c>
      <c r="H366" t="str" cm="1">
        <f t="array" aca="1" ref="H366" ca="1">INDEX(Sheet1!$G$2:$G$3, RANDBETWEEN(1, ROWS(Sheet1!$G$2:$G$3)))</f>
        <v>No</v>
      </c>
    </row>
    <row r="367" spans="1:8" x14ac:dyDescent="0.3">
      <c r="A367" s="2" t="str" cm="1">
        <f t="array" aca="1" ref="A367" ca="1">INDEX(Sheet1!$A$2:$A$46, RANDBETWEEN(1,ROWS(Sheet1!$A$2:$A$46)))</f>
        <v>B045</v>
      </c>
      <c r="B367" s="2" t="s">
        <v>56</v>
      </c>
      <c r="C367" t="str">
        <f>_xlfn.XLOOKUP(B367, Sheet1!A:A, Sheet1!B:B)</f>
        <v>assorted cupcakes </v>
      </c>
      <c r="D367">
        <f>_xlfn.XLOOKUP(B367,Sheet1!A:A,Sheet1!C:C)</f>
        <v>8</v>
      </c>
      <c r="E367">
        <f>_xlfn.XLOOKUP(B367,Sheet1!A:A,Sheet1!D:D)</f>
        <v>6</v>
      </c>
      <c r="F367">
        <f>_xlfn.XLOOKUP(Sheet3!B367,Sheet1!A:A,Sheet1!E:E)</f>
        <v>5.5</v>
      </c>
      <c r="G367">
        <f>_xlfn.XLOOKUP(B367,Sheet1!A:A,Sheet1!F:F)</f>
        <v>20</v>
      </c>
      <c r="H367" cm="1">
        <f t="array" aca="1" ref="H367" ca="1">INDEX(Sheet1!$G$2:$G$3, RANDBETWEEN(1, ROWS(Sheet1!$G$2:$G$3)))</f>
        <v>0</v>
      </c>
    </row>
    <row r="368" spans="1:8" x14ac:dyDescent="0.3">
      <c r="A368" s="2" t="str" cm="1">
        <f t="array" aca="1" ref="A368" ca="1">INDEX(Sheet1!$A$2:$A$46, RANDBETWEEN(1,ROWS(Sheet1!$A$2:$A$46)))</f>
        <v>B034</v>
      </c>
      <c r="B368" s="2" t="s">
        <v>72</v>
      </c>
      <c r="C368" t="str">
        <f>_xlfn.XLOOKUP(B368, Sheet1!A:A, Sheet1!B:B)</f>
        <v>cherry pie</v>
      </c>
      <c r="D368">
        <f>_xlfn.XLOOKUP(B368,Sheet1!A:A,Sheet1!C:C)</f>
        <v>6</v>
      </c>
      <c r="E368">
        <f>_xlfn.XLOOKUP(B368,Sheet1!A:A,Sheet1!D:D)</f>
        <v>4</v>
      </c>
      <c r="F368">
        <f>_xlfn.XLOOKUP(Sheet3!B368,Sheet1!A:A,Sheet1!E:E)</f>
        <v>3</v>
      </c>
      <c r="G368">
        <f>_xlfn.XLOOKUP(B368,Sheet1!A:A,Sheet1!F:F)</f>
        <v>7</v>
      </c>
      <c r="H368" cm="1">
        <f t="array" aca="1" ref="H368" ca="1">INDEX(Sheet1!$G$2:$G$3, RANDBETWEEN(1, ROWS(Sheet1!$G$2:$G$3)))</f>
        <v>0</v>
      </c>
    </row>
    <row r="369" spans="1:8" x14ac:dyDescent="0.3">
      <c r="A369" s="2" t="str" cm="1">
        <f t="array" aca="1" ref="A369" ca="1">INDEX(Sheet1!$A$2:$A$46, RANDBETWEEN(1,ROWS(Sheet1!$A$2:$A$46)))</f>
        <v>B020</v>
      </c>
      <c r="B369" s="2" t="s">
        <v>92</v>
      </c>
      <c r="C369" t="str">
        <f>_xlfn.XLOOKUP(B369, Sheet1!A:A, Sheet1!B:B)</f>
        <v>square brownies</v>
      </c>
      <c r="D369">
        <f>_xlfn.XLOOKUP(B369,Sheet1!A:A,Sheet1!C:C)</f>
        <v>6</v>
      </c>
      <c r="E369">
        <f>_xlfn.XLOOKUP(B369,Sheet1!A:A,Sheet1!D:D)</f>
        <v>4.5</v>
      </c>
      <c r="F369">
        <f>_xlfn.XLOOKUP(Sheet3!B369,Sheet1!A:A,Sheet1!E:E)</f>
        <v>4</v>
      </c>
      <c r="G369">
        <f>_xlfn.XLOOKUP(B369,Sheet1!A:A,Sheet1!F:F)</f>
        <v>14</v>
      </c>
      <c r="H369" t="str" cm="1">
        <f t="array" aca="1" ref="H369" ca="1">INDEX(Sheet1!$G$2:$G$3, RANDBETWEEN(1, ROWS(Sheet1!$G$2:$G$3)))</f>
        <v>No</v>
      </c>
    </row>
    <row r="370" spans="1:8" x14ac:dyDescent="0.3">
      <c r="A370" s="2" t="str" cm="1">
        <f t="array" aca="1" ref="A370" ca="1">INDEX(Sheet1!$A$2:$A$46, RANDBETWEEN(1,ROWS(Sheet1!$A$2:$A$46)))</f>
        <v>B007</v>
      </c>
      <c r="B370" s="2" t="s">
        <v>57</v>
      </c>
      <c r="C370" t="str">
        <f>_xlfn.XLOOKUP(B370, Sheet1!A:A, Sheet1!B:B)</f>
        <v>vanilla cupcakes</v>
      </c>
      <c r="D370">
        <f>_xlfn.XLOOKUP(B370,Sheet1!A:A,Sheet1!C:C)</f>
        <v>8</v>
      </c>
      <c r="E370">
        <f>_xlfn.XLOOKUP(B370,Sheet1!A:A,Sheet1!D:D)</f>
        <v>6</v>
      </c>
      <c r="F370">
        <f>_xlfn.XLOOKUP(Sheet3!B370,Sheet1!A:A,Sheet1!E:E)</f>
        <v>5.5</v>
      </c>
      <c r="G370">
        <f>_xlfn.XLOOKUP(B370,Sheet1!A:A,Sheet1!F:F)</f>
        <v>20</v>
      </c>
      <c r="H370" t="str" cm="1">
        <f t="array" aca="1" ref="H370" ca="1">INDEX(Sheet1!$G$2:$G$3, RANDBETWEEN(1, ROWS(Sheet1!$G$2:$G$3)))</f>
        <v>No</v>
      </c>
    </row>
    <row r="371" spans="1:8" x14ac:dyDescent="0.3">
      <c r="A371" s="2" t="str" cm="1">
        <f t="array" aca="1" ref="A371" ca="1">INDEX(Sheet1!$A$2:$A$46, RANDBETWEEN(1,ROWS(Sheet1!$A$2:$A$46)))</f>
        <v>B032</v>
      </c>
      <c r="B371" s="2" t="s">
        <v>58</v>
      </c>
      <c r="C371" t="str">
        <f>_xlfn.XLOOKUP(B371, Sheet1!A:A, Sheet1!B:B)</f>
        <v>cookies &amp; creme cupcakes</v>
      </c>
      <c r="D371">
        <f>_xlfn.XLOOKUP(B371,Sheet1!A:A,Sheet1!C:C)</f>
        <v>15</v>
      </c>
      <c r="E371">
        <f>_xlfn.XLOOKUP(B371,Sheet1!A:A,Sheet1!D:D)</f>
        <v>6</v>
      </c>
      <c r="F371">
        <f>_xlfn.XLOOKUP(Sheet3!B371,Sheet1!A:A,Sheet1!E:E)</f>
        <v>5.5</v>
      </c>
      <c r="G371">
        <f>_xlfn.XLOOKUP(B371,Sheet1!A:A,Sheet1!F:F)</f>
        <v>20</v>
      </c>
      <c r="H371" t="str" cm="1">
        <f t="array" aca="1" ref="H371" ca="1">INDEX(Sheet1!$G$2:$G$3, RANDBETWEEN(1, ROWS(Sheet1!$G$2:$G$3)))</f>
        <v>No</v>
      </c>
    </row>
    <row r="372" spans="1:8" x14ac:dyDescent="0.3">
      <c r="A372" s="2" t="str" cm="1">
        <f t="array" aca="1" ref="A372" ca="1">INDEX(Sheet1!$A$2:$A$46, RANDBETWEEN(1,ROWS(Sheet1!$A$2:$A$46)))</f>
        <v>B032</v>
      </c>
      <c r="B372" s="2" t="s">
        <v>23</v>
      </c>
      <c r="C372" t="str">
        <f>_xlfn.XLOOKUP(B372, Sheet1!A:A, Sheet1!B:B)</f>
        <v>cheese cake</v>
      </c>
      <c r="D372">
        <f>_xlfn.XLOOKUP(B372,Sheet1!A:A,Sheet1!C:C)</f>
        <v>9</v>
      </c>
      <c r="E372">
        <f>_xlfn.XLOOKUP(B372,Sheet1!A:A,Sheet1!D:D)</f>
        <v>6.5</v>
      </c>
      <c r="F372">
        <f>_xlfn.XLOOKUP(Sheet3!B372,Sheet1!A:A,Sheet1!E:E)</f>
        <v>5.5</v>
      </c>
      <c r="G372">
        <f>_xlfn.XLOOKUP(B372,Sheet1!A:A,Sheet1!F:F)</f>
        <v>9</v>
      </c>
      <c r="H372" t="str" cm="1">
        <f t="array" aca="1" ref="H372" ca="1">INDEX(Sheet1!$G$2:$G$3, RANDBETWEEN(1, ROWS(Sheet1!$G$2:$G$3)))</f>
        <v>No</v>
      </c>
    </row>
    <row r="373" spans="1:8" x14ac:dyDescent="0.3">
      <c r="A373" s="2" t="str" cm="1">
        <f t="array" aca="1" ref="A373" ca="1">INDEX(Sheet1!$A$2:$A$46, RANDBETWEEN(1,ROWS(Sheet1!$A$2:$A$46)))</f>
        <v>B023</v>
      </c>
      <c r="B373" s="2" t="s">
        <v>84</v>
      </c>
      <c r="C373" t="str">
        <f>_xlfn.XLOOKUP(B373, Sheet1!A:A, Sheet1!B:B)</f>
        <v>plain bagels</v>
      </c>
      <c r="D373">
        <f>_xlfn.XLOOKUP(B373,Sheet1!A:A,Sheet1!C:C)</f>
        <v>8</v>
      </c>
      <c r="E373">
        <f>_xlfn.XLOOKUP(B373,Sheet1!A:A,Sheet1!D:D)</f>
        <v>3.5</v>
      </c>
      <c r="F373">
        <f>_xlfn.XLOOKUP(Sheet3!B373,Sheet1!A:A,Sheet1!E:E)</f>
        <v>3</v>
      </c>
      <c r="G373">
        <f>_xlfn.XLOOKUP(B373,Sheet1!A:A,Sheet1!F:F)</f>
        <v>8</v>
      </c>
      <c r="H373" cm="1">
        <f t="array" aca="1" ref="H373" ca="1">INDEX(Sheet1!$G$2:$G$3, RANDBETWEEN(1, ROWS(Sheet1!$G$2:$G$3)))</f>
        <v>0</v>
      </c>
    </row>
    <row r="374" spans="1:8" x14ac:dyDescent="0.3">
      <c r="A374" s="2" t="str" cm="1">
        <f t="array" aca="1" ref="A374" ca="1">INDEX(Sheet1!$A$2:$A$46, RANDBETWEEN(1,ROWS(Sheet1!$A$2:$A$46)))</f>
        <v>B023</v>
      </c>
      <c r="B374" s="2" t="s">
        <v>64</v>
      </c>
      <c r="C374" t="str">
        <f>_xlfn.XLOOKUP(B374, Sheet1!A:A, Sheet1!B:B)</f>
        <v>marble bread</v>
      </c>
      <c r="D374">
        <f>_xlfn.XLOOKUP(B374,Sheet1!A:A,Sheet1!C:C)</f>
        <v>8</v>
      </c>
      <c r="E374">
        <f>_xlfn.XLOOKUP(B374,Sheet1!A:A,Sheet1!D:D)</f>
        <v>3.5</v>
      </c>
      <c r="F374">
        <f>_xlfn.XLOOKUP(Sheet3!B374,Sheet1!A:A,Sheet1!E:E)</f>
        <v>3</v>
      </c>
      <c r="G374">
        <f>_xlfn.XLOOKUP(B374,Sheet1!A:A,Sheet1!F:F)</f>
        <v>8</v>
      </c>
      <c r="H374" t="str" cm="1">
        <f t="array" aca="1" ref="H374" ca="1">INDEX(Sheet1!$G$2:$G$3, RANDBETWEEN(1, ROWS(Sheet1!$G$2:$G$3)))</f>
        <v>No</v>
      </c>
    </row>
    <row r="375" spans="1:8" x14ac:dyDescent="0.3">
      <c r="A375" s="2" t="str" cm="1">
        <f t="array" aca="1" ref="A375" ca="1">INDEX(Sheet1!$A$2:$A$46, RANDBETWEEN(1,ROWS(Sheet1!$A$2:$A$46)))</f>
        <v>B028</v>
      </c>
      <c r="B375" s="2" t="s">
        <v>90</v>
      </c>
      <c r="C375" t="str">
        <f>_xlfn.XLOOKUP(B375, Sheet1!A:A, Sheet1!B:B)</f>
        <v>mini brownies</v>
      </c>
      <c r="D375">
        <f>_xlfn.XLOOKUP(B375,Sheet1!A:A,Sheet1!C:C)</f>
        <v>12</v>
      </c>
      <c r="E375">
        <f>_xlfn.XLOOKUP(B375,Sheet1!A:A,Sheet1!D:D)</f>
        <v>4.5</v>
      </c>
      <c r="F375">
        <f>_xlfn.XLOOKUP(Sheet3!B375,Sheet1!A:A,Sheet1!E:E)</f>
        <v>4</v>
      </c>
      <c r="G375">
        <f>_xlfn.XLOOKUP(B375,Sheet1!A:A,Sheet1!F:F)</f>
        <v>14</v>
      </c>
      <c r="H375" t="str" cm="1">
        <f t="array" aca="1" ref="H375" ca="1">INDEX(Sheet1!$G$2:$G$3, RANDBETWEEN(1, ROWS(Sheet1!$G$2:$G$3)))</f>
        <v>No</v>
      </c>
    </row>
    <row r="376" spans="1:8" x14ac:dyDescent="0.3">
      <c r="A376" s="2" t="str" cm="1">
        <f t="array" aca="1" ref="A376" ca="1">INDEX(Sheet1!$A$2:$A$46, RANDBETWEEN(1,ROWS(Sheet1!$A$2:$A$46)))</f>
        <v>B045</v>
      </c>
      <c r="B376" s="2" t="s">
        <v>61</v>
      </c>
      <c r="C376" t="str">
        <f>_xlfn.XLOOKUP(B376, Sheet1!A:A, Sheet1!B:B)</f>
        <v>marble sliced loaf cake</v>
      </c>
      <c r="D376">
        <f>_xlfn.XLOOKUP(B376,Sheet1!A:A,Sheet1!C:C)</f>
        <v>10</v>
      </c>
      <c r="E376">
        <f>_xlfn.XLOOKUP(B376,Sheet1!A:A,Sheet1!D:D)</f>
        <v>4</v>
      </c>
      <c r="F376">
        <f>_xlfn.XLOOKUP(Sheet3!B376,Sheet1!A:A,Sheet1!E:E)</f>
        <v>3.5</v>
      </c>
      <c r="G376">
        <f>_xlfn.XLOOKUP(B376,Sheet1!A:A,Sheet1!F:F)</f>
        <v>10</v>
      </c>
      <c r="H376" t="str" cm="1">
        <f t="array" aca="1" ref="H376" ca="1">INDEX(Sheet1!$G$2:$G$3, RANDBETWEEN(1, ROWS(Sheet1!$G$2:$G$3)))</f>
        <v>No</v>
      </c>
    </row>
    <row r="377" spans="1:8" x14ac:dyDescent="0.3">
      <c r="A377" s="2" t="str" cm="1">
        <f t="array" aca="1" ref="A377" ca="1">INDEX(Sheet1!$A$2:$A$46, RANDBETWEEN(1,ROWS(Sheet1!$A$2:$A$46)))</f>
        <v>B003</v>
      </c>
      <c r="B377" s="2" t="s">
        <v>90</v>
      </c>
      <c r="C377" t="str">
        <f>_xlfn.XLOOKUP(B377, Sheet1!A:A, Sheet1!B:B)</f>
        <v>mini brownies</v>
      </c>
      <c r="D377">
        <f>_xlfn.XLOOKUP(B377,Sheet1!A:A,Sheet1!C:C)</f>
        <v>12</v>
      </c>
      <c r="E377">
        <f>_xlfn.XLOOKUP(B377,Sheet1!A:A,Sheet1!D:D)</f>
        <v>4.5</v>
      </c>
      <c r="F377">
        <f>_xlfn.XLOOKUP(Sheet3!B377,Sheet1!A:A,Sheet1!E:E)</f>
        <v>4</v>
      </c>
      <c r="G377">
        <f>_xlfn.XLOOKUP(B377,Sheet1!A:A,Sheet1!F:F)</f>
        <v>14</v>
      </c>
      <c r="H377" t="str" cm="1">
        <f t="array" aca="1" ref="H377" ca="1">INDEX(Sheet1!$G$2:$G$3, RANDBETWEEN(1, ROWS(Sheet1!$G$2:$G$3)))</f>
        <v>No</v>
      </c>
    </row>
    <row r="378" spans="1:8" x14ac:dyDescent="0.3">
      <c r="A378" s="2" t="str" cm="1">
        <f t="array" aca="1" ref="A378" ca="1">INDEX(Sheet1!$A$2:$A$46, RANDBETWEEN(1,ROWS(Sheet1!$A$2:$A$46)))</f>
        <v>B033</v>
      </c>
      <c r="B378" s="2" t="s">
        <v>70</v>
      </c>
      <c r="C378" t="str">
        <f>_xlfn.XLOOKUP(B378, Sheet1!A:A, Sheet1!B:B)</f>
        <v>pumpkin pie</v>
      </c>
      <c r="D378">
        <f>_xlfn.XLOOKUP(B378,Sheet1!A:A,Sheet1!C:C)</f>
        <v>6</v>
      </c>
      <c r="E378">
        <f>_xlfn.XLOOKUP(B378,Sheet1!A:A,Sheet1!D:D)</f>
        <v>4</v>
      </c>
      <c r="F378">
        <f>_xlfn.XLOOKUP(Sheet3!B378,Sheet1!A:A,Sheet1!E:E)</f>
        <v>3</v>
      </c>
      <c r="G378">
        <f>_xlfn.XLOOKUP(B378,Sheet1!A:A,Sheet1!F:F)</f>
        <v>7</v>
      </c>
      <c r="H378" t="str" cm="1">
        <f t="array" aca="1" ref="H378" ca="1">INDEX(Sheet1!$G$2:$G$3, RANDBETWEEN(1, ROWS(Sheet1!$G$2:$G$3)))</f>
        <v>No</v>
      </c>
    </row>
    <row r="379" spans="1:8" x14ac:dyDescent="0.3">
      <c r="A379" s="2" t="str" cm="1">
        <f t="array" aca="1" ref="A379" ca="1">INDEX(Sheet1!$A$2:$A$46, RANDBETWEEN(1,ROWS(Sheet1!$A$2:$A$46)))</f>
        <v>B034</v>
      </c>
      <c r="B379" s="2" t="s">
        <v>88</v>
      </c>
      <c r="C379" t="str">
        <f>_xlfn.XLOOKUP(B379, Sheet1!A:A, Sheet1!B:B)</f>
        <v>everything bagels</v>
      </c>
      <c r="D379">
        <f>_xlfn.XLOOKUP(B379,Sheet1!A:A,Sheet1!C:C)</f>
        <v>8</v>
      </c>
      <c r="E379">
        <f>_xlfn.XLOOKUP(B379,Sheet1!A:A,Sheet1!D:D)</f>
        <v>3.5</v>
      </c>
      <c r="F379">
        <f>_xlfn.XLOOKUP(Sheet3!B379,Sheet1!A:A,Sheet1!E:E)</f>
        <v>3</v>
      </c>
      <c r="G379">
        <f>_xlfn.XLOOKUP(B379,Sheet1!A:A,Sheet1!F:F)</f>
        <v>8</v>
      </c>
      <c r="H379" t="str" cm="1">
        <f t="array" aca="1" ref="H379" ca="1">INDEX(Sheet1!$G$2:$G$3, RANDBETWEEN(1, ROWS(Sheet1!$G$2:$G$3)))</f>
        <v>No</v>
      </c>
    </row>
    <row r="380" spans="1:8" x14ac:dyDescent="0.3">
      <c r="A380" s="2" t="str" cm="1">
        <f t="array" aca="1" ref="A380" ca="1">INDEX(Sheet1!$A$2:$A$46, RANDBETWEEN(1,ROWS(Sheet1!$A$2:$A$46)))</f>
        <v>B040</v>
      </c>
      <c r="B380" s="2" t="s">
        <v>88</v>
      </c>
      <c r="C380" t="str">
        <f>_xlfn.XLOOKUP(B380, Sheet1!A:A, Sheet1!B:B)</f>
        <v>everything bagels</v>
      </c>
      <c r="D380">
        <f>_xlfn.XLOOKUP(B380,Sheet1!A:A,Sheet1!C:C)</f>
        <v>8</v>
      </c>
      <c r="E380">
        <f>_xlfn.XLOOKUP(B380,Sheet1!A:A,Sheet1!D:D)</f>
        <v>3.5</v>
      </c>
      <c r="F380">
        <f>_xlfn.XLOOKUP(Sheet3!B380,Sheet1!A:A,Sheet1!E:E)</f>
        <v>3</v>
      </c>
      <c r="G380">
        <f>_xlfn.XLOOKUP(B380,Sheet1!A:A,Sheet1!F:F)</f>
        <v>8</v>
      </c>
      <c r="H380" cm="1">
        <f t="array" aca="1" ref="H380" ca="1">INDEX(Sheet1!$G$2:$G$3, RANDBETWEEN(1, ROWS(Sheet1!$G$2:$G$3)))</f>
        <v>0</v>
      </c>
    </row>
    <row r="381" spans="1:8" x14ac:dyDescent="0.3">
      <c r="A381" s="2" t="str" cm="1">
        <f t="array" aca="1" ref="A381" ca="1">INDEX(Sheet1!$A$2:$A$46, RANDBETWEEN(1,ROWS(Sheet1!$A$2:$A$46)))</f>
        <v>B035</v>
      </c>
      <c r="B381" s="2" t="s">
        <v>57</v>
      </c>
      <c r="C381" t="str">
        <f>_xlfn.XLOOKUP(B381, Sheet1!A:A, Sheet1!B:B)</f>
        <v>vanilla cupcakes</v>
      </c>
      <c r="D381">
        <f>_xlfn.XLOOKUP(B381,Sheet1!A:A,Sheet1!C:C)</f>
        <v>8</v>
      </c>
      <c r="E381">
        <f>_xlfn.XLOOKUP(B381,Sheet1!A:A,Sheet1!D:D)</f>
        <v>6</v>
      </c>
      <c r="F381">
        <f>_xlfn.XLOOKUP(Sheet3!B381,Sheet1!A:A,Sheet1!E:E)</f>
        <v>5.5</v>
      </c>
      <c r="G381">
        <f>_xlfn.XLOOKUP(B381,Sheet1!A:A,Sheet1!F:F)</f>
        <v>20</v>
      </c>
      <c r="H381" t="str" cm="1">
        <f t="array" aca="1" ref="H381" ca="1">INDEX(Sheet1!$G$2:$G$3, RANDBETWEEN(1, ROWS(Sheet1!$G$2:$G$3)))</f>
        <v>No</v>
      </c>
    </row>
    <row r="382" spans="1:8" x14ac:dyDescent="0.3">
      <c r="A382" s="2" t="str" cm="1">
        <f t="array" aca="1" ref="A382" ca="1">INDEX(Sheet1!$A$2:$A$46, RANDBETWEEN(1,ROWS(Sheet1!$A$2:$A$46)))</f>
        <v>B014</v>
      </c>
      <c r="B382" s="2" t="s">
        <v>21</v>
      </c>
      <c r="C382" t="str">
        <f>_xlfn.XLOOKUP(B382, Sheet1!A:A, Sheet1!B:B)</f>
        <v>butter cake</v>
      </c>
      <c r="D382">
        <f>_xlfn.XLOOKUP(B382,Sheet1!A:A,Sheet1!C:C)</f>
        <v>8</v>
      </c>
      <c r="E382">
        <f>_xlfn.XLOOKUP(B382,Sheet1!A:A,Sheet1!D:D)</f>
        <v>4</v>
      </c>
      <c r="F382">
        <f>_xlfn.XLOOKUP(Sheet3!B382,Sheet1!A:A,Sheet1!E:E)</f>
        <v>3</v>
      </c>
      <c r="G382">
        <f>_xlfn.XLOOKUP(B382,Sheet1!A:A,Sheet1!F:F)</f>
        <v>14</v>
      </c>
      <c r="H382" cm="1">
        <f t="array" aca="1" ref="H382" ca="1">INDEX(Sheet1!$G$2:$G$3, RANDBETWEEN(1, ROWS(Sheet1!$G$2:$G$3)))</f>
        <v>0</v>
      </c>
    </row>
    <row r="383" spans="1:8" x14ac:dyDescent="0.3">
      <c r="A383" s="2" t="str" cm="1">
        <f t="array" aca="1" ref="A383" ca="1">INDEX(Sheet1!$A$2:$A$46, RANDBETWEEN(1,ROWS(Sheet1!$A$2:$A$46)))</f>
        <v>B035</v>
      </c>
      <c r="B383" s="2" t="s">
        <v>35</v>
      </c>
      <c r="C383" t="str">
        <f>_xlfn.XLOOKUP(B383, Sheet1!A:A, Sheet1!B:B)</f>
        <v>orange pound</v>
      </c>
      <c r="D383">
        <f>_xlfn.XLOOKUP(B383,Sheet1!A:A,Sheet1!C:C)</f>
        <v>8</v>
      </c>
      <c r="E383">
        <f>_xlfn.XLOOKUP(B383,Sheet1!A:A,Sheet1!D:D)</f>
        <v>3.5</v>
      </c>
      <c r="F383">
        <f>_xlfn.XLOOKUP(Sheet3!B383,Sheet1!A:A,Sheet1!E:E)</f>
        <v>3</v>
      </c>
      <c r="G383">
        <f>_xlfn.XLOOKUP(B383,Sheet1!A:A,Sheet1!F:F)</f>
        <v>14</v>
      </c>
      <c r="H383" cm="1">
        <f t="array" aca="1" ref="H383" ca="1">INDEX(Sheet1!$G$2:$G$3, RANDBETWEEN(1, ROWS(Sheet1!$G$2:$G$3)))</f>
        <v>0</v>
      </c>
    </row>
    <row r="384" spans="1:8" x14ac:dyDescent="0.3">
      <c r="A384" s="2" t="str" cm="1">
        <f t="array" aca="1" ref="A384" ca="1">INDEX(Sheet1!$A$2:$A$46, RANDBETWEEN(1,ROWS(Sheet1!$A$2:$A$46)))</f>
        <v>B005</v>
      </c>
      <c r="B384" s="2" t="s">
        <v>71</v>
      </c>
      <c r="C384" t="str">
        <f>_xlfn.XLOOKUP(B384, Sheet1!A:A, Sheet1!B:B)</f>
        <v>blueberry pie</v>
      </c>
      <c r="D384">
        <f>_xlfn.XLOOKUP(B384,Sheet1!A:A,Sheet1!C:C)</f>
        <v>6</v>
      </c>
      <c r="E384">
        <f>_xlfn.XLOOKUP(B384,Sheet1!A:A,Sheet1!D:D)</f>
        <v>4</v>
      </c>
      <c r="F384">
        <f>_xlfn.XLOOKUP(Sheet3!B384,Sheet1!A:A,Sheet1!E:E)</f>
        <v>3</v>
      </c>
      <c r="G384">
        <f>_xlfn.XLOOKUP(B384,Sheet1!A:A,Sheet1!F:F)</f>
        <v>7</v>
      </c>
      <c r="H384" cm="1">
        <f t="array" aca="1" ref="H384" ca="1">INDEX(Sheet1!$G$2:$G$3, RANDBETWEEN(1, ROWS(Sheet1!$G$2:$G$3)))</f>
        <v>0</v>
      </c>
    </row>
    <row r="385" spans="1:8" x14ac:dyDescent="0.3">
      <c r="A385" s="2" t="str" cm="1">
        <f t="array" aca="1" ref="A385" ca="1">INDEX(Sheet1!$A$2:$A$46, RANDBETWEEN(1,ROWS(Sheet1!$A$2:$A$46)))</f>
        <v>B041</v>
      </c>
      <c r="B385" s="2" t="s">
        <v>57</v>
      </c>
      <c r="C385" t="str">
        <f>_xlfn.XLOOKUP(B385, Sheet1!A:A, Sheet1!B:B)</f>
        <v>vanilla cupcakes</v>
      </c>
      <c r="D385">
        <f>_xlfn.XLOOKUP(B385,Sheet1!A:A,Sheet1!C:C)</f>
        <v>8</v>
      </c>
      <c r="E385">
        <f>_xlfn.XLOOKUP(B385,Sheet1!A:A,Sheet1!D:D)</f>
        <v>6</v>
      </c>
      <c r="F385">
        <f>_xlfn.XLOOKUP(Sheet3!B385,Sheet1!A:A,Sheet1!E:E)</f>
        <v>5.5</v>
      </c>
      <c r="G385">
        <f>_xlfn.XLOOKUP(B385,Sheet1!A:A,Sheet1!F:F)</f>
        <v>20</v>
      </c>
      <c r="H385" t="str" cm="1">
        <f t="array" aca="1" ref="H385" ca="1">INDEX(Sheet1!$G$2:$G$3, RANDBETWEEN(1, ROWS(Sheet1!$G$2:$G$3)))</f>
        <v>No</v>
      </c>
    </row>
    <row r="386" spans="1:8" x14ac:dyDescent="0.3">
      <c r="A386" s="2" t="str" cm="1">
        <f t="array" aca="1" ref="A386" ca="1">INDEX(Sheet1!$A$2:$A$46, RANDBETWEEN(1,ROWS(Sheet1!$A$2:$A$46)))</f>
        <v>B022</v>
      </c>
      <c r="B386" s="2" t="s">
        <v>61</v>
      </c>
      <c r="C386" t="str">
        <f>_xlfn.XLOOKUP(B386, Sheet1!A:A, Sheet1!B:B)</f>
        <v>marble sliced loaf cake</v>
      </c>
      <c r="D386">
        <f>_xlfn.XLOOKUP(B386,Sheet1!A:A,Sheet1!C:C)</f>
        <v>10</v>
      </c>
      <c r="E386">
        <f>_xlfn.XLOOKUP(B386,Sheet1!A:A,Sheet1!D:D)</f>
        <v>4</v>
      </c>
      <c r="F386">
        <f>_xlfn.XLOOKUP(Sheet3!B386,Sheet1!A:A,Sheet1!E:E)</f>
        <v>3.5</v>
      </c>
      <c r="G386">
        <f>_xlfn.XLOOKUP(B386,Sheet1!A:A,Sheet1!F:F)</f>
        <v>10</v>
      </c>
      <c r="H386" t="str" cm="1">
        <f t="array" aca="1" ref="H386" ca="1">INDEX(Sheet1!$G$2:$G$3, RANDBETWEEN(1, ROWS(Sheet1!$G$2:$G$3)))</f>
        <v>No</v>
      </c>
    </row>
    <row r="387" spans="1:8" x14ac:dyDescent="0.3">
      <c r="A387" s="2" t="str" cm="1">
        <f t="array" aca="1" ref="A387" ca="1">INDEX(Sheet1!$A$2:$A$46, RANDBETWEEN(1,ROWS(Sheet1!$A$2:$A$46)))</f>
        <v>B006</v>
      </c>
      <c r="B387" s="2" t="s">
        <v>37</v>
      </c>
      <c r="C387" t="str">
        <f>_xlfn.XLOOKUP(B387, Sheet1!A:A, Sheet1!B:B)</f>
        <v>sugar cookies</v>
      </c>
      <c r="D387">
        <f>_xlfn.XLOOKUP(B387,Sheet1!A:A,Sheet1!C:C)</f>
        <v>12</v>
      </c>
      <c r="E387">
        <f>_xlfn.XLOOKUP(B387,Sheet1!A:A,Sheet1!D:D)</f>
        <v>3.5</v>
      </c>
      <c r="F387">
        <f>_xlfn.XLOOKUP(Sheet3!B387,Sheet1!A:A,Sheet1!E:E)</f>
        <v>3</v>
      </c>
      <c r="G387">
        <f>_xlfn.XLOOKUP(B387,Sheet1!A:A,Sheet1!F:F)</f>
        <v>14</v>
      </c>
      <c r="H387" cm="1">
        <f t="array" aca="1" ref="H387" ca="1">INDEX(Sheet1!$G$2:$G$3, RANDBETWEEN(1, ROWS(Sheet1!$G$2:$G$3)))</f>
        <v>0</v>
      </c>
    </row>
    <row r="388" spans="1:8" x14ac:dyDescent="0.3">
      <c r="A388" s="2" t="str" cm="1">
        <f t="array" aca="1" ref="A388" ca="1">INDEX(Sheet1!$A$2:$A$46, RANDBETWEEN(1,ROWS(Sheet1!$A$2:$A$46)))</f>
        <v>B012</v>
      </c>
      <c r="B388" s="2" t="s">
        <v>63</v>
      </c>
      <c r="C388" t="str">
        <f>_xlfn.XLOOKUP(B388, Sheet1!A:A, Sheet1!B:B)</f>
        <v>chocolate sliced loaf cake</v>
      </c>
      <c r="D388">
        <f>_xlfn.XLOOKUP(B388,Sheet1!A:A,Sheet1!C:C)</f>
        <v>10</v>
      </c>
      <c r="E388">
        <f>_xlfn.XLOOKUP(B388,Sheet1!A:A,Sheet1!D:D)</f>
        <v>4</v>
      </c>
      <c r="F388">
        <f>_xlfn.XLOOKUP(Sheet3!B388,Sheet1!A:A,Sheet1!E:E)</f>
        <v>3.5</v>
      </c>
      <c r="G388">
        <f>_xlfn.XLOOKUP(B388,Sheet1!A:A,Sheet1!F:F)</f>
        <v>10</v>
      </c>
      <c r="H388" t="str" cm="1">
        <f t="array" aca="1" ref="H388" ca="1">INDEX(Sheet1!$G$2:$G$3, RANDBETWEEN(1, ROWS(Sheet1!$G$2:$G$3)))</f>
        <v>No</v>
      </c>
    </row>
    <row r="389" spans="1:8" x14ac:dyDescent="0.3">
      <c r="A389" s="2" t="str" cm="1">
        <f t="array" aca="1" ref="A389" ca="1">INDEX(Sheet1!$A$2:$A$46, RANDBETWEEN(1,ROWS(Sheet1!$A$2:$A$46)))</f>
        <v>B038</v>
      </c>
      <c r="B389" s="2" t="s">
        <v>22</v>
      </c>
      <c r="C389" t="str">
        <f>_xlfn.XLOOKUP(B389, Sheet1!A:A, Sheet1!B:B)</f>
        <v>chocolate chip cookies</v>
      </c>
      <c r="D389">
        <f>_xlfn.XLOOKUP(B389,Sheet1!A:A,Sheet1!C:C)</f>
        <v>12</v>
      </c>
      <c r="E389">
        <f>_xlfn.XLOOKUP(B389,Sheet1!A:A,Sheet1!D:D)</f>
        <v>3.5</v>
      </c>
      <c r="F389">
        <f>_xlfn.XLOOKUP(Sheet3!B389,Sheet1!A:A,Sheet1!E:E)</f>
        <v>3</v>
      </c>
      <c r="G389">
        <f>_xlfn.XLOOKUP(B389,Sheet1!A:A,Sheet1!F:F)</f>
        <v>14</v>
      </c>
      <c r="H389" cm="1">
        <f t="array" aca="1" ref="H389" ca="1">INDEX(Sheet1!$G$2:$G$3, RANDBETWEEN(1, ROWS(Sheet1!$G$2:$G$3)))</f>
        <v>0</v>
      </c>
    </row>
    <row r="390" spans="1:8" x14ac:dyDescent="0.3">
      <c r="A390" s="2" t="str" cm="1">
        <f t="array" aca="1" ref="A390" ca="1">INDEX(Sheet1!$A$2:$A$46, RANDBETWEEN(1,ROWS(Sheet1!$A$2:$A$46)))</f>
        <v>B032</v>
      </c>
      <c r="B390" s="2" t="s">
        <v>19</v>
      </c>
      <c r="C390" t="str">
        <f>_xlfn.XLOOKUP(B390, Sheet1!A:A, Sheet1!B:B)</f>
        <v>blueberry muffins</v>
      </c>
      <c r="D390">
        <f>_xlfn.XLOOKUP(B390,Sheet1!A:A,Sheet1!C:C)</f>
        <v>10</v>
      </c>
      <c r="E390">
        <f>_xlfn.XLOOKUP(B390,Sheet1!A:A,Sheet1!D:D)</f>
        <v>4.5</v>
      </c>
      <c r="F390">
        <f>_xlfn.XLOOKUP(Sheet3!B390,Sheet1!A:A,Sheet1!E:E)</f>
        <v>4</v>
      </c>
      <c r="G390">
        <f>_xlfn.XLOOKUP(B390,Sheet1!A:A,Sheet1!F:F)</f>
        <v>10</v>
      </c>
      <c r="H390" cm="1">
        <f t="array" aca="1" ref="H390" ca="1">INDEX(Sheet1!$G$2:$G$3, RANDBETWEEN(1, ROWS(Sheet1!$G$2:$G$3)))</f>
        <v>0</v>
      </c>
    </row>
    <row r="391" spans="1:8" x14ac:dyDescent="0.3">
      <c r="A391" s="2" t="str" cm="1">
        <f t="array" aca="1" ref="A391" ca="1">INDEX(Sheet1!$A$2:$A$46, RANDBETWEEN(1,ROWS(Sheet1!$A$2:$A$46)))</f>
        <v>B013</v>
      </c>
      <c r="B391" s="2" t="s">
        <v>37</v>
      </c>
      <c r="C391" t="str">
        <f>_xlfn.XLOOKUP(B391, Sheet1!A:A, Sheet1!B:B)</f>
        <v>sugar cookies</v>
      </c>
      <c r="D391">
        <f>_xlfn.XLOOKUP(B391,Sheet1!A:A,Sheet1!C:C)</f>
        <v>12</v>
      </c>
      <c r="E391">
        <f>_xlfn.XLOOKUP(B391,Sheet1!A:A,Sheet1!D:D)</f>
        <v>3.5</v>
      </c>
      <c r="F391">
        <f>_xlfn.XLOOKUP(Sheet3!B391,Sheet1!A:A,Sheet1!E:E)</f>
        <v>3</v>
      </c>
      <c r="G391">
        <f>_xlfn.XLOOKUP(B391,Sheet1!A:A,Sheet1!F:F)</f>
        <v>14</v>
      </c>
      <c r="H391" cm="1">
        <f t="array" aca="1" ref="H391" ca="1">INDEX(Sheet1!$G$2:$G$3, RANDBETWEEN(1, ROWS(Sheet1!$G$2:$G$3)))</f>
        <v>0</v>
      </c>
    </row>
    <row r="392" spans="1:8" x14ac:dyDescent="0.3">
      <c r="A392" s="2" t="str" cm="1">
        <f t="array" aca="1" ref="A392" ca="1">INDEX(Sheet1!$A$2:$A$46, RANDBETWEEN(1,ROWS(Sheet1!$A$2:$A$46)))</f>
        <v>B037</v>
      </c>
      <c r="B392" s="2" t="s">
        <v>61</v>
      </c>
      <c r="C392" t="str">
        <f>_xlfn.XLOOKUP(B392, Sheet1!A:A, Sheet1!B:B)</f>
        <v>marble sliced loaf cake</v>
      </c>
      <c r="D392">
        <f>_xlfn.XLOOKUP(B392,Sheet1!A:A,Sheet1!C:C)</f>
        <v>10</v>
      </c>
      <c r="E392">
        <f>_xlfn.XLOOKUP(B392,Sheet1!A:A,Sheet1!D:D)</f>
        <v>4</v>
      </c>
      <c r="F392">
        <f>_xlfn.XLOOKUP(Sheet3!B392,Sheet1!A:A,Sheet1!E:E)</f>
        <v>3.5</v>
      </c>
      <c r="G392">
        <f>_xlfn.XLOOKUP(B392,Sheet1!A:A,Sheet1!F:F)</f>
        <v>10</v>
      </c>
      <c r="H392" cm="1">
        <f t="array" aca="1" ref="H392" ca="1">INDEX(Sheet1!$G$2:$G$3, RANDBETWEEN(1, ROWS(Sheet1!$G$2:$G$3)))</f>
        <v>0</v>
      </c>
    </row>
    <row r="393" spans="1:8" x14ac:dyDescent="0.3">
      <c r="A393" s="2" t="str" cm="1">
        <f t="array" aca="1" ref="A393" ca="1">INDEX(Sheet1!$A$2:$A$46, RANDBETWEEN(1,ROWS(Sheet1!$A$2:$A$46)))</f>
        <v>B042</v>
      </c>
      <c r="B393" s="2" t="s">
        <v>81</v>
      </c>
      <c r="C393" t="str">
        <f>_xlfn.XLOOKUP(B393, Sheet1!A:A, Sheet1!B:B)</f>
        <v>red velvet square cake</v>
      </c>
      <c r="D393">
        <f>_xlfn.XLOOKUP(B393,Sheet1!A:A,Sheet1!C:C)</f>
        <v>8</v>
      </c>
      <c r="E393">
        <f>_xlfn.XLOOKUP(B393,Sheet1!A:A,Sheet1!D:D)</f>
        <v>2.5</v>
      </c>
      <c r="F393">
        <f>_xlfn.XLOOKUP(Sheet3!B393,Sheet1!A:A,Sheet1!E:E)</f>
        <v>2</v>
      </c>
      <c r="G393">
        <f>_xlfn.XLOOKUP(B393,Sheet1!A:A,Sheet1!F:F)</f>
        <v>5</v>
      </c>
      <c r="H393" t="str" cm="1">
        <f t="array" aca="1" ref="H393" ca="1">INDEX(Sheet1!$G$2:$G$3, RANDBETWEEN(1, ROWS(Sheet1!$G$2:$G$3)))</f>
        <v>No</v>
      </c>
    </row>
    <row r="394" spans="1:8" x14ac:dyDescent="0.3">
      <c r="A394" s="2" t="str" cm="1">
        <f t="array" aca="1" ref="A394" ca="1">INDEX(Sheet1!$A$2:$A$46, RANDBETWEEN(1,ROWS(Sheet1!$A$2:$A$46)))</f>
        <v>B005</v>
      </c>
      <c r="B394" s="2" t="s">
        <v>84</v>
      </c>
      <c r="C394" t="str">
        <f>_xlfn.XLOOKUP(B394, Sheet1!A:A, Sheet1!B:B)</f>
        <v>plain bagels</v>
      </c>
      <c r="D394">
        <f>_xlfn.XLOOKUP(B394,Sheet1!A:A,Sheet1!C:C)</f>
        <v>8</v>
      </c>
      <c r="E394">
        <f>_xlfn.XLOOKUP(B394,Sheet1!A:A,Sheet1!D:D)</f>
        <v>3.5</v>
      </c>
      <c r="F394">
        <f>_xlfn.XLOOKUP(Sheet3!B394,Sheet1!A:A,Sheet1!E:E)</f>
        <v>3</v>
      </c>
      <c r="G394">
        <f>_xlfn.XLOOKUP(B394,Sheet1!A:A,Sheet1!F:F)</f>
        <v>8</v>
      </c>
      <c r="H394" t="str" cm="1">
        <f t="array" aca="1" ref="H394" ca="1">INDEX(Sheet1!$G$2:$G$3, RANDBETWEEN(1, ROWS(Sheet1!$G$2:$G$3)))</f>
        <v>No</v>
      </c>
    </row>
    <row r="395" spans="1:8" x14ac:dyDescent="0.3">
      <c r="A395" s="2" t="str" cm="1">
        <f t="array" aca="1" ref="A395" ca="1">INDEX(Sheet1!$A$2:$A$46, RANDBETWEEN(1,ROWS(Sheet1!$A$2:$A$46)))</f>
        <v>B024</v>
      </c>
      <c r="B395" s="2" t="s">
        <v>83</v>
      </c>
      <c r="C395" t="str">
        <f>_xlfn.XLOOKUP(B395, Sheet1!A:A, Sheet1!B:B)</f>
        <v>pumpkin spice muffins</v>
      </c>
      <c r="D395">
        <f>_xlfn.XLOOKUP(B395,Sheet1!A:A,Sheet1!C:C)</f>
        <v>10</v>
      </c>
      <c r="E395">
        <f>_xlfn.XLOOKUP(B395,Sheet1!A:A,Sheet1!D:D)</f>
        <v>4.5</v>
      </c>
      <c r="F395">
        <f>_xlfn.XLOOKUP(Sheet3!B395,Sheet1!A:A,Sheet1!E:E)</f>
        <v>4</v>
      </c>
      <c r="G395">
        <f>_xlfn.XLOOKUP(B395,Sheet1!A:A,Sheet1!F:F)</f>
        <v>10</v>
      </c>
      <c r="H395" cm="1">
        <f t="array" aca="1" ref="H395" ca="1">INDEX(Sheet1!$G$2:$G$3, RANDBETWEEN(1, ROWS(Sheet1!$G$2:$G$3)))</f>
        <v>0</v>
      </c>
    </row>
    <row r="396" spans="1:8" x14ac:dyDescent="0.3">
      <c r="A396" s="2" t="str" cm="1">
        <f t="array" aca="1" ref="A396" ca="1">INDEX(Sheet1!$A$2:$A$46, RANDBETWEEN(1,ROWS(Sheet1!$A$2:$A$46)))</f>
        <v>B001</v>
      </c>
      <c r="B396" s="2" t="s">
        <v>64</v>
      </c>
      <c r="C396" t="str">
        <f>_xlfn.XLOOKUP(B396, Sheet1!A:A, Sheet1!B:B)</f>
        <v>marble bread</v>
      </c>
      <c r="D396">
        <f>_xlfn.XLOOKUP(B396,Sheet1!A:A,Sheet1!C:C)</f>
        <v>8</v>
      </c>
      <c r="E396">
        <f>_xlfn.XLOOKUP(B396,Sheet1!A:A,Sheet1!D:D)</f>
        <v>3.5</v>
      </c>
      <c r="F396">
        <f>_xlfn.XLOOKUP(Sheet3!B396,Sheet1!A:A,Sheet1!E:E)</f>
        <v>3</v>
      </c>
      <c r="G396">
        <f>_xlfn.XLOOKUP(B396,Sheet1!A:A,Sheet1!F:F)</f>
        <v>8</v>
      </c>
      <c r="H396" t="str" cm="1">
        <f t="array" aca="1" ref="H396" ca="1">INDEX(Sheet1!$G$2:$G$3, RANDBETWEEN(1, ROWS(Sheet1!$G$2:$G$3)))</f>
        <v>No</v>
      </c>
    </row>
    <row r="397" spans="1:8" x14ac:dyDescent="0.3">
      <c r="A397" s="2" t="str" cm="1">
        <f t="array" aca="1" ref="A397" ca="1">INDEX(Sheet1!$A$2:$A$46, RANDBETWEEN(1,ROWS(Sheet1!$A$2:$A$46)))</f>
        <v>B012</v>
      </c>
      <c r="B397" s="2" t="s">
        <v>56</v>
      </c>
      <c r="C397" t="str">
        <f>_xlfn.XLOOKUP(B397, Sheet1!A:A, Sheet1!B:B)</f>
        <v>assorted cupcakes </v>
      </c>
      <c r="D397">
        <f>_xlfn.XLOOKUP(B397,Sheet1!A:A,Sheet1!C:C)</f>
        <v>8</v>
      </c>
      <c r="E397">
        <f>_xlfn.XLOOKUP(B397,Sheet1!A:A,Sheet1!D:D)</f>
        <v>6</v>
      </c>
      <c r="F397">
        <f>_xlfn.XLOOKUP(Sheet3!B397,Sheet1!A:A,Sheet1!E:E)</f>
        <v>5.5</v>
      </c>
      <c r="G397">
        <f>_xlfn.XLOOKUP(B397,Sheet1!A:A,Sheet1!F:F)</f>
        <v>20</v>
      </c>
      <c r="H397" t="str" cm="1">
        <f t="array" aca="1" ref="H397" ca="1">INDEX(Sheet1!$G$2:$G$3, RANDBETWEEN(1, ROWS(Sheet1!$G$2:$G$3)))</f>
        <v>No</v>
      </c>
    </row>
    <row r="398" spans="1:8" x14ac:dyDescent="0.3">
      <c r="A398" s="2" t="str" cm="1">
        <f t="array" aca="1" ref="A398" ca="1">INDEX(Sheet1!$A$2:$A$46, RANDBETWEEN(1,ROWS(Sheet1!$A$2:$A$46)))</f>
        <v>B013</v>
      </c>
      <c r="B398" s="2" t="s">
        <v>89</v>
      </c>
      <c r="C398" t="str">
        <f>_xlfn.XLOOKUP(B398, Sheet1!A:A, Sheet1!B:B)</f>
        <v>blueberry bagels</v>
      </c>
      <c r="D398">
        <f>_xlfn.XLOOKUP(B398,Sheet1!A:A,Sheet1!C:C)</f>
        <v>8</v>
      </c>
      <c r="E398">
        <f>_xlfn.XLOOKUP(B398,Sheet1!A:A,Sheet1!D:D)</f>
        <v>3.5</v>
      </c>
      <c r="F398">
        <f>_xlfn.XLOOKUP(Sheet3!B398,Sheet1!A:A,Sheet1!E:E)</f>
        <v>3</v>
      </c>
      <c r="G398">
        <f>_xlfn.XLOOKUP(B398,Sheet1!A:A,Sheet1!F:F)</f>
        <v>8</v>
      </c>
      <c r="H398" cm="1">
        <f t="array" aca="1" ref="H398" ca="1">INDEX(Sheet1!$G$2:$G$3, RANDBETWEEN(1, ROWS(Sheet1!$G$2:$G$3)))</f>
        <v>0</v>
      </c>
    </row>
    <row r="399" spans="1:8" x14ac:dyDescent="0.3">
      <c r="A399" s="2" t="str" cm="1">
        <f t="array" aca="1" ref="A399" ca="1">INDEX(Sheet1!$A$2:$A$46, RANDBETWEEN(1,ROWS(Sheet1!$A$2:$A$46)))</f>
        <v>B041</v>
      </c>
      <c r="B399" s="2" t="s">
        <v>21</v>
      </c>
      <c r="C399" t="str">
        <f>_xlfn.XLOOKUP(B399, Sheet1!A:A, Sheet1!B:B)</f>
        <v>butter cake</v>
      </c>
      <c r="D399">
        <f>_xlfn.XLOOKUP(B399,Sheet1!A:A,Sheet1!C:C)</f>
        <v>8</v>
      </c>
      <c r="E399">
        <f>_xlfn.XLOOKUP(B399,Sheet1!A:A,Sheet1!D:D)</f>
        <v>4</v>
      </c>
      <c r="F399">
        <f>_xlfn.XLOOKUP(Sheet3!B399,Sheet1!A:A,Sheet1!E:E)</f>
        <v>3</v>
      </c>
      <c r="G399">
        <f>_xlfn.XLOOKUP(B399,Sheet1!A:A,Sheet1!F:F)</f>
        <v>14</v>
      </c>
      <c r="H399" t="str" cm="1">
        <f t="array" aca="1" ref="H399" ca="1">INDEX(Sheet1!$G$2:$G$3, RANDBETWEEN(1, ROWS(Sheet1!$G$2:$G$3)))</f>
        <v>No</v>
      </c>
    </row>
    <row r="400" spans="1:8" x14ac:dyDescent="0.3">
      <c r="A400" s="2" t="str" cm="1">
        <f t="array" aca="1" ref="A400" ca="1">INDEX(Sheet1!$A$2:$A$46, RANDBETWEEN(1,ROWS(Sheet1!$A$2:$A$46)))</f>
        <v>B007</v>
      </c>
      <c r="B400" s="2" t="s">
        <v>89</v>
      </c>
      <c r="C400" t="str">
        <f>_xlfn.XLOOKUP(B400, Sheet1!A:A, Sheet1!B:B)</f>
        <v>blueberry bagels</v>
      </c>
      <c r="D400">
        <f>_xlfn.XLOOKUP(B400,Sheet1!A:A,Sheet1!C:C)</f>
        <v>8</v>
      </c>
      <c r="E400">
        <f>_xlfn.XLOOKUP(B400,Sheet1!A:A,Sheet1!D:D)</f>
        <v>3.5</v>
      </c>
      <c r="F400">
        <f>_xlfn.XLOOKUP(Sheet3!B400,Sheet1!A:A,Sheet1!E:E)</f>
        <v>3</v>
      </c>
      <c r="G400">
        <f>_xlfn.XLOOKUP(B400,Sheet1!A:A,Sheet1!F:F)</f>
        <v>8</v>
      </c>
      <c r="H400" t="str" cm="1">
        <f t="array" aca="1" ref="H400" ca="1">INDEX(Sheet1!$G$2:$G$3, RANDBETWEEN(1, ROWS(Sheet1!$G$2:$G$3)))</f>
        <v>No</v>
      </c>
    </row>
    <row r="401" spans="1:8" x14ac:dyDescent="0.3">
      <c r="A401" s="2" t="str" cm="1">
        <f t="array" aca="1" ref="A401" ca="1">INDEX(Sheet1!$A$2:$A$46, RANDBETWEEN(1,ROWS(Sheet1!$A$2:$A$46)))</f>
        <v>B003</v>
      </c>
      <c r="B401" s="2" t="s">
        <v>55</v>
      </c>
      <c r="C401" t="str">
        <f>_xlfn.XLOOKUP(B401, Sheet1!A:A, Sheet1!B:B)</f>
        <v>cookies &amp; creme cake</v>
      </c>
      <c r="D401">
        <f>_xlfn.XLOOKUP(B401,Sheet1!A:A,Sheet1!C:C)</f>
        <v>4</v>
      </c>
      <c r="E401">
        <f>_xlfn.XLOOKUP(B401,Sheet1!A:A,Sheet1!D:D)</f>
        <v>8.5</v>
      </c>
      <c r="F401">
        <f>_xlfn.XLOOKUP(Sheet3!B401,Sheet1!A:A,Sheet1!E:E)</f>
        <v>6</v>
      </c>
      <c r="G401">
        <f>_xlfn.XLOOKUP(B401,Sheet1!A:A,Sheet1!F:F)</f>
        <v>7</v>
      </c>
      <c r="H401" t="str" cm="1">
        <f t="array" aca="1" ref="H401" ca="1">INDEX(Sheet1!$G$2:$G$3, RANDBETWEEN(1, ROWS(Sheet1!$G$2:$G$3)))</f>
        <v>No</v>
      </c>
    </row>
    <row r="402" spans="1:8" x14ac:dyDescent="0.3">
      <c r="A402" s="2" t="str" cm="1">
        <f t="array" aca="1" ref="A402" ca="1">INDEX(Sheet1!$A$2:$A$46, RANDBETWEEN(1,ROWS(Sheet1!$A$2:$A$46)))</f>
        <v>B033</v>
      </c>
      <c r="B402" s="2" t="s">
        <v>22</v>
      </c>
      <c r="C402" t="str">
        <f>_xlfn.XLOOKUP(B402, Sheet1!A:A, Sheet1!B:B)</f>
        <v>chocolate chip cookies</v>
      </c>
      <c r="D402">
        <f>_xlfn.XLOOKUP(B402,Sheet1!A:A,Sheet1!C:C)</f>
        <v>12</v>
      </c>
      <c r="E402">
        <f>_xlfn.XLOOKUP(B402,Sheet1!A:A,Sheet1!D:D)</f>
        <v>3.5</v>
      </c>
      <c r="F402">
        <f>_xlfn.XLOOKUP(Sheet3!B402,Sheet1!A:A,Sheet1!E:E)</f>
        <v>3</v>
      </c>
      <c r="G402">
        <f>_xlfn.XLOOKUP(B402,Sheet1!A:A,Sheet1!F:F)</f>
        <v>14</v>
      </c>
      <c r="H402" t="str" cm="1">
        <f t="array" aca="1" ref="H402" ca="1">INDEX(Sheet1!$G$2:$G$3, RANDBETWEEN(1, ROWS(Sheet1!$G$2:$G$3)))</f>
        <v>No</v>
      </c>
    </row>
    <row r="403" spans="1:8" x14ac:dyDescent="0.3">
      <c r="A403" s="2" t="str" cm="1">
        <f t="array" aca="1" ref="A403" ca="1">INDEX(Sheet1!$A$2:$A$46, RANDBETWEEN(1,ROWS(Sheet1!$A$2:$A$46)))</f>
        <v>B002</v>
      </c>
      <c r="B403" s="2" t="s">
        <v>63</v>
      </c>
      <c r="C403" t="str">
        <f>_xlfn.XLOOKUP(B403, Sheet1!A:A, Sheet1!B:B)</f>
        <v>chocolate sliced loaf cake</v>
      </c>
      <c r="D403">
        <f>_xlfn.XLOOKUP(B403,Sheet1!A:A,Sheet1!C:C)</f>
        <v>10</v>
      </c>
      <c r="E403">
        <f>_xlfn.XLOOKUP(B403,Sheet1!A:A,Sheet1!D:D)</f>
        <v>4</v>
      </c>
      <c r="F403">
        <f>_xlfn.XLOOKUP(Sheet3!B403,Sheet1!A:A,Sheet1!E:E)</f>
        <v>3.5</v>
      </c>
      <c r="G403">
        <f>_xlfn.XLOOKUP(B403,Sheet1!A:A,Sheet1!F:F)</f>
        <v>10</v>
      </c>
      <c r="H403" t="str" cm="1">
        <f t="array" aca="1" ref="H403" ca="1">INDEX(Sheet1!$G$2:$G$3, RANDBETWEEN(1, ROWS(Sheet1!$G$2:$G$3)))</f>
        <v>No</v>
      </c>
    </row>
    <row r="404" spans="1:8" x14ac:dyDescent="0.3">
      <c r="A404" s="2" t="str" cm="1">
        <f t="array" aca="1" ref="A404" ca="1">INDEX(Sheet1!$A$2:$A$46, RANDBETWEEN(1,ROWS(Sheet1!$A$2:$A$46)))</f>
        <v>B024</v>
      </c>
      <c r="B404" s="2" t="s">
        <v>63</v>
      </c>
      <c r="C404" t="str">
        <f>_xlfn.XLOOKUP(B404, Sheet1!A:A, Sheet1!B:B)</f>
        <v>chocolate sliced loaf cake</v>
      </c>
      <c r="D404">
        <f>_xlfn.XLOOKUP(B404,Sheet1!A:A,Sheet1!C:C)</f>
        <v>10</v>
      </c>
      <c r="E404">
        <f>_xlfn.XLOOKUP(B404,Sheet1!A:A,Sheet1!D:D)</f>
        <v>4</v>
      </c>
      <c r="F404">
        <f>_xlfn.XLOOKUP(Sheet3!B404,Sheet1!A:A,Sheet1!E:E)</f>
        <v>3.5</v>
      </c>
      <c r="G404">
        <f>_xlfn.XLOOKUP(B404,Sheet1!A:A,Sheet1!F:F)</f>
        <v>10</v>
      </c>
      <c r="H404" cm="1">
        <f t="array" aca="1" ref="H404" ca="1">INDEX(Sheet1!$G$2:$G$3, RANDBETWEEN(1, ROWS(Sheet1!$G$2:$G$3)))</f>
        <v>0</v>
      </c>
    </row>
    <row r="405" spans="1:8" x14ac:dyDescent="0.3">
      <c r="A405" s="2" t="str" cm="1">
        <f t="array" aca="1" ref="A405" ca="1">INDEX(Sheet1!$A$2:$A$46, RANDBETWEEN(1,ROWS(Sheet1!$A$2:$A$46)))</f>
        <v>B028</v>
      </c>
      <c r="B405" s="2" t="s">
        <v>84</v>
      </c>
      <c r="C405" t="str">
        <f>_xlfn.XLOOKUP(B405, Sheet1!A:A, Sheet1!B:B)</f>
        <v>plain bagels</v>
      </c>
      <c r="D405">
        <f>_xlfn.XLOOKUP(B405,Sheet1!A:A,Sheet1!C:C)</f>
        <v>8</v>
      </c>
      <c r="E405">
        <f>_xlfn.XLOOKUP(B405,Sheet1!A:A,Sheet1!D:D)</f>
        <v>3.5</v>
      </c>
      <c r="F405">
        <f>_xlfn.XLOOKUP(Sheet3!B405,Sheet1!A:A,Sheet1!E:E)</f>
        <v>3</v>
      </c>
      <c r="G405">
        <f>_xlfn.XLOOKUP(B405,Sheet1!A:A,Sheet1!F:F)</f>
        <v>8</v>
      </c>
      <c r="H405" cm="1">
        <f t="array" aca="1" ref="H405" ca="1">INDEX(Sheet1!$G$2:$G$3, RANDBETWEEN(1, ROWS(Sheet1!$G$2:$G$3)))</f>
        <v>0</v>
      </c>
    </row>
    <row r="406" spans="1:8" x14ac:dyDescent="0.3">
      <c r="A406" s="2" t="str" cm="1">
        <f t="array" aca="1" ref="A406" ca="1">INDEX(Sheet1!$A$2:$A$46, RANDBETWEEN(1,ROWS(Sheet1!$A$2:$A$46)))</f>
        <v>B002</v>
      </c>
      <c r="B406" s="2" t="s">
        <v>22</v>
      </c>
      <c r="C406" t="str">
        <f>_xlfn.XLOOKUP(B406, Sheet1!A:A, Sheet1!B:B)</f>
        <v>chocolate chip cookies</v>
      </c>
      <c r="D406">
        <f>_xlfn.XLOOKUP(B406,Sheet1!A:A,Sheet1!C:C)</f>
        <v>12</v>
      </c>
      <c r="E406">
        <f>_xlfn.XLOOKUP(B406,Sheet1!A:A,Sheet1!D:D)</f>
        <v>3.5</v>
      </c>
      <c r="F406">
        <f>_xlfn.XLOOKUP(Sheet3!B406,Sheet1!A:A,Sheet1!E:E)</f>
        <v>3</v>
      </c>
      <c r="G406">
        <f>_xlfn.XLOOKUP(B406,Sheet1!A:A,Sheet1!F:F)</f>
        <v>14</v>
      </c>
      <c r="H406" cm="1">
        <f t="array" aca="1" ref="H406" ca="1">INDEX(Sheet1!$G$2:$G$3, RANDBETWEEN(1, ROWS(Sheet1!$G$2:$G$3)))</f>
        <v>0</v>
      </c>
    </row>
    <row r="407" spans="1:8" x14ac:dyDescent="0.3">
      <c r="A407" s="2" t="str" cm="1">
        <f t="array" aca="1" ref="A407" ca="1">INDEX(Sheet1!$A$2:$A$46, RANDBETWEEN(1,ROWS(Sheet1!$A$2:$A$46)))</f>
        <v>B037</v>
      </c>
      <c r="B407" s="2" t="s">
        <v>21</v>
      </c>
      <c r="C407" t="str">
        <f>_xlfn.XLOOKUP(B407, Sheet1!A:A, Sheet1!B:B)</f>
        <v>butter cake</v>
      </c>
      <c r="D407">
        <f>_xlfn.XLOOKUP(B407,Sheet1!A:A,Sheet1!C:C)</f>
        <v>8</v>
      </c>
      <c r="E407">
        <f>_xlfn.XLOOKUP(B407,Sheet1!A:A,Sheet1!D:D)</f>
        <v>4</v>
      </c>
      <c r="F407">
        <f>_xlfn.XLOOKUP(Sheet3!B407,Sheet1!A:A,Sheet1!E:E)</f>
        <v>3</v>
      </c>
      <c r="G407">
        <f>_xlfn.XLOOKUP(B407,Sheet1!A:A,Sheet1!F:F)</f>
        <v>14</v>
      </c>
      <c r="H407" cm="1">
        <f t="array" aca="1" ref="H407" ca="1">INDEX(Sheet1!$G$2:$G$3, RANDBETWEEN(1, ROWS(Sheet1!$G$2:$G$3)))</f>
        <v>0</v>
      </c>
    </row>
    <row r="408" spans="1:8" x14ac:dyDescent="0.3">
      <c r="A408" s="2" t="str" cm="1">
        <f t="array" aca="1" ref="A408" ca="1">INDEX(Sheet1!$A$2:$A$46, RANDBETWEEN(1,ROWS(Sheet1!$A$2:$A$46)))</f>
        <v>B021</v>
      </c>
      <c r="B408" s="2" t="s">
        <v>67</v>
      </c>
      <c r="C408" t="str">
        <f>_xlfn.XLOOKUP(B408, Sheet1!A:A, Sheet1!B:B)</f>
        <v>seeded bread</v>
      </c>
      <c r="D408">
        <f>_xlfn.XLOOKUP(B408,Sheet1!A:A,Sheet1!C:C)</f>
        <v>8</v>
      </c>
      <c r="E408">
        <f>_xlfn.XLOOKUP(B408,Sheet1!A:A,Sheet1!D:D)</f>
        <v>3.5</v>
      </c>
      <c r="F408">
        <f>_xlfn.XLOOKUP(Sheet3!B408,Sheet1!A:A,Sheet1!E:E)</f>
        <v>3</v>
      </c>
      <c r="G408">
        <f>_xlfn.XLOOKUP(B408,Sheet1!A:A,Sheet1!F:F)</f>
        <v>8</v>
      </c>
      <c r="H408" t="str" cm="1">
        <f t="array" aca="1" ref="H408" ca="1">INDEX(Sheet1!$G$2:$G$3, RANDBETWEEN(1, ROWS(Sheet1!$G$2:$G$3)))</f>
        <v>No</v>
      </c>
    </row>
    <row r="409" spans="1:8" x14ac:dyDescent="0.3">
      <c r="A409" s="2" t="str" cm="1">
        <f t="array" aca="1" ref="A409" ca="1">INDEX(Sheet1!$A$2:$A$46, RANDBETWEEN(1,ROWS(Sheet1!$A$2:$A$46)))</f>
        <v>B019</v>
      </c>
      <c r="B409" s="2" t="s">
        <v>60</v>
      </c>
      <c r="C409" t="str">
        <f>_xlfn.XLOOKUP(B409, Sheet1!A:A, Sheet1!B:B)</f>
        <v>banana nut sliced loaf cake</v>
      </c>
      <c r="D409">
        <f>_xlfn.XLOOKUP(B409,Sheet1!A:A,Sheet1!C:C)</f>
        <v>10</v>
      </c>
      <c r="E409">
        <f>_xlfn.XLOOKUP(B409,Sheet1!A:A,Sheet1!D:D)</f>
        <v>4</v>
      </c>
      <c r="F409">
        <f>_xlfn.XLOOKUP(Sheet3!B409,Sheet1!A:A,Sheet1!E:E)</f>
        <v>3.5</v>
      </c>
      <c r="G409">
        <f>_xlfn.XLOOKUP(B409,Sheet1!A:A,Sheet1!F:F)</f>
        <v>10</v>
      </c>
      <c r="H409" t="str" cm="1">
        <f t="array" aca="1" ref="H409" ca="1">INDEX(Sheet1!$G$2:$G$3, RANDBETWEEN(1, ROWS(Sheet1!$G$2:$G$3)))</f>
        <v>No</v>
      </c>
    </row>
    <row r="410" spans="1:8" x14ac:dyDescent="0.3">
      <c r="A410" s="2" t="str" cm="1">
        <f t="array" aca="1" ref="A410" ca="1">INDEX(Sheet1!$A$2:$A$46, RANDBETWEEN(1,ROWS(Sheet1!$A$2:$A$46)))</f>
        <v>B026</v>
      </c>
      <c r="B410" s="2" t="s">
        <v>80</v>
      </c>
      <c r="C410" t="str">
        <f>_xlfn.XLOOKUP(B410, Sheet1!A:A, Sheet1!B:B)</f>
        <v>carrot square cake</v>
      </c>
      <c r="D410">
        <f>_xlfn.XLOOKUP(B410,Sheet1!A:A,Sheet1!C:C)</f>
        <v>8</v>
      </c>
      <c r="E410">
        <f>_xlfn.XLOOKUP(B410,Sheet1!A:A,Sheet1!D:D)</f>
        <v>2.5</v>
      </c>
      <c r="F410">
        <f>_xlfn.XLOOKUP(Sheet3!B410,Sheet1!A:A,Sheet1!E:E)</f>
        <v>2</v>
      </c>
      <c r="G410">
        <f>_xlfn.XLOOKUP(B410,Sheet1!A:A,Sheet1!F:F)</f>
        <v>5</v>
      </c>
      <c r="H410" cm="1">
        <f t="array" aca="1" ref="H410" ca="1">INDEX(Sheet1!$G$2:$G$3, RANDBETWEEN(1, ROWS(Sheet1!$G$2:$G$3)))</f>
        <v>0</v>
      </c>
    </row>
    <row r="411" spans="1:8" x14ac:dyDescent="0.3">
      <c r="A411" s="2" t="str" cm="1">
        <f t="array" aca="1" ref="A411" ca="1">INDEX(Sheet1!$A$2:$A$46, RANDBETWEEN(1,ROWS(Sheet1!$A$2:$A$46)))</f>
        <v>B020</v>
      </c>
      <c r="B411" s="2" t="s">
        <v>16</v>
      </c>
      <c r="C411" t="str">
        <f>_xlfn.XLOOKUP(B411, Sheet1!A:A, Sheet1!B:B)</f>
        <v>mini croissant</v>
      </c>
      <c r="D411">
        <f>_xlfn.XLOOKUP(B411,Sheet1!A:A,Sheet1!C:C)</f>
        <v>10</v>
      </c>
      <c r="E411">
        <f>_xlfn.XLOOKUP(B411,Sheet1!A:A,Sheet1!D:D)</f>
        <v>5.5</v>
      </c>
      <c r="F411">
        <f>_xlfn.XLOOKUP(Sheet3!B411,Sheet1!A:A,Sheet1!E:E)</f>
        <v>4.5</v>
      </c>
      <c r="G411">
        <f>_xlfn.XLOOKUP(B411,Sheet1!A:A,Sheet1!F:F)</f>
        <v>7</v>
      </c>
      <c r="H411" t="str" cm="1">
        <f t="array" aca="1" ref="H411" ca="1">INDEX(Sheet1!$G$2:$G$3, RANDBETWEEN(1, ROWS(Sheet1!$G$2:$G$3)))</f>
        <v>No</v>
      </c>
    </row>
    <row r="412" spans="1:8" x14ac:dyDescent="0.3">
      <c r="A412" s="2" t="str" cm="1">
        <f t="array" aca="1" ref="A412" ca="1">INDEX(Sheet1!$A$2:$A$46, RANDBETWEEN(1,ROWS(Sheet1!$A$2:$A$46)))</f>
        <v>B021</v>
      </c>
      <c r="B412" s="2" t="s">
        <v>78</v>
      </c>
      <c r="C412" t="str">
        <f>_xlfn.XLOOKUP(B412, Sheet1!A:A, Sheet1!B:B)</f>
        <v>caramel pie</v>
      </c>
      <c r="D412">
        <f>_xlfn.XLOOKUP(B412,Sheet1!A:A,Sheet1!C:C)</f>
        <v>6</v>
      </c>
      <c r="E412">
        <f>_xlfn.XLOOKUP(B412,Sheet1!A:A,Sheet1!D:D)</f>
        <v>4</v>
      </c>
      <c r="F412">
        <f>_xlfn.XLOOKUP(Sheet3!B412,Sheet1!A:A,Sheet1!E:E)</f>
        <v>3</v>
      </c>
      <c r="G412">
        <f>_xlfn.XLOOKUP(B412,Sheet1!A:A,Sheet1!F:F)</f>
        <v>7</v>
      </c>
      <c r="H412" t="str" cm="1">
        <f t="array" aca="1" ref="H412" ca="1">INDEX(Sheet1!$G$2:$G$3, RANDBETWEEN(1, ROWS(Sheet1!$G$2:$G$3)))</f>
        <v>No</v>
      </c>
    </row>
    <row r="413" spans="1:8" x14ac:dyDescent="0.3">
      <c r="A413" s="2" t="str" cm="1">
        <f t="array" aca="1" ref="A413" ca="1">INDEX(Sheet1!$A$2:$A$46, RANDBETWEEN(1,ROWS(Sheet1!$A$2:$A$46)))</f>
        <v>B033</v>
      </c>
      <c r="B413" s="2" t="s">
        <v>81</v>
      </c>
      <c r="C413" t="str">
        <f>_xlfn.XLOOKUP(B413, Sheet1!A:A, Sheet1!B:B)</f>
        <v>red velvet square cake</v>
      </c>
      <c r="D413">
        <f>_xlfn.XLOOKUP(B413,Sheet1!A:A,Sheet1!C:C)</f>
        <v>8</v>
      </c>
      <c r="E413">
        <f>_xlfn.XLOOKUP(B413,Sheet1!A:A,Sheet1!D:D)</f>
        <v>2.5</v>
      </c>
      <c r="F413">
        <f>_xlfn.XLOOKUP(Sheet3!B413,Sheet1!A:A,Sheet1!E:E)</f>
        <v>2</v>
      </c>
      <c r="G413">
        <f>_xlfn.XLOOKUP(B413,Sheet1!A:A,Sheet1!F:F)</f>
        <v>5</v>
      </c>
      <c r="H413" cm="1">
        <f t="array" aca="1" ref="H413" ca="1">INDEX(Sheet1!$G$2:$G$3, RANDBETWEEN(1, ROWS(Sheet1!$G$2:$G$3)))</f>
        <v>0</v>
      </c>
    </row>
    <row r="414" spans="1:8" x14ac:dyDescent="0.3">
      <c r="A414" s="2" t="str" cm="1">
        <f t="array" aca="1" ref="A414" ca="1">INDEX(Sheet1!$A$2:$A$46, RANDBETWEEN(1,ROWS(Sheet1!$A$2:$A$46)))</f>
        <v>B015</v>
      </c>
      <c r="B414" s="2" t="s">
        <v>79</v>
      </c>
      <c r="C414" t="str">
        <f>_xlfn.XLOOKUP(B414, Sheet1!A:A, Sheet1!B:B)</f>
        <v>chocolate square cake</v>
      </c>
      <c r="D414">
        <f>_xlfn.XLOOKUP(B414,Sheet1!A:A,Sheet1!C:C)</f>
        <v>8</v>
      </c>
      <c r="E414">
        <f>_xlfn.XLOOKUP(B414,Sheet1!A:A,Sheet1!D:D)</f>
        <v>2.5</v>
      </c>
      <c r="F414">
        <f>_xlfn.XLOOKUP(Sheet3!B414,Sheet1!A:A,Sheet1!E:E)</f>
        <v>2</v>
      </c>
      <c r="G414">
        <f>_xlfn.XLOOKUP(B414,Sheet1!A:A,Sheet1!F:F)</f>
        <v>5</v>
      </c>
      <c r="H414" t="str" cm="1">
        <f t="array" aca="1" ref="H414" ca="1">INDEX(Sheet1!$G$2:$G$3, RANDBETWEEN(1, ROWS(Sheet1!$G$2:$G$3)))</f>
        <v>No</v>
      </c>
    </row>
    <row r="415" spans="1:8" x14ac:dyDescent="0.3">
      <c r="A415" s="2" t="str" cm="1">
        <f t="array" aca="1" ref="A415" ca="1">INDEX(Sheet1!$A$2:$A$46, RANDBETWEEN(1,ROWS(Sheet1!$A$2:$A$46)))</f>
        <v>B030</v>
      </c>
      <c r="B415" s="2" t="s">
        <v>71</v>
      </c>
      <c r="C415" t="str">
        <f>_xlfn.XLOOKUP(B415, Sheet1!A:A, Sheet1!B:B)</f>
        <v>blueberry pie</v>
      </c>
      <c r="D415">
        <f>_xlfn.XLOOKUP(B415,Sheet1!A:A,Sheet1!C:C)</f>
        <v>6</v>
      </c>
      <c r="E415">
        <f>_xlfn.XLOOKUP(B415,Sheet1!A:A,Sheet1!D:D)</f>
        <v>4</v>
      </c>
      <c r="F415">
        <f>_xlfn.XLOOKUP(Sheet3!B415,Sheet1!A:A,Sheet1!E:E)</f>
        <v>3</v>
      </c>
      <c r="G415">
        <f>_xlfn.XLOOKUP(B415,Sheet1!A:A,Sheet1!F:F)</f>
        <v>7</v>
      </c>
      <c r="H415" t="str" cm="1">
        <f t="array" aca="1" ref="H415" ca="1">INDEX(Sheet1!$G$2:$G$3, RANDBETWEEN(1, ROWS(Sheet1!$G$2:$G$3)))</f>
        <v>No</v>
      </c>
    </row>
    <row r="416" spans="1:8" x14ac:dyDescent="0.3">
      <c r="A416" s="2" t="str" cm="1">
        <f t="array" aca="1" ref="A416" ca="1">INDEX(Sheet1!$A$2:$A$46, RANDBETWEEN(1,ROWS(Sheet1!$A$2:$A$46)))</f>
        <v>B029</v>
      </c>
      <c r="B416" s="2" t="s">
        <v>56</v>
      </c>
      <c r="C416" t="str">
        <f>_xlfn.XLOOKUP(B416, Sheet1!A:A, Sheet1!B:B)</f>
        <v>assorted cupcakes </v>
      </c>
      <c r="D416">
        <f>_xlfn.XLOOKUP(B416,Sheet1!A:A,Sheet1!C:C)</f>
        <v>8</v>
      </c>
      <c r="E416">
        <f>_xlfn.XLOOKUP(B416,Sheet1!A:A,Sheet1!D:D)</f>
        <v>6</v>
      </c>
      <c r="F416">
        <f>_xlfn.XLOOKUP(Sheet3!B416,Sheet1!A:A,Sheet1!E:E)</f>
        <v>5.5</v>
      </c>
      <c r="G416">
        <f>_xlfn.XLOOKUP(B416,Sheet1!A:A,Sheet1!F:F)</f>
        <v>20</v>
      </c>
      <c r="H416" cm="1">
        <f t="array" aca="1" ref="H416" ca="1">INDEX(Sheet1!$G$2:$G$3, RANDBETWEEN(1, ROWS(Sheet1!$G$2:$G$3)))</f>
        <v>0</v>
      </c>
    </row>
    <row r="417" spans="1:8" x14ac:dyDescent="0.3">
      <c r="A417" s="2" t="str" cm="1">
        <f t="array" aca="1" ref="A417" ca="1">INDEX(Sheet1!$A$2:$A$46, RANDBETWEEN(1,ROWS(Sheet1!$A$2:$A$46)))</f>
        <v>B020</v>
      </c>
      <c r="B417" s="2" t="s">
        <v>57</v>
      </c>
      <c r="C417" t="str">
        <f>_xlfn.XLOOKUP(B417, Sheet1!A:A, Sheet1!B:B)</f>
        <v>vanilla cupcakes</v>
      </c>
      <c r="D417">
        <f>_xlfn.XLOOKUP(B417,Sheet1!A:A,Sheet1!C:C)</f>
        <v>8</v>
      </c>
      <c r="E417">
        <f>_xlfn.XLOOKUP(B417,Sheet1!A:A,Sheet1!D:D)</f>
        <v>6</v>
      </c>
      <c r="F417">
        <f>_xlfn.XLOOKUP(Sheet3!B417,Sheet1!A:A,Sheet1!E:E)</f>
        <v>5.5</v>
      </c>
      <c r="G417">
        <f>_xlfn.XLOOKUP(B417,Sheet1!A:A,Sheet1!F:F)</f>
        <v>20</v>
      </c>
      <c r="H417" t="str" cm="1">
        <f t="array" aca="1" ref="H417" ca="1">INDEX(Sheet1!$G$2:$G$3, RANDBETWEEN(1, ROWS(Sheet1!$G$2:$G$3)))</f>
        <v>No</v>
      </c>
    </row>
    <row r="418" spans="1:8" x14ac:dyDescent="0.3">
      <c r="A418" s="2" t="str" cm="1">
        <f t="array" aca="1" ref="A418" ca="1">INDEX(Sheet1!$A$2:$A$46, RANDBETWEEN(1,ROWS(Sheet1!$A$2:$A$46)))</f>
        <v>B031</v>
      </c>
      <c r="B418" s="2" t="s">
        <v>84</v>
      </c>
      <c r="C418" t="str">
        <f>_xlfn.XLOOKUP(B418, Sheet1!A:A, Sheet1!B:B)</f>
        <v>plain bagels</v>
      </c>
      <c r="D418">
        <f>_xlfn.XLOOKUP(B418,Sheet1!A:A,Sheet1!C:C)</f>
        <v>8</v>
      </c>
      <c r="E418">
        <f>_xlfn.XLOOKUP(B418,Sheet1!A:A,Sheet1!D:D)</f>
        <v>3.5</v>
      </c>
      <c r="F418">
        <f>_xlfn.XLOOKUP(Sheet3!B418,Sheet1!A:A,Sheet1!E:E)</f>
        <v>3</v>
      </c>
      <c r="G418">
        <f>_xlfn.XLOOKUP(B418,Sheet1!A:A,Sheet1!F:F)</f>
        <v>8</v>
      </c>
      <c r="H418" cm="1">
        <f t="array" aca="1" ref="H418" ca="1">INDEX(Sheet1!$G$2:$G$3, RANDBETWEEN(1, ROWS(Sheet1!$G$2:$G$3)))</f>
        <v>0</v>
      </c>
    </row>
    <row r="419" spans="1:8" x14ac:dyDescent="0.3">
      <c r="A419" s="2" t="str" cm="1">
        <f t="array" aca="1" ref="A419" ca="1">INDEX(Sheet1!$A$2:$A$46, RANDBETWEEN(1,ROWS(Sheet1!$A$2:$A$46)))</f>
        <v>B019</v>
      </c>
      <c r="B419" s="2" t="s">
        <v>71</v>
      </c>
      <c r="C419" t="str">
        <f>_xlfn.XLOOKUP(B419, Sheet1!A:A, Sheet1!B:B)</f>
        <v>blueberry pie</v>
      </c>
      <c r="D419">
        <f>_xlfn.XLOOKUP(B419,Sheet1!A:A,Sheet1!C:C)</f>
        <v>6</v>
      </c>
      <c r="E419">
        <f>_xlfn.XLOOKUP(B419,Sheet1!A:A,Sheet1!D:D)</f>
        <v>4</v>
      </c>
      <c r="F419">
        <f>_xlfn.XLOOKUP(Sheet3!B419,Sheet1!A:A,Sheet1!E:E)</f>
        <v>3</v>
      </c>
      <c r="G419">
        <f>_xlfn.XLOOKUP(B419,Sheet1!A:A,Sheet1!F:F)</f>
        <v>7</v>
      </c>
      <c r="H419" t="str" cm="1">
        <f t="array" aca="1" ref="H419" ca="1">INDEX(Sheet1!$G$2:$G$3, RANDBETWEEN(1, ROWS(Sheet1!$G$2:$G$3)))</f>
        <v>No</v>
      </c>
    </row>
    <row r="420" spans="1:8" x14ac:dyDescent="0.3">
      <c r="A420" s="2" t="str" cm="1">
        <f t="array" aca="1" ref="A420" ca="1">INDEX(Sheet1!$A$2:$A$46, RANDBETWEEN(1,ROWS(Sheet1!$A$2:$A$46)))</f>
        <v>B042</v>
      </c>
      <c r="B420" s="2" t="s">
        <v>35</v>
      </c>
      <c r="C420" t="str">
        <f>_xlfn.XLOOKUP(B420, Sheet1!A:A, Sheet1!B:B)</f>
        <v>orange pound</v>
      </c>
      <c r="D420">
        <f>_xlfn.XLOOKUP(B420,Sheet1!A:A,Sheet1!C:C)</f>
        <v>8</v>
      </c>
      <c r="E420">
        <f>_xlfn.XLOOKUP(B420,Sheet1!A:A,Sheet1!D:D)</f>
        <v>3.5</v>
      </c>
      <c r="F420">
        <f>_xlfn.XLOOKUP(Sheet3!B420,Sheet1!A:A,Sheet1!E:E)</f>
        <v>3</v>
      </c>
      <c r="G420">
        <f>_xlfn.XLOOKUP(B420,Sheet1!A:A,Sheet1!F:F)</f>
        <v>14</v>
      </c>
      <c r="H420" t="str" cm="1">
        <f t="array" aca="1" ref="H420" ca="1">INDEX(Sheet1!$G$2:$G$3, RANDBETWEEN(1, ROWS(Sheet1!$G$2:$G$3)))</f>
        <v>No</v>
      </c>
    </row>
    <row r="421" spans="1:8" x14ac:dyDescent="0.3">
      <c r="A421" s="2" t="str" cm="1">
        <f t="array" aca="1" ref="A421" ca="1">INDEX(Sheet1!$A$2:$A$46, RANDBETWEEN(1,ROWS(Sheet1!$A$2:$A$46)))</f>
        <v>B013</v>
      </c>
      <c r="B421" s="2" t="s">
        <v>71</v>
      </c>
      <c r="C421" t="str">
        <f>_xlfn.XLOOKUP(B421, Sheet1!A:A, Sheet1!B:B)</f>
        <v>blueberry pie</v>
      </c>
      <c r="D421">
        <f>_xlfn.XLOOKUP(B421,Sheet1!A:A,Sheet1!C:C)</f>
        <v>6</v>
      </c>
      <c r="E421">
        <f>_xlfn.XLOOKUP(B421,Sheet1!A:A,Sheet1!D:D)</f>
        <v>4</v>
      </c>
      <c r="F421">
        <f>_xlfn.XLOOKUP(Sheet3!B421,Sheet1!A:A,Sheet1!E:E)</f>
        <v>3</v>
      </c>
      <c r="G421">
        <f>_xlfn.XLOOKUP(B421,Sheet1!A:A,Sheet1!F:F)</f>
        <v>7</v>
      </c>
      <c r="H421" t="str" cm="1">
        <f t="array" aca="1" ref="H421" ca="1">INDEX(Sheet1!$G$2:$G$3, RANDBETWEEN(1, ROWS(Sheet1!$G$2:$G$3)))</f>
        <v>No</v>
      </c>
    </row>
    <row r="422" spans="1:8" x14ac:dyDescent="0.3">
      <c r="A422" s="2" t="str" cm="1">
        <f t="array" aca="1" ref="A422" ca="1">INDEX(Sheet1!$A$2:$A$46, RANDBETWEEN(1,ROWS(Sheet1!$A$2:$A$46)))</f>
        <v>B008</v>
      </c>
      <c r="B422" s="2" t="s">
        <v>65</v>
      </c>
      <c r="C422" t="str">
        <f>_xlfn.XLOOKUP(B422, Sheet1!A:A, Sheet1!B:B)</f>
        <v>sourdough bread</v>
      </c>
      <c r="D422">
        <f>_xlfn.XLOOKUP(B422,Sheet1!A:A,Sheet1!C:C)</f>
        <v>10</v>
      </c>
      <c r="E422">
        <f>_xlfn.XLOOKUP(B422,Sheet1!A:A,Sheet1!D:D)</f>
        <v>3.5</v>
      </c>
      <c r="F422">
        <f>_xlfn.XLOOKUP(Sheet3!B422,Sheet1!A:A,Sheet1!E:E)</f>
        <v>3</v>
      </c>
      <c r="G422">
        <f>_xlfn.XLOOKUP(B422,Sheet1!A:A,Sheet1!F:F)</f>
        <v>8</v>
      </c>
      <c r="H422" cm="1">
        <f t="array" aca="1" ref="H422" ca="1">INDEX(Sheet1!$G$2:$G$3, RANDBETWEEN(1, ROWS(Sheet1!$G$2:$G$3)))</f>
        <v>0</v>
      </c>
    </row>
    <row r="423" spans="1:8" x14ac:dyDescent="0.3">
      <c r="A423" s="2" t="str" cm="1">
        <f t="array" aca="1" ref="A423" ca="1">INDEX(Sheet1!$A$2:$A$46, RANDBETWEEN(1,ROWS(Sheet1!$A$2:$A$46)))</f>
        <v>B032</v>
      </c>
      <c r="B423" s="2" t="s">
        <v>70</v>
      </c>
      <c r="C423" t="str">
        <f>_xlfn.XLOOKUP(B423, Sheet1!A:A, Sheet1!B:B)</f>
        <v>pumpkin pie</v>
      </c>
      <c r="D423">
        <f>_xlfn.XLOOKUP(B423,Sheet1!A:A,Sheet1!C:C)</f>
        <v>6</v>
      </c>
      <c r="E423">
        <f>_xlfn.XLOOKUP(B423,Sheet1!A:A,Sheet1!D:D)</f>
        <v>4</v>
      </c>
      <c r="F423">
        <f>_xlfn.XLOOKUP(Sheet3!B423,Sheet1!A:A,Sheet1!E:E)</f>
        <v>3</v>
      </c>
      <c r="G423">
        <f>_xlfn.XLOOKUP(B423,Sheet1!A:A,Sheet1!F:F)</f>
        <v>7</v>
      </c>
      <c r="H423" t="str" cm="1">
        <f t="array" aca="1" ref="H423" ca="1">INDEX(Sheet1!$G$2:$G$3, RANDBETWEEN(1, ROWS(Sheet1!$G$2:$G$3)))</f>
        <v>No</v>
      </c>
    </row>
    <row r="424" spans="1:8" x14ac:dyDescent="0.3">
      <c r="A424" s="2" t="str" cm="1">
        <f t="array" aca="1" ref="A424" ca="1">INDEX(Sheet1!$A$2:$A$46, RANDBETWEEN(1,ROWS(Sheet1!$A$2:$A$46)))</f>
        <v>B027</v>
      </c>
      <c r="B424" s="2" t="s">
        <v>16</v>
      </c>
      <c r="C424" t="str">
        <f>_xlfn.XLOOKUP(B424, Sheet1!A:A, Sheet1!B:B)</f>
        <v>mini croissant</v>
      </c>
      <c r="D424">
        <f>_xlfn.XLOOKUP(B424,Sheet1!A:A,Sheet1!C:C)</f>
        <v>10</v>
      </c>
      <c r="E424">
        <f>_xlfn.XLOOKUP(B424,Sheet1!A:A,Sheet1!D:D)</f>
        <v>5.5</v>
      </c>
      <c r="F424">
        <f>_xlfn.XLOOKUP(Sheet3!B424,Sheet1!A:A,Sheet1!E:E)</f>
        <v>4.5</v>
      </c>
      <c r="G424">
        <f>_xlfn.XLOOKUP(B424,Sheet1!A:A,Sheet1!F:F)</f>
        <v>7</v>
      </c>
      <c r="H424" t="str" cm="1">
        <f t="array" aca="1" ref="H424" ca="1">INDEX(Sheet1!$G$2:$G$3, RANDBETWEEN(1, ROWS(Sheet1!$G$2:$G$3)))</f>
        <v>No</v>
      </c>
    </row>
    <row r="425" spans="1:8" x14ac:dyDescent="0.3">
      <c r="A425" s="2" t="str" cm="1">
        <f t="array" aca="1" ref="A425" ca="1">INDEX(Sheet1!$A$2:$A$46, RANDBETWEEN(1,ROWS(Sheet1!$A$2:$A$46)))</f>
        <v>B038</v>
      </c>
      <c r="B425" s="2" t="s">
        <v>20</v>
      </c>
      <c r="C425" t="str">
        <f>_xlfn.XLOOKUP(B425, Sheet1!A:A, Sheet1!B:B)</f>
        <v>banana nut muffins</v>
      </c>
      <c r="D425">
        <f>_xlfn.XLOOKUP(B425,Sheet1!A:A,Sheet1!C:C)</f>
        <v>10</v>
      </c>
      <c r="E425">
        <f>_xlfn.XLOOKUP(B425,Sheet1!A:A,Sheet1!D:D)</f>
        <v>4.5</v>
      </c>
      <c r="F425">
        <f>_xlfn.XLOOKUP(Sheet3!B425,Sheet1!A:A,Sheet1!E:E)</f>
        <v>4</v>
      </c>
      <c r="G425">
        <f>_xlfn.XLOOKUP(B425,Sheet1!A:A,Sheet1!F:F)</f>
        <v>10</v>
      </c>
      <c r="H425" t="str" cm="1">
        <f t="array" aca="1" ref="H425" ca="1">INDEX(Sheet1!$G$2:$G$3, RANDBETWEEN(1, ROWS(Sheet1!$G$2:$G$3)))</f>
        <v>No</v>
      </c>
    </row>
    <row r="426" spans="1:8" x14ac:dyDescent="0.3">
      <c r="A426" s="2" t="str" cm="1">
        <f t="array" aca="1" ref="A426" ca="1">INDEX(Sheet1!$A$2:$A$46, RANDBETWEEN(1,ROWS(Sheet1!$A$2:$A$46)))</f>
        <v>B027</v>
      </c>
      <c r="B426" s="2" t="s">
        <v>20</v>
      </c>
      <c r="C426" t="str">
        <f>_xlfn.XLOOKUP(B426, Sheet1!A:A, Sheet1!B:B)</f>
        <v>banana nut muffins</v>
      </c>
      <c r="D426">
        <f>_xlfn.XLOOKUP(B426,Sheet1!A:A,Sheet1!C:C)</f>
        <v>10</v>
      </c>
      <c r="E426">
        <f>_xlfn.XLOOKUP(B426,Sheet1!A:A,Sheet1!D:D)</f>
        <v>4.5</v>
      </c>
      <c r="F426">
        <f>_xlfn.XLOOKUP(Sheet3!B426,Sheet1!A:A,Sheet1!E:E)</f>
        <v>4</v>
      </c>
      <c r="G426">
        <f>_xlfn.XLOOKUP(B426,Sheet1!A:A,Sheet1!F:F)</f>
        <v>10</v>
      </c>
      <c r="H426" cm="1">
        <f t="array" aca="1" ref="H426" ca="1">INDEX(Sheet1!$G$2:$G$3, RANDBETWEEN(1, ROWS(Sheet1!$G$2:$G$3)))</f>
        <v>0</v>
      </c>
    </row>
    <row r="427" spans="1:8" x14ac:dyDescent="0.3">
      <c r="A427" s="2" t="str" cm="1">
        <f t="array" aca="1" ref="A427" ca="1">INDEX(Sheet1!$A$2:$A$46, RANDBETWEEN(1,ROWS(Sheet1!$A$2:$A$46)))</f>
        <v>B033</v>
      </c>
      <c r="B427" s="2" t="s">
        <v>62</v>
      </c>
      <c r="C427" t="str">
        <f>_xlfn.XLOOKUP(B427, Sheet1!A:A, Sheet1!B:B)</f>
        <v>vanilla sliced loaf cake</v>
      </c>
      <c r="D427">
        <f>_xlfn.XLOOKUP(B427,Sheet1!A:A,Sheet1!C:C)</f>
        <v>10</v>
      </c>
      <c r="E427">
        <f>_xlfn.XLOOKUP(B427,Sheet1!A:A,Sheet1!D:D)</f>
        <v>4</v>
      </c>
      <c r="F427">
        <f>_xlfn.XLOOKUP(Sheet3!B427,Sheet1!A:A,Sheet1!E:E)</f>
        <v>3.5</v>
      </c>
      <c r="G427">
        <f>_xlfn.XLOOKUP(B427,Sheet1!A:A,Sheet1!F:F)</f>
        <v>10</v>
      </c>
      <c r="H427" cm="1">
        <f t="array" aca="1" ref="H427" ca="1">INDEX(Sheet1!$G$2:$G$3, RANDBETWEEN(1, ROWS(Sheet1!$G$2:$G$3)))</f>
        <v>0</v>
      </c>
    </row>
    <row r="428" spans="1:8" x14ac:dyDescent="0.3">
      <c r="A428" s="2" t="str" cm="1">
        <f t="array" aca="1" ref="A428" ca="1">INDEX(Sheet1!$A$2:$A$46, RANDBETWEEN(1,ROWS(Sheet1!$A$2:$A$46)))</f>
        <v>B036</v>
      </c>
      <c r="B428" s="2" t="s">
        <v>82</v>
      </c>
      <c r="C428" t="str">
        <f>_xlfn.XLOOKUP(B428, Sheet1!A:A, Sheet1!B:B)</f>
        <v>white square cake</v>
      </c>
      <c r="D428">
        <f>_xlfn.XLOOKUP(B428,Sheet1!A:A,Sheet1!C:C)</f>
        <v>8</v>
      </c>
      <c r="E428">
        <f>_xlfn.XLOOKUP(B428,Sheet1!A:A,Sheet1!D:D)</f>
        <v>2.5</v>
      </c>
      <c r="F428">
        <f>_xlfn.XLOOKUP(Sheet3!B428,Sheet1!A:A,Sheet1!E:E)</f>
        <v>2</v>
      </c>
      <c r="G428">
        <f>_xlfn.XLOOKUP(B428,Sheet1!A:A,Sheet1!F:F)</f>
        <v>5</v>
      </c>
      <c r="H428" t="str" cm="1">
        <f t="array" aca="1" ref="H428" ca="1">INDEX(Sheet1!$G$2:$G$3, RANDBETWEEN(1, ROWS(Sheet1!$G$2:$G$3)))</f>
        <v>No</v>
      </c>
    </row>
    <row r="429" spans="1:8" x14ac:dyDescent="0.3">
      <c r="A429" s="2" t="str" cm="1">
        <f t="array" aca="1" ref="A429" ca="1">INDEX(Sheet1!$A$2:$A$46, RANDBETWEEN(1,ROWS(Sheet1!$A$2:$A$46)))</f>
        <v>B044</v>
      </c>
      <c r="B429" s="2" t="s">
        <v>10</v>
      </c>
      <c r="C429" t="str">
        <f>_xlfn.XLOOKUP(B429, Sheet1!A:A, Sheet1!B:B)</f>
        <v>croissant</v>
      </c>
      <c r="D429">
        <f>_xlfn.XLOOKUP(B429,Sheet1!A:A,Sheet1!C:C)</f>
        <v>10</v>
      </c>
      <c r="E429">
        <f>_xlfn.XLOOKUP(B429,Sheet1!A:A,Sheet1!D:D)</f>
        <v>5.5</v>
      </c>
      <c r="F429">
        <f>_xlfn.XLOOKUP(Sheet3!B429,Sheet1!A:A,Sheet1!E:E)</f>
        <v>4.5</v>
      </c>
      <c r="G429">
        <f>_xlfn.XLOOKUP(B429,Sheet1!A:A,Sheet1!F:F)</f>
        <v>7</v>
      </c>
      <c r="H429" cm="1">
        <f t="array" aca="1" ref="H429" ca="1">INDEX(Sheet1!$G$2:$G$3, RANDBETWEEN(1, ROWS(Sheet1!$G$2:$G$3)))</f>
        <v>0</v>
      </c>
    </row>
    <row r="430" spans="1:8" x14ac:dyDescent="0.3">
      <c r="A430" s="2" t="str" cm="1">
        <f t="array" aca="1" ref="A430" ca="1">INDEX(Sheet1!$A$2:$A$46, RANDBETWEEN(1,ROWS(Sheet1!$A$2:$A$46)))</f>
        <v>B020</v>
      </c>
      <c r="B430" s="2" t="s">
        <v>59</v>
      </c>
      <c r="C430" t="str">
        <f>_xlfn.XLOOKUP(B430, Sheet1!A:A, Sheet1!B:B)</f>
        <v>iced lemon sliced loaf cake</v>
      </c>
      <c r="D430">
        <f>_xlfn.XLOOKUP(B430,Sheet1!A:A,Sheet1!C:C)</f>
        <v>10</v>
      </c>
      <c r="E430">
        <f>_xlfn.XLOOKUP(B430,Sheet1!A:A,Sheet1!D:D)</f>
        <v>4</v>
      </c>
      <c r="F430">
        <f>_xlfn.XLOOKUP(Sheet3!B430,Sheet1!A:A,Sheet1!E:E)</f>
        <v>3.5</v>
      </c>
      <c r="G430">
        <f>_xlfn.XLOOKUP(B430,Sheet1!A:A,Sheet1!F:F)</f>
        <v>10</v>
      </c>
      <c r="H430" t="str" cm="1">
        <f t="array" aca="1" ref="H430" ca="1">INDEX(Sheet1!$G$2:$G$3, RANDBETWEEN(1, ROWS(Sheet1!$G$2:$G$3)))</f>
        <v>No</v>
      </c>
    </row>
    <row r="431" spans="1:8" x14ac:dyDescent="0.3">
      <c r="A431" s="2" t="str" cm="1">
        <f t="array" aca="1" ref="A431" ca="1">INDEX(Sheet1!$A$2:$A$46, RANDBETWEEN(1,ROWS(Sheet1!$A$2:$A$46)))</f>
        <v>B037</v>
      </c>
      <c r="B431" s="2" t="s">
        <v>71</v>
      </c>
      <c r="C431" t="str">
        <f>_xlfn.XLOOKUP(B431, Sheet1!A:A, Sheet1!B:B)</f>
        <v>blueberry pie</v>
      </c>
      <c r="D431">
        <f>_xlfn.XLOOKUP(B431,Sheet1!A:A,Sheet1!C:C)</f>
        <v>6</v>
      </c>
      <c r="E431">
        <f>_xlfn.XLOOKUP(B431,Sheet1!A:A,Sheet1!D:D)</f>
        <v>4</v>
      </c>
      <c r="F431">
        <f>_xlfn.XLOOKUP(Sheet3!B431,Sheet1!A:A,Sheet1!E:E)</f>
        <v>3</v>
      </c>
      <c r="G431">
        <f>_xlfn.XLOOKUP(B431,Sheet1!A:A,Sheet1!F:F)</f>
        <v>7</v>
      </c>
      <c r="H431" t="str" cm="1">
        <f t="array" aca="1" ref="H431" ca="1">INDEX(Sheet1!$G$2:$G$3, RANDBETWEEN(1, ROWS(Sheet1!$G$2:$G$3)))</f>
        <v>No</v>
      </c>
    </row>
    <row r="432" spans="1:8" x14ac:dyDescent="0.3">
      <c r="A432" s="2" t="str" cm="1">
        <f t="array" aca="1" ref="A432" ca="1">INDEX(Sheet1!$A$2:$A$46, RANDBETWEEN(1,ROWS(Sheet1!$A$2:$A$46)))</f>
        <v>B012</v>
      </c>
      <c r="B432" s="2" t="s">
        <v>67</v>
      </c>
      <c r="C432" t="str">
        <f>_xlfn.XLOOKUP(B432, Sheet1!A:A, Sheet1!B:B)</f>
        <v>seeded bread</v>
      </c>
      <c r="D432">
        <f>_xlfn.XLOOKUP(B432,Sheet1!A:A,Sheet1!C:C)</f>
        <v>8</v>
      </c>
      <c r="E432">
        <f>_xlfn.XLOOKUP(B432,Sheet1!A:A,Sheet1!D:D)</f>
        <v>3.5</v>
      </c>
      <c r="F432">
        <f>_xlfn.XLOOKUP(Sheet3!B432,Sheet1!A:A,Sheet1!E:E)</f>
        <v>3</v>
      </c>
      <c r="G432">
        <f>_xlfn.XLOOKUP(B432,Sheet1!A:A,Sheet1!F:F)</f>
        <v>8</v>
      </c>
      <c r="H432" cm="1">
        <f t="array" aca="1" ref="H432" ca="1">INDEX(Sheet1!$G$2:$G$3, RANDBETWEEN(1, ROWS(Sheet1!$G$2:$G$3)))</f>
        <v>0</v>
      </c>
    </row>
    <row r="433" spans="1:8" x14ac:dyDescent="0.3">
      <c r="A433" s="2" t="str" cm="1">
        <f t="array" aca="1" ref="A433" ca="1">INDEX(Sheet1!$A$2:$A$46, RANDBETWEEN(1,ROWS(Sheet1!$A$2:$A$46)))</f>
        <v>B020</v>
      </c>
      <c r="B433" s="2" t="s">
        <v>66</v>
      </c>
      <c r="C433" t="str">
        <f>_xlfn.XLOOKUP(B433, Sheet1!A:A, Sheet1!B:B)</f>
        <v>pumpernickel bread</v>
      </c>
      <c r="D433">
        <f>_xlfn.XLOOKUP(B433,Sheet1!A:A,Sheet1!C:C)</f>
        <v>8</v>
      </c>
      <c r="E433">
        <f>_xlfn.XLOOKUP(B433,Sheet1!A:A,Sheet1!D:D)</f>
        <v>3.5</v>
      </c>
      <c r="F433">
        <f>_xlfn.XLOOKUP(Sheet3!B433,Sheet1!A:A,Sheet1!E:E)</f>
        <v>3</v>
      </c>
      <c r="G433">
        <f>_xlfn.XLOOKUP(B433,Sheet1!A:A,Sheet1!F:F)</f>
        <v>8</v>
      </c>
      <c r="H433" t="str" cm="1">
        <f t="array" aca="1" ref="H433" ca="1">INDEX(Sheet1!$G$2:$G$3, RANDBETWEEN(1, ROWS(Sheet1!$G$2:$G$3)))</f>
        <v>No</v>
      </c>
    </row>
    <row r="434" spans="1:8" x14ac:dyDescent="0.3">
      <c r="A434" s="2" t="str" cm="1">
        <f t="array" aca="1" ref="A434" ca="1">INDEX(Sheet1!$A$2:$A$46, RANDBETWEEN(1,ROWS(Sheet1!$A$2:$A$46)))</f>
        <v>B010</v>
      </c>
      <c r="B434" s="2" t="s">
        <v>41</v>
      </c>
      <c r="C434" t="str">
        <f>_xlfn.XLOOKUP(B434, Sheet1!A:A, Sheet1!B:B)</f>
        <v>frosted blue cookies</v>
      </c>
      <c r="D434">
        <f>_xlfn.XLOOKUP(B434,Sheet1!A:A,Sheet1!C:C)</f>
        <v>15</v>
      </c>
      <c r="E434">
        <f>_xlfn.XLOOKUP(B434,Sheet1!A:A,Sheet1!D:D)</f>
        <v>3</v>
      </c>
      <c r="F434">
        <f>_xlfn.XLOOKUP(Sheet3!B434,Sheet1!A:A,Sheet1!E:E)</f>
        <v>2.5</v>
      </c>
      <c r="G434">
        <f>_xlfn.XLOOKUP(B434,Sheet1!A:A,Sheet1!F:F)</f>
        <v>14</v>
      </c>
      <c r="H434" cm="1">
        <f t="array" aca="1" ref="H434" ca="1">INDEX(Sheet1!$G$2:$G$3, RANDBETWEEN(1, ROWS(Sheet1!$G$2:$G$3)))</f>
        <v>0</v>
      </c>
    </row>
    <row r="435" spans="1:8" x14ac:dyDescent="0.3">
      <c r="A435" s="2" t="str" cm="1">
        <f t="array" aca="1" ref="A435" ca="1">INDEX(Sheet1!$A$2:$A$46, RANDBETWEEN(1,ROWS(Sheet1!$A$2:$A$46)))</f>
        <v>B044</v>
      </c>
      <c r="B435" s="2" t="s">
        <v>70</v>
      </c>
      <c r="C435" t="str">
        <f>_xlfn.XLOOKUP(B435, Sheet1!A:A, Sheet1!B:B)</f>
        <v>pumpkin pie</v>
      </c>
      <c r="D435">
        <f>_xlfn.XLOOKUP(B435,Sheet1!A:A,Sheet1!C:C)</f>
        <v>6</v>
      </c>
      <c r="E435">
        <f>_xlfn.XLOOKUP(B435,Sheet1!A:A,Sheet1!D:D)</f>
        <v>4</v>
      </c>
      <c r="F435">
        <f>_xlfn.XLOOKUP(Sheet3!B435,Sheet1!A:A,Sheet1!E:E)</f>
        <v>3</v>
      </c>
      <c r="G435">
        <f>_xlfn.XLOOKUP(B435,Sheet1!A:A,Sheet1!F:F)</f>
        <v>7</v>
      </c>
      <c r="H435" t="str" cm="1">
        <f t="array" aca="1" ref="H435" ca="1">INDEX(Sheet1!$G$2:$G$3, RANDBETWEEN(1, ROWS(Sheet1!$G$2:$G$3)))</f>
        <v>No</v>
      </c>
    </row>
    <row r="436" spans="1:8" x14ac:dyDescent="0.3">
      <c r="A436" s="2" t="str" cm="1">
        <f t="array" aca="1" ref="A436" ca="1">INDEX(Sheet1!$A$2:$A$46, RANDBETWEEN(1,ROWS(Sheet1!$A$2:$A$46)))</f>
        <v>B017</v>
      </c>
      <c r="B436" s="2" t="s">
        <v>36</v>
      </c>
      <c r="C436" t="str">
        <f>_xlfn.XLOOKUP(B436, Sheet1!A:A, Sheet1!B:B)</f>
        <v>oatmeal raisin cookies</v>
      </c>
      <c r="D436">
        <f>_xlfn.XLOOKUP(B436,Sheet1!A:A,Sheet1!C:C)</f>
        <v>12</v>
      </c>
      <c r="E436">
        <f>_xlfn.XLOOKUP(B436,Sheet1!A:A,Sheet1!D:D)</f>
        <v>3.5</v>
      </c>
      <c r="F436">
        <f>_xlfn.XLOOKUP(Sheet3!B436,Sheet1!A:A,Sheet1!E:E)</f>
        <v>3</v>
      </c>
      <c r="G436">
        <f>_xlfn.XLOOKUP(B436,Sheet1!A:A,Sheet1!F:F)</f>
        <v>14</v>
      </c>
      <c r="H436" t="str" cm="1">
        <f t="array" aca="1" ref="H436" ca="1">INDEX(Sheet1!$G$2:$G$3, RANDBETWEEN(1, ROWS(Sheet1!$G$2:$G$3)))</f>
        <v>No</v>
      </c>
    </row>
    <row r="437" spans="1:8" x14ac:dyDescent="0.3">
      <c r="A437" s="2" t="str" cm="1">
        <f t="array" aca="1" ref="A437" ca="1">INDEX(Sheet1!$A$2:$A$46, RANDBETWEEN(1,ROWS(Sheet1!$A$2:$A$46)))</f>
        <v>B006</v>
      </c>
      <c r="B437" s="2" t="s">
        <v>81</v>
      </c>
      <c r="C437" t="str">
        <f>_xlfn.XLOOKUP(B437, Sheet1!A:A, Sheet1!B:B)</f>
        <v>red velvet square cake</v>
      </c>
      <c r="D437">
        <f>_xlfn.XLOOKUP(B437,Sheet1!A:A,Sheet1!C:C)</f>
        <v>8</v>
      </c>
      <c r="E437">
        <f>_xlfn.XLOOKUP(B437,Sheet1!A:A,Sheet1!D:D)</f>
        <v>2.5</v>
      </c>
      <c r="F437">
        <f>_xlfn.XLOOKUP(Sheet3!B437,Sheet1!A:A,Sheet1!E:E)</f>
        <v>2</v>
      </c>
      <c r="G437">
        <f>_xlfn.XLOOKUP(B437,Sheet1!A:A,Sheet1!F:F)</f>
        <v>5</v>
      </c>
      <c r="H437" t="str" cm="1">
        <f t="array" aca="1" ref="H437" ca="1">INDEX(Sheet1!$G$2:$G$3, RANDBETWEEN(1, ROWS(Sheet1!$G$2:$G$3)))</f>
        <v>No</v>
      </c>
    </row>
    <row r="438" spans="1:8" x14ac:dyDescent="0.3">
      <c r="A438" s="2" t="str" cm="1">
        <f t="array" aca="1" ref="A438" ca="1">INDEX(Sheet1!$A$2:$A$46, RANDBETWEEN(1,ROWS(Sheet1!$A$2:$A$46)))</f>
        <v>B038</v>
      </c>
      <c r="B438" s="2" t="s">
        <v>39</v>
      </c>
      <c r="C438" t="str">
        <f>_xlfn.XLOOKUP(B438, Sheet1!A:A, Sheet1!B:B)</f>
        <v>macadamia nut cookies</v>
      </c>
      <c r="D438">
        <f>_xlfn.XLOOKUP(B438,Sheet1!A:A,Sheet1!C:C)</f>
        <v>12</v>
      </c>
      <c r="E438">
        <f>_xlfn.XLOOKUP(B438,Sheet1!A:A,Sheet1!D:D)</f>
        <v>3.5</v>
      </c>
      <c r="F438">
        <f>_xlfn.XLOOKUP(Sheet3!B438,Sheet1!A:A,Sheet1!E:E)</f>
        <v>3</v>
      </c>
      <c r="G438">
        <f>_xlfn.XLOOKUP(B438,Sheet1!A:A,Sheet1!F:F)</f>
        <v>14</v>
      </c>
      <c r="H438" cm="1">
        <f t="array" aca="1" ref="H438" ca="1">INDEX(Sheet1!$G$2:$G$3, RANDBETWEEN(1, ROWS(Sheet1!$G$2:$G$3)))</f>
        <v>0</v>
      </c>
    </row>
    <row r="439" spans="1:8" x14ac:dyDescent="0.3">
      <c r="A439" s="2" t="str" cm="1">
        <f t="array" aca="1" ref="A439" ca="1">INDEX(Sheet1!$A$2:$A$46, RANDBETWEEN(1,ROWS(Sheet1!$A$2:$A$46)))</f>
        <v>B026</v>
      </c>
      <c r="B439" s="2" t="s">
        <v>66</v>
      </c>
      <c r="C439" t="str">
        <f>_xlfn.XLOOKUP(B439, Sheet1!A:A, Sheet1!B:B)</f>
        <v>pumpernickel bread</v>
      </c>
      <c r="D439">
        <f>_xlfn.XLOOKUP(B439,Sheet1!A:A,Sheet1!C:C)</f>
        <v>8</v>
      </c>
      <c r="E439">
        <f>_xlfn.XLOOKUP(B439,Sheet1!A:A,Sheet1!D:D)</f>
        <v>3.5</v>
      </c>
      <c r="F439">
        <f>_xlfn.XLOOKUP(Sheet3!B439,Sheet1!A:A,Sheet1!E:E)</f>
        <v>3</v>
      </c>
      <c r="G439">
        <f>_xlfn.XLOOKUP(B439,Sheet1!A:A,Sheet1!F:F)</f>
        <v>8</v>
      </c>
      <c r="H439" cm="1">
        <f t="array" aca="1" ref="H439" ca="1">INDEX(Sheet1!$G$2:$G$3, RANDBETWEEN(1, ROWS(Sheet1!$G$2:$G$3)))</f>
        <v>0</v>
      </c>
    </row>
    <row r="440" spans="1:8" x14ac:dyDescent="0.3">
      <c r="A440" s="2" t="str" cm="1">
        <f t="array" aca="1" ref="A440" ca="1">INDEX(Sheet1!$A$2:$A$46, RANDBETWEEN(1,ROWS(Sheet1!$A$2:$A$46)))</f>
        <v>B045</v>
      </c>
      <c r="B440" s="2" t="s">
        <v>58</v>
      </c>
      <c r="C440" t="str">
        <f>_xlfn.XLOOKUP(B440, Sheet1!A:A, Sheet1!B:B)</f>
        <v>cookies &amp; creme cupcakes</v>
      </c>
      <c r="D440">
        <f>_xlfn.XLOOKUP(B440,Sheet1!A:A,Sheet1!C:C)</f>
        <v>15</v>
      </c>
      <c r="E440">
        <f>_xlfn.XLOOKUP(B440,Sheet1!A:A,Sheet1!D:D)</f>
        <v>6</v>
      </c>
      <c r="F440">
        <f>_xlfn.XLOOKUP(Sheet3!B440,Sheet1!A:A,Sheet1!E:E)</f>
        <v>5.5</v>
      </c>
      <c r="G440">
        <f>_xlfn.XLOOKUP(B440,Sheet1!A:A,Sheet1!F:F)</f>
        <v>20</v>
      </c>
      <c r="H440" t="str" cm="1">
        <f t="array" aca="1" ref="H440" ca="1">INDEX(Sheet1!$G$2:$G$3, RANDBETWEEN(1, ROWS(Sheet1!$G$2:$G$3)))</f>
        <v>No</v>
      </c>
    </row>
    <row r="441" spans="1:8" x14ac:dyDescent="0.3">
      <c r="A441" s="2" t="str" cm="1">
        <f t="array" aca="1" ref="A441" ca="1">INDEX(Sheet1!$A$2:$A$46, RANDBETWEEN(1,ROWS(Sheet1!$A$2:$A$46)))</f>
        <v>B041</v>
      </c>
      <c r="B441" s="2" t="s">
        <v>21</v>
      </c>
      <c r="C441" t="str">
        <f>_xlfn.XLOOKUP(B441, Sheet1!A:A, Sheet1!B:B)</f>
        <v>butter cake</v>
      </c>
      <c r="D441">
        <f>_xlfn.XLOOKUP(B441,Sheet1!A:A,Sheet1!C:C)</f>
        <v>8</v>
      </c>
      <c r="E441">
        <f>_xlfn.XLOOKUP(B441,Sheet1!A:A,Sheet1!D:D)</f>
        <v>4</v>
      </c>
      <c r="F441">
        <f>_xlfn.XLOOKUP(Sheet3!B441,Sheet1!A:A,Sheet1!E:E)</f>
        <v>3</v>
      </c>
      <c r="G441">
        <f>_xlfn.XLOOKUP(B441,Sheet1!A:A,Sheet1!F:F)</f>
        <v>14</v>
      </c>
      <c r="H441" t="str" cm="1">
        <f t="array" aca="1" ref="H441" ca="1">INDEX(Sheet1!$G$2:$G$3, RANDBETWEEN(1, ROWS(Sheet1!$G$2:$G$3)))</f>
        <v>No</v>
      </c>
    </row>
    <row r="442" spans="1:8" x14ac:dyDescent="0.3">
      <c r="A442" s="2" t="str" cm="1">
        <f t="array" aca="1" ref="A442" ca="1">INDEX(Sheet1!$A$2:$A$46, RANDBETWEEN(1,ROWS(Sheet1!$A$2:$A$46)))</f>
        <v>B015</v>
      </c>
      <c r="B442" s="2" t="s">
        <v>24</v>
      </c>
      <c r="C442" t="str">
        <f>_xlfn.XLOOKUP(B442, Sheet1!A:A, Sheet1!B:B)</f>
        <v>tiramisu</v>
      </c>
      <c r="D442">
        <f>_xlfn.XLOOKUP(B442,Sheet1!A:A,Sheet1!C:C)</f>
        <v>8</v>
      </c>
      <c r="E442">
        <f>_xlfn.XLOOKUP(B442,Sheet1!A:A,Sheet1!D:D)</f>
        <v>7.5</v>
      </c>
      <c r="F442">
        <f>_xlfn.XLOOKUP(Sheet3!B442,Sheet1!A:A,Sheet1!E:E)</f>
        <v>5.5</v>
      </c>
      <c r="G442">
        <f>_xlfn.XLOOKUP(B442,Sheet1!A:A,Sheet1!F:F)</f>
        <v>7</v>
      </c>
      <c r="H442" cm="1">
        <f t="array" aca="1" ref="H442" ca="1">INDEX(Sheet1!$G$2:$G$3, RANDBETWEEN(1, ROWS(Sheet1!$G$2:$G$3)))</f>
        <v>0</v>
      </c>
    </row>
    <row r="443" spans="1:8" x14ac:dyDescent="0.3">
      <c r="A443" s="2" t="str" cm="1">
        <f t="array" aca="1" ref="A443" ca="1">INDEX(Sheet1!$A$2:$A$46, RANDBETWEEN(1,ROWS(Sheet1!$A$2:$A$46)))</f>
        <v>B003</v>
      </c>
      <c r="B443" s="2" t="s">
        <v>22</v>
      </c>
      <c r="C443" t="str">
        <f>_xlfn.XLOOKUP(B443, Sheet1!A:A, Sheet1!B:B)</f>
        <v>chocolate chip cookies</v>
      </c>
      <c r="D443">
        <f>_xlfn.XLOOKUP(B443,Sheet1!A:A,Sheet1!C:C)</f>
        <v>12</v>
      </c>
      <c r="E443">
        <f>_xlfn.XLOOKUP(B443,Sheet1!A:A,Sheet1!D:D)</f>
        <v>3.5</v>
      </c>
      <c r="F443">
        <f>_xlfn.XLOOKUP(Sheet3!B443,Sheet1!A:A,Sheet1!E:E)</f>
        <v>3</v>
      </c>
      <c r="G443">
        <f>_xlfn.XLOOKUP(B443,Sheet1!A:A,Sheet1!F:F)</f>
        <v>14</v>
      </c>
      <c r="H443" cm="1">
        <f t="array" aca="1" ref="H443" ca="1">INDEX(Sheet1!$G$2:$G$3, RANDBETWEEN(1, ROWS(Sheet1!$G$2:$G$3)))</f>
        <v>0</v>
      </c>
    </row>
    <row r="444" spans="1:8" x14ac:dyDescent="0.3">
      <c r="A444" s="2" t="str" cm="1">
        <f t="array" aca="1" ref="A444" ca="1">INDEX(Sheet1!$A$2:$A$46, RANDBETWEEN(1,ROWS(Sheet1!$A$2:$A$46)))</f>
        <v>B033</v>
      </c>
      <c r="B444" s="2" t="s">
        <v>10</v>
      </c>
      <c r="C444" t="str">
        <f>_xlfn.XLOOKUP(B444, Sheet1!A:A, Sheet1!B:B)</f>
        <v>croissant</v>
      </c>
      <c r="D444">
        <f>_xlfn.XLOOKUP(B444,Sheet1!A:A,Sheet1!C:C)</f>
        <v>10</v>
      </c>
      <c r="E444">
        <f>_xlfn.XLOOKUP(B444,Sheet1!A:A,Sheet1!D:D)</f>
        <v>5.5</v>
      </c>
      <c r="F444">
        <f>_xlfn.XLOOKUP(Sheet3!B444,Sheet1!A:A,Sheet1!E:E)</f>
        <v>4.5</v>
      </c>
      <c r="G444">
        <f>_xlfn.XLOOKUP(B444,Sheet1!A:A,Sheet1!F:F)</f>
        <v>7</v>
      </c>
      <c r="H444" cm="1">
        <f t="array" aca="1" ref="H444" ca="1">INDEX(Sheet1!$G$2:$G$3, RANDBETWEEN(1, ROWS(Sheet1!$G$2:$G$3)))</f>
        <v>0</v>
      </c>
    </row>
    <row r="445" spans="1:8" x14ac:dyDescent="0.3">
      <c r="A445" s="2" t="str" cm="1">
        <f t="array" aca="1" ref="A445" ca="1">INDEX(Sheet1!$A$2:$A$46, RANDBETWEEN(1,ROWS(Sheet1!$A$2:$A$46)))</f>
        <v>B031</v>
      </c>
      <c r="B445" s="2" t="s">
        <v>71</v>
      </c>
      <c r="C445" t="str">
        <f>_xlfn.XLOOKUP(B445, Sheet1!A:A, Sheet1!B:B)</f>
        <v>blueberry pie</v>
      </c>
      <c r="D445">
        <f>_xlfn.XLOOKUP(B445,Sheet1!A:A,Sheet1!C:C)</f>
        <v>6</v>
      </c>
      <c r="E445">
        <f>_xlfn.XLOOKUP(B445,Sheet1!A:A,Sheet1!D:D)</f>
        <v>4</v>
      </c>
      <c r="F445">
        <f>_xlfn.XLOOKUP(Sheet3!B445,Sheet1!A:A,Sheet1!E:E)</f>
        <v>3</v>
      </c>
      <c r="G445">
        <f>_xlfn.XLOOKUP(B445,Sheet1!A:A,Sheet1!F:F)</f>
        <v>7</v>
      </c>
      <c r="H445" t="str" cm="1">
        <f t="array" aca="1" ref="H445" ca="1">INDEX(Sheet1!$G$2:$G$3, RANDBETWEEN(1, ROWS(Sheet1!$G$2:$G$3)))</f>
        <v>No</v>
      </c>
    </row>
    <row r="446" spans="1:8" x14ac:dyDescent="0.3">
      <c r="A446" s="2" t="str" cm="1">
        <f t="array" aca="1" ref="A446" ca="1">INDEX(Sheet1!$A$2:$A$46, RANDBETWEEN(1,ROWS(Sheet1!$A$2:$A$46)))</f>
        <v>B041</v>
      </c>
      <c r="B446" s="2" t="s">
        <v>90</v>
      </c>
      <c r="C446" t="str">
        <f>_xlfn.XLOOKUP(B446, Sheet1!A:A, Sheet1!B:B)</f>
        <v>mini brownies</v>
      </c>
      <c r="D446">
        <f>_xlfn.XLOOKUP(B446,Sheet1!A:A,Sheet1!C:C)</f>
        <v>12</v>
      </c>
      <c r="E446">
        <f>_xlfn.XLOOKUP(B446,Sheet1!A:A,Sheet1!D:D)</f>
        <v>4.5</v>
      </c>
      <c r="F446">
        <f>_xlfn.XLOOKUP(Sheet3!B446,Sheet1!A:A,Sheet1!E:E)</f>
        <v>4</v>
      </c>
      <c r="G446">
        <f>_xlfn.XLOOKUP(B446,Sheet1!A:A,Sheet1!F:F)</f>
        <v>14</v>
      </c>
      <c r="H446" cm="1">
        <f t="array" aca="1" ref="H446" ca="1">INDEX(Sheet1!$G$2:$G$3, RANDBETWEEN(1, ROWS(Sheet1!$G$2:$G$3)))</f>
        <v>0</v>
      </c>
    </row>
    <row r="447" spans="1:8" x14ac:dyDescent="0.3">
      <c r="A447" s="2" t="str" cm="1">
        <f t="array" aca="1" ref="A447" ca="1">INDEX(Sheet1!$A$2:$A$46, RANDBETWEEN(1,ROWS(Sheet1!$A$2:$A$46)))</f>
        <v>B010</v>
      </c>
      <c r="B447" s="2" t="s">
        <v>24</v>
      </c>
      <c r="C447" t="str">
        <f>_xlfn.XLOOKUP(B447, Sheet1!A:A, Sheet1!B:B)</f>
        <v>tiramisu</v>
      </c>
      <c r="D447">
        <f>_xlfn.XLOOKUP(B447,Sheet1!A:A,Sheet1!C:C)</f>
        <v>8</v>
      </c>
      <c r="E447">
        <f>_xlfn.XLOOKUP(B447,Sheet1!A:A,Sheet1!D:D)</f>
        <v>7.5</v>
      </c>
      <c r="F447">
        <f>_xlfn.XLOOKUP(Sheet3!B447,Sheet1!A:A,Sheet1!E:E)</f>
        <v>5.5</v>
      </c>
      <c r="G447">
        <f>_xlfn.XLOOKUP(B447,Sheet1!A:A,Sheet1!F:F)</f>
        <v>7</v>
      </c>
      <c r="H447" cm="1">
        <f t="array" aca="1" ref="H447" ca="1">INDEX(Sheet1!$G$2:$G$3, RANDBETWEEN(1, ROWS(Sheet1!$G$2:$G$3)))</f>
        <v>0</v>
      </c>
    </row>
    <row r="448" spans="1:8" x14ac:dyDescent="0.3">
      <c r="A448" s="2" t="str" cm="1">
        <f t="array" aca="1" ref="A448" ca="1">INDEX(Sheet1!$A$2:$A$46, RANDBETWEEN(1,ROWS(Sheet1!$A$2:$A$46)))</f>
        <v>B015</v>
      </c>
      <c r="B448" s="2" t="s">
        <v>84</v>
      </c>
      <c r="C448" t="str">
        <f>_xlfn.XLOOKUP(B448, Sheet1!A:A, Sheet1!B:B)</f>
        <v>plain bagels</v>
      </c>
      <c r="D448">
        <f>_xlfn.XLOOKUP(B448,Sheet1!A:A,Sheet1!C:C)</f>
        <v>8</v>
      </c>
      <c r="E448">
        <f>_xlfn.XLOOKUP(B448,Sheet1!A:A,Sheet1!D:D)</f>
        <v>3.5</v>
      </c>
      <c r="F448">
        <f>_xlfn.XLOOKUP(Sheet3!B448,Sheet1!A:A,Sheet1!E:E)</f>
        <v>3</v>
      </c>
      <c r="G448">
        <f>_xlfn.XLOOKUP(B448,Sheet1!A:A,Sheet1!F:F)</f>
        <v>8</v>
      </c>
      <c r="H448" cm="1">
        <f t="array" aca="1" ref="H448" ca="1">INDEX(Sheet1!$G$2:$G$3, RANDBETWEEN(1, ROWS(Sheet1!$G$2:$G$3)))</f>
        <v>0</v>
      </c>
    </row>
    <row r="449" spans="1:8" x14ac:dyDescent="0.3">
      <c r="A449" s="2" t="str" cm="1">
        <f t="array" aca="1" ref="A449" ca="1">INDEX(Sheet1!$A$2:$A$46, RANDBETWEEN(1,ROWS(Sheet1!$A$2:$A$46)))</f>
        <v>B018</v>
      </c>
      <c r="B449" s="2" t="s">
        <v>82</v>
      </c>
      <c r="C449" t="str">
        <f>_xlfn.XLOOKUP(B449, Sheet1!A:A, Sheet1!B:B)</f>
        <v>white square cake</v>
      </c>
      <c r="D449">
        <f>_xlfn.XLOOKUP(B449,Sheet1!A:A,Sheet1!C:C)</f>
        <v>8</v>
      </c>
      <c r="E449">
        <f>_xlfn.XLOOKUP(B449,Sheet1!A:A,Sheet1!D:D)</f>
        <v>2.5</v>
      </c>
      <c r="F449">
        <f>_xlfn.XLOOKUP(Sheet3!B449,Sheet1!A:A,Sheet1!E:E)</f>
        <v>2</v>
      </c>
      <c r="G449">
        <f>_xlfn.XLOOKUP(B449,Sheet1!A:A,Sheet1!F:F)</f>
        <v>5</v>
      </c>
      <c r="H449" cm="1">
        <f t="array" aca="1" ref="H449" ca="1">INDEX(Sheet1!$G$2:$G$3, RANDBETWEEN(1, ROWS(Sheet1!$G$2:$G$3)))</f>
        <v>0</v>
      </c>
    </row>
    <row r="450" spans="1:8" x14ac:dyDescent="0.3">
      <c r="A450" s="2" t="str" cm="1">
        <f t="array" aca="1" ref="A450" ca="1">INDEX(Sheet1!$A$2:$A$46, RANDBETWEEN(1,ROWS(Sheet1!$A$2:$A$46)))</f>
        <v>B039</v>
      </c>
      <c r="B450" s="2" t="s">
        <v>69</v>
      </c>
      <c r="C450" t="str">
        <f>_xlfn.XLOOKUP(B450, Sheet1!A:A, Sheet1!B:B)</f>
        <v>coconut creme pie</v>
      </c>
      <c r="D450">
        <f>_xlfn.XLOOKUP(B450,Sheet1!A:A,Sheet1!C:C)</f>
        <v>6</v>
      </c>
      <c r="E450">
        <f>_xlfn.XLOOKUP(B450,Sheet1!A:A,Sheet1!D:D)</f>
        <v>4</v>
      </c>
      <c r="F450">
        <f>_xlfn.XLOOKUP(Sheet3!B450,Sheet1!A:A,Sheet1!E:E)</f>
        <v>3</v>
      </c>
      <c r="G450">
        <f>_xlfn.XLOOKUP(B450,Sheet1!A:A,Sheet1!F:F)</f>
        <v>7</v>
      </c>
      <c r="H450" cm="1">
        <f t="array" aca="1" ref="H450" ca="1">INDEX(Sheet1!$G$2:$G$3, RANDBETWEEN(1, ROWS(Sheet1!$G$2:$G$3)))</f>
        <v>0</v>
      </c>
    </row>
    <row r="451" spans="1:8" x14ac:dyDescent="0.3">
      <c r="A451" s="2" t="str" cm="1">
        <f t="array" aca="1" ref="A451" ca="1">INDEX(Sheet1!$A$2:$A$46, RANDBETWEEN(1,ROWS(Sheet1!$A$2:$A$46)))</f>
        <v>B007</v>
      </c>
      <c r="B451" s="2" t="s">
        <v>84</v>
      </c>
      <c r="C451" t="str">
        <f>_xlfn.XLOOKUP(B451, Sheet1!A:A, Sheet1!B:B)</f>
        <v>plain bagels</v>
      </c>
      <c r="D451">
        <f>_xlfn.XLOOKUP(B451,Sheet1!A:A,Sheet1!C:C)</f>
        <v>8</v>
      </c>
      <c r="E451">
        <f>_xlfn.XLOOKUP(B451,Sheet1!A:A,Sheet1!D:D)</f>
        <v>3.5</v>
      </c>
      <c r="F451">
        <f>_xlfn.XLOOKUP(Sheet3!B451,Sheet1!A:A,Sheet1!E:E)</f>
        <v>3</v>
      </c>
      <c r="G451">
        <f>_xlfn.XLOOKUP(B451,Sheet1!A:A,Sheet1!F:F)</f>
        <v>8</v>
      </c>
      <c r="H451" t="str" cm="1">
        <f t="array" aca="1" ref="H451" ca="1">INDEX(Sheet1!$G$2:$G$3, RANDBETWEEN(1, ROWS(Sheet1!$G$2:$G$3)))</f>
        <v>No</v>
      </c>
    </row>
    <row r="452" spans="1:8" x14ac:dyDescent="0.3">
      <c r="A452" s="2" t="str" cm="1">
        <f t="array" aca="1" ref="A452" ca="1">INDEX(Sheet1!$A$2:$A$46, RANDBETWEEN(1,ROWS(Sheet1!$A$2:$A$46)))</f>
        <v>B002</v>
      </c>
      <c r="B452" s="2" t="s">
        <v>20</v>
      </c>
      <c r="C452" t="str">
        <f>_xlfn.XLOOKUP(B452, Sheet1!A:A, Sheet1!B:B)</f>
        <v>banana nut muffins</v>
      </c>
      <c r="D452">
        <f>_xlfn.XLOOKUP(B452,Sheet1!A:A,Sheet1!C:C)</f>
        <v>10</v>
      </c>
      <c r="E452">
        <f>_xlfn.XLOOKUP(B452,Sheet1!A:A,Sheet1!D:D)</f>
        <v>4.5</v>
      </c>
      <c r="F452">
        <f>_xlfn.XLOOKUP(Sheet3!B452,Sheet1!A:A,Sheet1!E:E)</f>
        <v>4</v>
      </c>
      <c r="G452">
        <f>_xlfn.XLOOKUP(B452,Sheet1!A:A,Sheet1!F:F)</f>
        <v>10</v>
      </c>
      <c r="H452" cm="1">
        <f t="array" aca="1" ref="H452" ca="1">INDEX(Sheet1!$G$2:$G$3, RANDBETWEEN(1, ROWS(Sheet1!$G$2:$G$3)))</f>
        <v>0</v>
      </c>
    </row>
    <row r="453" spans="1:8" x14ac:dyDescent="0.3">
      <c r="A453" s="2" t="str" cm="1">
        <f t="array" aca="1" ref="A453" ca="1">INDEX(Sheet1!$A$2:$A$46, RANDBETWEEN(1,ROWS(Sheet1!$A$2:$A$46)))</f>
        <v>B021</v>
      </c>
      <c r="B453" s="2" t="s">
        <v>78</v>
      </c>
      <c r="C453" t="str">
        <f>_xlfn.XLOOKUP(B453, Sheet1!A:A, Sheet1!B:B)</f>
        <v>caramel pie</v>
      </c>
      <c r="D453">
        <f>_xlfn.XLOOKUP(B453,Sheet1!A:A,Sheet1!C:C)</f>
        <v>6</v>
      </c>
      <c r="E453">
        <f>_xlfn.XLOOKUP(B453,Sheet1!A:A,Sheet1!D:D)</f>
        <v>4</v>
      </c>
      <c r="F453">
        <f>_xlfn.XLOOKUP(Sheet3!B453,Sheet1!A:A,Sheet1!E:E)</f>
        <v>3</v>
      </c>
      <c r="G453">
        <f>_xlfn.XLOOKUP(B453,Sheet1!A:A,Sheet1!F:F)</f>
        <v>7</v>
      </c>
      <c r="H453" t="str" cm="1">
        <f t="array" aca="1" ref="H453" ca="1">INDEX(Sheet1!$G$2:$G$3, RANDBETWEEN(1, ROWS(Sheet1!$G$2:$G$3)))</f>
        <v>No</v>
      </c>
    </row>
    <row r="454" spans="1:8" x14ac:dyDescent="0.3">
      <c r="A454" s="2" t="str" cm="1">
        <f t="array" aca="1" ref="A454" ca="1">INDEX(Sheet1!$A$2:$A$46, RANDBETWEEN(1,ROWS(Sheet1!$A$2:$A$46)))</f>
        <v>B017</v>
      </c>
      <c r="B454" s="2" t="s">
        <v>83</v>
      </c>
      <c r="C454" t="str">
        <f>_xlfn.XLOOKUP(B454, Sheet1!A:A, Sheet1!B:B)</f>
        <v>pumpkin spice muffins</v>
      </c>
      <c r="D454">
        <f>_xlfn.XLOOKUP(B454,Sheet1!A:A,Sheet1!C:C)</f>
        <v>10</v>
      </c>
      <c r="E454">
        <f>_xlfn.XLOOKUP(B454,Sheet1!A:A,Sheet1!D:D)</f>
        <v>4.5</v>
      </c>
      <c r="F454">
        <f>_xlfn.XLOOKUP(Sheet3!B454,Sheet1!A:A,Sheet1!E:E)</f>
        <v>4</v>
      </c>
      <c r="G454">
        <f>_xlfn.XLOOKUP(B454,Sheet1!A:A,Sheet1!F:F)</f>
        <v>10</v>
      </c>
      <c r="H454" t="str" cm="1">
        <f t="array" aca="1" ref="H454" ca="1">INDEX(Sheet1!$G$2:$G$3, RANDBETWEEN(1, ROWS(Sheet1!$G$2:$G$3)))</f>
        <v>No</v>
      </c>
    </row>
    <row r="455" spans="1:8" x14ac:dyDescent="0.3">
      <c r="A455" s="2" t="str" cm="1">
        <f t="array" aca="1" ref="A455" ca="1">INDEX(Sheet1!$A$2:$A$46, RANDBETWEEN(1,ROWS(Sheet1!$A$2:$A$46)))</f>
        <v>B003</v>
      </c>
      <c r="B455" s="2" t="s">
        <v>58</v>
      </c>
      <c r="C455" t="str">
        <f>_xlfn.XLOOKUP(B455, Sheet1!A:A, Sheet1!B:B)</f>
        <v>cookies &amp; creme cupcakes</v>
      </c>
      <c r="D455">
        <f>_xlfn.XLOOKUP(B455,Sheet1!A:A,Sheet1!C:C)</f>
        <v>15</v>
      </c>
      <c r="E455">
        <f>_xlfn.XLOOKUP(B455,Sheet1!A:A,Sheet1!D:D)</f>
        <v>6</v>
      </c>
      <c r="F455">
        <f>_xlfn.XLOOKUP(Sheet3!B455,Sheet1!A:A,Sheet1!E:E)</f>
        <v>5.5</v>
      </c>
      <c r="G455">
        <f>_xlfn.XLOOKUP(B455,Sheet1!A:A,Sheet1!F:F)</f>
        <v>20</v>
      </c>
      <c r="H455" cm="1">
        <f t="array" aca="1" ref="H455" ca="1">INDEX(Sheet1!$G$2:$G$3, RANDBETWEEN(1, ROWS(Sheet1!$G$2:$G$3)))</f>
        <v>0</v>
      </c>
    </row>
    <row r="456" spans="1:8" x14ac:dyDescent="0.3">
      <c r="A456" s="2" t="str" cm="1">
        <f t="array" aca="1" ref="A456" ca="1">INDEX(Sheet1!$A$2:$A$46, RANDBETWEEN(1,ROWS(Sheet1!$A$2:$A$46)))</f>
        <v>B017</v>
      </c>
      <c r="B456" s="2" t="s">
        <v>41</v>
      </c>
      <c r="C456" t="str">
        <f>_xlfn.XLOOKUP(B456, Sheet1!A:A, Sheet1!B:B)</f>
        <v>frosted blue cookies</v>
      </c>
      <c r="D456">
        <f>_xlfn.XLOOKUP(B456,Sheet1!A:A,Sheet1!C:C)</f>
        <v>15</v>
      </c>
      <c r="E456">
        <f>_xlfn.XLOOKUP(B456,Sheet1!A:A,Sheet1!D:D)</f>
        <v>3</v>
      </c>
      <c r="F456">
        <f>_xlfn.XLOOKUP(Sheet3!B456,Sheet1!A:A,Sheet1!E:E)</f>
        <v>2.5</v>
      </c>
      <c r="G456">
        <f>_xlfn.XLOOKUP(B456,Sheet1!A:A,Sheet1!F:F)</f>
        <v>14</v>
      </c>
      <c r="H456" t="str" cm="1">
        <f t="array" aca="1" ref="H456" ca="1">INDEX(Sheet1!$G$2:$G$3, RANDBETWEEN(1, ROWS(Sheet1!$G$2:$G$3)))</f>
        <v>No</v>
      </c>
    </row>
    <row r="457" spans="1:8" x14ac:dyDescent="0.3">
      <c r="A457" s="2" t="str" cm="1">
        <f t="array" aca="1" ref="A457" ca="1">INDEX(Sheet1!$A$2:$A$46, RANDBETWEEN(1,ROWS(Sheet1!$A$2:$A$46)))</f>
        <v>B043</v>
      </c>
      <c r="B457" s="2" t="s">
        <v>66</v>
      </c>
      <c r="C457" t="str">
        <f>_xlfn.XLOOKUP(B457, Sheet1!A:A, Sheet1!B:B)</f>
        <v>pumpernickel bread</v>
      </c>
      <c r="D457">
        <f>_xlfn.XLOOKUP(B457,Sheet1!A:A,Sheet1!C:C)</f>
        <v>8</v>
      </c>
      <c r="E457">
        <f>_xlfn.XLOOKUP(B457,Sheet1!A:A,Sheet1!D:D)</f>
        <v>3.5</v>
      </c>
      <c r="F457">
        <f>_xlfn.XLOOKUP(Sheet3!B457,Sheet1!A:A,Sheet1!E:E)</f>
        <v>3</v>
      </c>
      <c r="G457">
        <f>_xlfn.XLOOKUP(B457,Sheet1!A:A,Sheet1!F:F)</f>
        <v>8</v>
      </c>
      <c r="H457" t="str" cm="1">
        <f t="array" aca="1" ref="H457" ca="1">INDEX(Sheet1!$G$2:$G$3, RANDBETWEEN(1, ROWS(Sheet1!$G$2:$G$3)))</f>
        <v>No</v>
      </c>
    </row>
    <row r="458" spans="1:8" x14ac:dyDescent="0.3">
      <c r="A458" s="2" t="str" cm="1">
        <f t="array" aca="1" ref="A458" ca="1">INDEX(Sheet1!$A$2:$A$46, RANDBETWEEN(1,ROWS(Sheet1!$A$2:$A$46)))</f>
        <v>B022</v>
      </c>
      <c r="B458" s="2" t="s">
        <v>56</v>
      </c>
      <c r="C458" t="str">
        <f>_xlfn.XLOOKUP(B458, Sheet1!A:A, Sheet1!B:B)</f>
        <v>assorted cupcakes </v>
      </c>
      <c r="D458">
        <f>_xlfn.XLOOKUP(B458,Sheet1!A:A,Sheet1!C:C)</f>
        <v>8</v>
      </c>
      <c r="E458">
        <f>_xlfn.XLOOKUP(B458,Sheet1!A:A,Sheet1!D:D)</f>
        <v>6</v>
      </c>
      <c r="F458">
        <f>_xlfn.XLOOKUP(Sheet3!B458,Sheet1!A:A,Sheet1!E:E)</f>
        <v>5.5</v>
      </c>
      <c r="G458">
        <f>_xlfn.XLOOKUP(B458,Sheet1!A:A,Sheet1!F:F)</f>
        <v>20</v>
      </c>
      <c r="H458" t="str" cm="1">
        <f t="array" aca="1" ref="H458" ca="1">INDEX(Sheet1!$G$2:$G$3, RANDBETWEEN(1, ROWS(Sheet1!$G$2:$G$3)))</f>
        <v>No</v>
      </c>
    </row>
    <row r="459" spans="1:8" x14ac:dyDescent="0.3">
      <c r="A459" s="2" t="str" cm="1">
        <f t="array" aca="1" ref="A459" ca="1">INDEX(Sheet1!$A$2:$A$46, RANDBETWEEN(1,ROWS(Sheet1!$A$2:$A$46)))</f>
        <v>B022</v>
      </c>
      <c r="B459" s="2" t="s">
        <v>90</v>
      </c>
      <c r="C459" t="str">
        <f>_xlfn.XLOOKUP(B459, Sheet1!A:A, Sheet1!B:B)</f>
        <v>mini brownies</v>
      </c>
      <c r="D459">
        <f>_xlfn.XLOOKUP(B459,Sheet1!A:A,Sheet1!C:C)</f>
        <v>12</v>
      </c>
      <c r="E459">
        <f>_xlfn.XLOOKUP(B459,Sheet1!A:A,Sheet1!D:D)</f>
        <v>4.5</v>
      </c>
      <c r="F459">
        <f>_xlfn.XLOOKUP(Sheet3!B459,Sheet1!A:A,Sheet1!E:E)</f>
        <v>4</v>
      </c>
      <c r="G459">
        <f>_xlfn.XLOOKUP(B459,Sheet1!A:A,Sheet1!F:F)</f>
        <v>14</v>
      </c>
      <c r="H459" cm="1">
        <f t="array" aca="1" ref="H459" ca="1">INDEX(Sheet1!$G$2:$G$3, RANDBETWEEN(1, ROWS(Sheet1!$G$2:$G$3)))</f>
        <v>0</v>
      </c>
    </row>
    <row r="460" spans="1:8" x14ac:dyDescent="0.3">
      <c r="A460" s="2" t="str" cm="1">
        <f t="array" aca="1" ref="A460" ca="1">INDEX(Sheet1!$A$2:$A$46, RANDBETWEEN(1,ROWS(Sheet1!$A$2:$A$46)))</f>
        <v>B020</v>
      </c>
      <c r="B460" s="2" t="s">
        <v>21</v>
      </c>
      <c r="C460" t="str">
        <f>_xlfn.XLOOKUP(B460, Sheet1!A:A, Sheet1!B:B)</f>
        <v>butter cake</v>
      </c>
      <c r="D460">
        <f>_xlfn.XLOOKUP(B460,Sheet1!A:A,Sheet1!C:C)</f>
        <v>8</v>
      </c>
      <c r="E460">
        <f>_xlfn.XLOOKUP(B460,Sheet1!A:A,Sheet1!D:D)</f>
        <v>4</v>
      </c>
      <c r="F460">
        <f>_xlfn.XLOOKUP(Sheet3!B460,Sheet1!A:A,Sheet1!E:E)</f>
        <v>3</v>
      </c>
      <c r="G460">
        <f>_xlfn.XLOOKUP(B460,Sheet1!A:A,Sheet1!F:F)</f>
        <v>14</v>
      </c>
      <c r="H460" cm="1">
        <f t="array" aca="1" ref="H460" ca="1">INDEX(Sheet1!$G$2:$G$3, RANDBETWEEN(1, ROWS(Sheet1!$G$2:$G$3)))</f>
        <v>0</v>
      </c>
    </row>
    <row r="461" spans="1:8" x14ac:dyDescent="0.3">
      <c r="A461" s="2" t="str" cm="1">
        <f t="array" aca="1" ref="A461" ca="1">INDEX(Sheet1!$A$2:$A$46, RANDBETWEEN(1,ROWS(Sheet1!$A$2:$A$46)))</f>
        <v>B008</v>
      </c>
      <c r="B461" s="2" t="s">
        <v>22</v>
      </c>
      <c r="C461" t="str">
        <f>_xlfn.XLOOKUP(B461, Sheet1!A:A, Sheet1!B:B)</f>
        <v>chocolate chip cookies</v>
      </c>
      <c r="D461">
        <f>_xlfn.XLOOKUP(B461,Sheet1!A:A,Sheet1!C:C)</f>
        <v>12</v>
      </c>
      <c r="E461">
        <f>_xlfn.XLOOKUP(B461,Sheet1!A:A,Sheet1!D:D)</f>
        <v>3.5</v>
      </c>
      <c r="F461">
        <f>_xlfn.XLOOKUP(Sheet3!B461,Sheet1!A:A,Sheet1!E:E)</f>
        <v>3</v>
      </c>
      <c r="G461">
        <f>_xlfn.XLOOKUP(B461,Sheet1!A:A,Sheet1!F:F)</f>
        <v>14</v>
      </c>
      <c r="H461" t="str" cm="1">
        <f t="array" aca="1" ref="H461" ca="1">INDEX(Sheet1!$G$2:$G$3, RANDBETWEEN(1, ROWS(Sheet1!$G$2:$G$3)))</f>
        <v>No</v>
      </c>
    </row>
    <row r="462" spans="1:8" x14ac:dyDescent="0.3">
      <c r="A462" s="2" t="str" cm="1">
        <f t="array" aca="1" ref="A462" ca="1">INDEX(Sheet1!$A$2:$A$46, RANDBETWEEN(1,ROWS(Sheet1!$A$2:$A$46)))</f>
        <v>B029</v>
      </c>
      <c r="B462" s="2" t="s">
        <v>90</v>
      </c>
      <c r="C462" t="str">
        <f>_xlfn.XLOOKUP(B462, Sheet1!A:A, Sheet1!B:B)</f>
        <v>mini brownies</v>
      </c>
      <c r="D462">
        <f>_xlfn.XLOOKUP(B462,Sheet1!A:A,Sheet1!C:C)</f>
        <v>12</v>
      </c>
      <c r="E462">
        <f>_xlfn.XLOOKUP(B462,Sheet1!A:A,Sheet1!D:D)</f>
        <v>4.5</v>
      </c>
      <c r="F462">
        <f>_xlfn.XLOOKUP(Sheet3!B462,Sheet1!A:A,Sheet1!E:E)</f>
        <v>4</v>
      </c>
      <c r="G462">
        <f>_xlfn.XLOOKUP(B462,Sheet1!A:A,Sheet1!F:F)</f>
        <v>14</v>
      </c>
      <c r="H462" t="str" cm="1">
        <f t="array" aca="1" ref="H462" ca="1">INDEX(Sheet1!$G$2:$G$3, RANDBETWEEN(1, ROWS(Sheet1!$G$2:$G$3)))</f>
        <v>No</v>
      </c>
    </row>
    <row r="463" spans="1:8" x14ac:dyDescent="0.3">
      <c r="A463" s="2" t="str" cm="1">
        <f t="array" aca="1" ref="A463" ca="1">INDEX(Sheet1!$A$2:$A$46, RANDBETWEEN(1,ROWS(Sheet1!$A$2:$A$46)))</f>
        <v>B012</v>
      </c>
      <c r="B463" s="2" t="s">
        <v>80</v>
      </c>
      <c r="C463" t="str">
        <f>_xlfn.XLOOKUP(B463, Sheet1!A:A, Sheet1!B:B)</f>
        <v>carrot square cake</v>
      </c>
      <c r="D463">
        <f>_xlfn.XLOOKUP(B463,Sheet1!A:A,Sheet1!C:C)</f>
        <v>8</v>
      </c>
      <c r="E463">
        <f>_xlfn.XLOOKUP(B463,Sheet1!A:A,Sheet1!D:D)</f>
        <v>2.5</v>
      </c>
      <c r="F463">
        <f>_xlfn.XLOOKUP(Sheet3!B463,Sheet1!A:A,Sheet1!E:E)</f>
        <v>2</v>
      </c>
      <c r="G463">
        <f>_xlfn.XLOOKUP(B463,Sheet1!A:A,Sheet1!F:F)</f>
        <v>5</v>
      </c>
      <c r="H463" cm="1">
        <f t="array" aca="1" ref="H463" ca="1">INDEX(Sheet1!$G$2:$G$3, RANDBETWEEN(1, ROWS(Sheet1!$G$2:$G$3)))</f>
        <v>0</v>
      </c>
    </row>
    <row r="464" spans="1:8" x14ac:dyDescent="0.3">
      <c r="A464" s="2" t="str" cm="1">
        <f t="array" aca="1" ref="A464" ca="1">INDEX(Sheet1!$A$2:$A$46, RANDBETWEEN(1,ROWS(Sheet1!$A$2:$A$46)))</f>
        <v>B030</v>
      </c>
      <c r="B464" s="2" t="s">
        <v>61</v>
      </c>
      <c r="C464" t="str">
        <f>_xlfn.XLOOKUP(B464, Sheet1!A:A, Sheet1!B:B)</f>
        <v>marble sliced loaf cake</v>
      </c>
      <c r="D464">
        <f>_xlfn.XLOOKUP(B464,Sheet1!A:A,Sheet1!C:C)</f>
        <v>10</v>
      </c>
      <c r="E464">
        <f>_xlfn.XLOOKUP(B464,Sheet1!A:A,Sheet1!D:D)</f>
        <v>4</v>
      </c>
      <c r="F464">
        <f>_xlfn.XLOOKUP(Sheet3!B464,Sheet1!A:A,Sheet1!E:E)</f>
        <v>3.5</v>
      </c>
      <c r="G464">
        <f>_xlfn.XLOOKUP(B464,Sheet1!A:A,Sheet1!F:F)</f>
        <v>10</v>
      </c>
      <c r="H464" cm="1">
        <f t="array" aca="1" ref="H464" ca="1">INDEX(Sheet1!$G$2:$G$3, RANDBETWEEN(1, ROWS(Sheet1!$G$2:$G$3)))</f>
        <v>0</v>
      </c>
    </row>
    <row r="465" spans="1:8" x14ac:dyDescent="0.3">
      <c r="A465" s="2" t="str" cm="1">
        <f t="array" aca="1" ref="A465" ca="1">INDEX(Sheet1!$A$2:$A$46, RANDBETWEEN(1,ROWS(Sheet1!$A$2:$A$46)))</f>
        <v>B024</v>
      </c>
      <c r="B465" s="2" t="s">
        <v>21</v>
      </c>
      <c r="C465" t="str">
        <f>_xlfn.XLOOKUP(B465, Sheet1!A:A, Sheet1!B:B)</f>
        <v>butter cake</v>
      </c>
      <c r="D465">
        <f>_xlfn.XLOOKUP(B465,Sheet1!A:A,Sheet1!C:C)</f>
        <v>8</v>
      </c>
      <c r="E465">
        <f>_xlfn.XLOOKUP(B465,Sheet1!A:A,Sheet1!D:D)</f>
        <v>4</v>
      </c>
      <c r="F465">
        <f>_xlfn.XLOOKUP(Sheet3!B465,Sheet1!A:A,Sheet1!E:E)</f>
        <v>3</v>
      </c>
      <c r="G465">
        <f>_xlfn.XLOOKUP(B465,Sheet1!A:A,Sheet1!F:F)</f>
        <v>14</v>
      </c>
      <c r="H465" cm="1">
        <f t="array" aca="1" ref="H465" ca="1">INDEX(Sheet1!$G$2:$G$3, RANDBETWEEN(1, ROWS(Sheet1!$G$2:$G$3)))</f>
        <v>0</v>
      </c>
    </row>
    <row r="466" spans="1:8" x14ac:dyDescent="0.3">
      <c r="A466" s="2" t="str" cm="1">
        <f t="array" aca="1" ref="A466" ca="1">INDEX(Sheet1!$A$2:$A$46, RANDBETWEEN(1,ROWS(Sheet1!$A$2:$A$46)))</f>
        <v>B030</v>
      </c>
      <c r="B466" s="2" t="s">
        <v>55</v>
      </c>
      <c r="C466" t="str">
        <f>_xlfn.XLOOKUP(B466, Sheet1!A:A, Sheet1!B:B)</f>
        <v>cookies &amp; creme cake</v>
      </c>
      <c r="D466">
        <f>_xlfn.XLOOKUP(B466,Sheet1!A:A,Sheet1!C:C)</f>
        <v>4</v>
      </c>
      <c r="E466">
        <f>_xlfn.XLOOKUP(B466,Sheet1!A:A,Sheet1!D:D)</f>
        <v>8.5</v>
      </c>
      <c r="F466">
        <f>_xlfn.XLOOKUP(Sheet3!B466,Sheet1!A:A,Sheet1!E:E)</f>
        <v>6</v>
      </c>
      <c r="G466">
        <f>_xlfn.XLOOKUP(B466,Sheet1!A:A,Sheet1!F:F)</f>
        <v>7</v>
      </c>
      <c r="H466" t="str" cm="1">
        <f t="array" aca="1" ref="H466" ca="1">INDEX(Sheet1!$G$2:$G$3, RANDBETWEEN(1, ROWS(Sheet1!$G$2:$G$3)))</f>
        <v>No</v>
      </c>
    </row>
    <row r="467" spans="1:8" x14ac:dyDescent="0.3">
      <c r="A467" s="2" t="str" cm="1">
        <f t="array" aca="1" ref="A467" ca="1">INDEX(Sheet1!$A$2:$A$46, RANDBETWEEN(1,ROWS(Sheet1!$A$2:$A$46)))</f>
        <v>B018</v>
      </c>
      <c r="B467" s="2" t="s">
        <v>56</v>
      </c>
      <c r="C467" t="str">
        <f>_xlfn.XLOOKUP(B467, Sheet1!A:A, Sheet1!B:B)</f>
        <v>assorted cupcakes </v>
      </c>
      <c r="D467">
        <f>_xlfn.XLOOKUP(B467,Sheet1!A:A,Sheet1!C:C)</f>
        <v>8</v>
      </c>
      <c r="E467">
        <f>_xlfn.XLOOKUP(B467,Sheet1!A:A,Sheet1!D:D)</f>
        <v>6</v>
      </c>
      <c r="F467">
        <f>_xlfn.XLOOKUP(Sheet3!B467,Sheet1!A:A,Sheet1!E:E)</f>
        <v>5.5</v>
      </c>
      <c r="G467">
        <f>_xlfn.XLOOKUP(B467,Sheet1!A:A,Sheet1!F:F)</f>
        <v>20</v>
      </c>
      <c r="H467" t="str" cm="1">
        <f t="array" aca="1" ref="H467" ca="1">INDEX(Sheet1!$G$2:$G$3, RANDBETWEEN(1, ROWS(Sheet1!$G$2:$G$3)))</f>
        <v>No</v>
      </c>
    </row>
    <row r="468" spans="1:8" x14ac:dyDescent="0.3">
      <c r="A468" s="2" t="str" cm="1">
        <f t="array" aca="1" ref="A468" ca="1">INDEX(Sheet1!$A$2:$A$46, RANDBETWEEN(1,ROWS(Sheet1!$A$2:$A$46)))</f>
        <v>B037</v>
      </c>
      <c r="B468" s="2" t="s">
        <v>90</v>
      </c>
      <c r="C468" t="str">
        <f>_xlfn.XLOOKUP(B468, Sheet1!A:A, Sheet1!B:B)</f>
        <v>mini brownies</v>
      </c>
      <c r="D468">
        <f>_xlfn.XLOOKUP(B468,Sheet1!A:A,Sheet1!C:C)</f>
        <v>12</v>
      </c>
      <c r="E468">
        <f>_xlfn.XLOOKUP(B468,Sheet1!A:A,Sheet1!D:D)</f>
        <v>4.5</v>
      </c>
      <c r="F468">
        <f>_xlfn.XLOOKUP(Sheet3!B468,Sheet1!A:A,Sheet1!E:E)</f>
        <v>4</v>
      </c>
      <c r="G468">
        <f>_xlfn.XLOOKUP(B468,Sheet1!A:A,Sheet1!F:F)</f>
        <v>14</v>
      </c>
      <c r="H468" cm="1">
        <f t="array" aca="1" ref="H468" ca="1">INDEX(Sheet1!$G$2:$G$3, RANDBETWEEN(1, ROWS(Sheet1!$G$2:$G$3)))</f>
        <v>0</v>
      </c>
    </row>
    <row r="469" spans="1:8" x14ac:dyDescent="0.3">
      <c r="A469" s="2" t="str" cm="1">
        <f t="array" aca="1" ref="A469" ca="1">INDEX(Sheet1!$A$2:$A$46, RANDBETWEEN(1,ROWS(Sheet1!$A$2:$A$46)))</f>
        <v>B027</v>
      </c>
      <c r="B469" s="2" t="s">
        <v>79</v>
      </c>
      <c r="C469" t="str">
        <f>_xlfn.XLOOKUP(B469, Sheet1!A:A, Sheet1!B:B)</f>
        <v>chocolate square cake</v>
      </c>
      <c r="D469">
        <f>_xlfn.XLOOKUP(B469,Sheet1!A:A,Sheet1!C:C)</f>
        <v>8</v>
      </c>
      <c r="E469">
        <f>_xlfn.XLOOKUP(B469,Sheet1!A:A,Sheet1!D:D)</f>
        <v>2.5</v>
      </c>
      <c r="F469">
        <f>_xlfn.XLOOKUP(Sheet3!B469,Sheet1!A:A,Sheet1!E:E)</f>
        <v>2</v>
      </c>
      <c r="G469">
        <f>_xlfn.XLOOKUP(B469,Sheet1!A:A,Sheet1!F:F)</f>
        <v>5</v>
      </c>
      <c r="H469" cm="1">
        <f t="array" aca="1" ref="H469" ca="1">INDEX(Sheet1!$G$2:$G$3, RANDBETWEEN(1, ROWS(Sheet1!$G$2:$G$3)))</f>
        <v>0</v>
      </c>
    </row>
    <row r="470" spans="1:8" x14ac:dyDescent="0.3">
      <c r="A470" s="2" t="str" cm="1">
        <f t="array" aca="1" ref="A470" ca="1">INDEX(Sheet1!$A$2:$A$46, RANDBETWEEN(1,ROWS(Sheet1!$A$2:$A$46)))</f>
        <v>B044</v>
      </c>
      <c r="B470" s="2" t="s">
        <v>66</v>
      </c>
      <c r="C470" t="str">
        <f>_xlfn.XLOOKUP(B470, Sheet1!A:A, Sheet1!B:B)</f>
        <v>pumpernickel bread</v>
      </c>
      <c r="D470">
        <f>_xlfn.XLOOKUP(B470,Sheet1!A:A,Sheet1!C:C)</f>
        <v>8</v>
      </c>
      <c r="E470">
        <f>_xlfn.XLOOKUP(B470,Sheet1!A:A,Sheet1!D:D)</f>
        <v>3.5</v>
      </c>
      <c r="F470">
        <f>_xlfn.XLOOKUP(Sheet3!B470,Sheet1!A:A,Sheet1!E:E)</f>
        <v>3</v>
      </c>
      <c r="G470">
        <f>_xlfn.XLOOKUP(B470,Sheet1!A:A,Sheet1!F:F)</f>
        <v>8</v>
      </c>
      <c r="H470" t="str" cm="1">
        <f t="array" aca="1" ref="H470" ca="1">INDEX(Sheet1!$G$2:$G$3, RANDBETWEEN(1, ROWS(Sheet1!$G$2:$G$3)))</f>
        <v>No</v>
      </c>
    </row>
    <row r="471" spans="1:8" x14ac:dyDescent="0.3">
      <c r="A471" s="2" t="str" cm="1">
        <f t="array" aca="1" ref="A471" ca="1">INDEX(Sheet1!$A$2:$A$46, RANDBETWEEN(1,ROWS(Sheet1!$A$2:$A$46)))</f>
        <v>B024</v>
      </c>
      <c r="B471" s="2" t="s">
        <v>22</v>
      </c>
      <c r="C471" t="str">
        <f>_xlfn.XLOOKUP(B471, Sheet1!A:A, Sheet1!B:B)</f>
        <v>chocolate chip cookies</v>
      </c>
      <c r="D471">
        <f>_xlfn.XLOOKUP(B471,Sheet1!A:A,Sheet1!C:C)</f>
        <v>12</v>
      </c>
      <c r="E471">
        <f>_xlfn.XLOOKUP(B471,Sheet1!A:A,Sheet1!D:D)</f>
        <v>3.5</v>
      </c>
      <c r="F471">
        <f>_xlfn.XLOOKUP(Sheet3!B471,Sheet1!A:A,Sheet1!E:E)</f>
        <v>3</v>
      </c>
      <c r="G471">
        <f>_xlfn.XLOOKUP(B471,Sheet1!A:A,Sheet1!F:F)</f>
        <v>14</v>
      </c>
      <c r="H471" t="str" cm="1">
        <f t="array" aca="1" ref="H471" ca="1">INDEX(Sheet1!$G$2:$G$3, RANDBETWEEN(1, ROWS(Sheet1!$G$2:$G$3)))</f>
        <v>No</v>
      </c>
    </row>
    <row r="472" spans="1:8" x14ac:dyDescent="0.3">
      <c r="A472" s="2" t="str" cm="1">
        <f t="array" aca="1" ref="A472" ca="1">INDEX(Sheet1!$A$2:$A$46, RANDBETWEEN(1,ROWS(Sheet1!$A$2:$A$46)))</f>
        <v>B045</v>
      </c>
      <c r="B472" s="2" t="s">
        <v>68</v>
      </c>
      <c r="C472" t="str">
        <f>_xlfn.XLOOKUP(B472, Sheet1!A:A, Sheet1!B:B)</f>
        <v>oreja cookies</v>
      </c>
      <c r="D472">
        <f>_xlfn.XLOOKUP(B472,Sheet1!A:A,Sheet1!C:C)</f>
        <v>15</v>
      </c>
      <c r="E472">
        <f>_xlfn.XLOOKUP(B472,Sheet1!A:A,Sheet1!D:D)</f>
        <v>4</v>
      </c>
      <c r="F472">
        <f>_xlfn.XLOOKUP(Sheet3!B472,Sheet1!A:A,Sheet1!E:E)</f>
        <v>3</v>
      </c>
      <c r="G472">
        <f>_xlfn.XLOOKUP(B472,Sheet1!A:A,Sheet1!F:F)</f>
        <v>14</v>
      </c>
      <c r="H472" cm="1">
        <f t="array" aca="1" ref="H472" ca="1">INDEX(Sheet1!$G$2:$G$3, RANDBETWEEN(1, ROWS(Sheet1!$G$2:$G$3)))</f>
        <v>0</v>
      </c>
    </row>
    <row r="473" spans="1:8" x14ac:dyDescent="0.3">
      <c r="A473" s="2" t="str" cm="1">
        <f t="array" aca="1" ref="A473" ca="1">INDEX(Sheet1!$A$2:$A$46, RANDBETWEEN(1,ROWS(Sheet1!$A$2:$A$46)))</f>
        <v>B042</v>
      </c>
      <c r="B473" s="2" t="s">
        <v>10</v>
      </c>
      <c r="C473" t="str">
        <f>_xlfn.XLOOKUP(B473, Sheet1!A:A, Sheet1!B:B)</f>
        <v>croissant</v>
      </c>
      <c r="D473">
        <f>_xlfn.XLOOKUP(B473,Sheet1!A:A,Sheet1!C:C)</f>
        <v>10</v>
      </c>
      <c r="E473">
        <f>_xlfn.XLOOKUP(B473,Sheet1!A:A,Sheet1!D:D)</f>
        <v>5.5</v>
      </c>
      <c r="F473">
        <f>_xlfn.XLOOKUP(Sheet3!B473,Sheet1!A:A,Sheet1!E:E)</f>
        <v>4.5</v>
      </c>
      <c r="G473">
        <f>_xlfn.XLOOKUP(B473,Sheet1!A:A,Sheet1!F:F)</f>
        <v>7</v>
      </c>
      <c r="H473" t="str" cm="1">
        <f t="array" aca="1" ref="H473" ca="1">INDEX(Sheet1!$G$2:$G$3, RANDBETWEEN(1, ROWS(Sheet1!$G$2:$G$3)))</f>
        <v>No</v>
      </c>
    </row>
    <row r="474" spans="1:8" x14ac:dyDescent="0.3">
      <c r="A474" s="2" t="str" cm="1">
        <f t="array" aca="1" ref="A474" ca="1">INDEX(Sheet1!$A$2:$A$46, RANDBETWEEN(1,ROWS(Sheet1!$A$2:$A$46)))</f>
        <v>B031</v>
      </c>
      <c r="B474" s="2" t="s">
        <v>34</v>
      </c>
      <c r="C474" t="str">
        <f>_xlfn.XLOOKUP(B474, Sheet1!A:A, Sheet1!B:B)</f>
        <v>almond croissant</v>
      </c>
      <c r="D474">
        <f>_xlfn.XLOOKUP(B474,Sheet1!A:A,Sheet1!C:C)</f>
        <v>6</v>
      </c>
      <c r="E474">
        <f>_xlfn.XLOOKUP(B474,Sheet1!A:A,Sheet1!D:D)</f>
        <v>3.5</v>
      </c>
      <c r="F474">
        <f>_xlfn.XLOOKUP(Sheet3!B474,Sheet1!A:A,Sheet1!E:E)</f>
        <v>3</v>
      </c>
      <c r="G474">
        <f>_xlfn.XLOOKUP(B474,Sheet1!A:A,Sheet1!F:F)</f>
        <v>10</v>
      </c>
      <c r="H474" t="str" cm="1">
        <f t="array" aca="1" ref="H474" ca="1">INDEX(Sheet1!$G$2:$G$3, RANDBETWEEN(1, ROWS(Sheet1!$G$2:$G$3)))</f>
        <v>No</v>
      </c>
    </row>
    <row r="475" spans="1:8" x14ac:dyDescent="0.3">
      <c r="A475" s="2" t="str" cm="1">
        <f t="array" aca="1" ref="A475" ca="1">INDEX(Sheet1!$A$2:$A$46, RANDBETWEEN(1,ROWS(Sheet1!$A$2:$A$46)))</f>
        <v>B013</v>
      </c>
      <c r="B475" s="2" t="s">
        <v>58</v>
      </c>
      <c r="C475" t="str">
        <f>_xlfn.XLOOKUP(B475, Sheet1!A:A, Sheet1!B:B)</f>
        <v>cookies &amp; creme cupcakes</v>
      </c>
      <c r="D475">
        <f>_xlfn.XLOOKUP(B475,Sheet1!A:A,Sheet1!C:C)</f>
        <v>15</v>
      </c>
      <c r="E475">
        <f>_xlfn.XLOOKUP(B475,Sheet1!A:A,Sheet1!D:D)</f>
        <v>6</v>
      </c>
      <c r="F475">
        <f>_xlfn.XLOOKUP(Sheet3!B475,Sheet1!A:A,Sheet1!E:E)</f>
        <v>5.5</v>
      </c>
      <c r="G475">
        <f>_xlfn.XLOOKUP(B475,Sheet1!A:A,Sheet1!F:F)</f>
        <v>20</v>
      </c>
      <c r="H475" cm="1">
        <f t="array" aca="1" ref="H475" ca="1">INDEX(Sheet1!$G$2:$G$3, RANDBETWEEN(1, ROWS(Sheet1!$G$2:$G$3)))</f>
        <v>0</v>
      </c>
    </row>
    <row r="476" spans="1:8" x14ac:dyDescent="0.3">
      <c r="A476" s="2" t="str" cm="1">
        <f t="array" aca="1" ref="A476" ca="1">INDEX(Sheet1!$A$2:$A$46, RANDBETWEEN(1,ROWS(Sheet1!$A$2:$A$46)))</f>
        <v>B039</v>
      </c>
      <c r="B476" s="2" t="s">
        <v>34</v>
      </c>
      <c r="C476" t="str">
        <f>_xlfn.XLOOKUP(B476, Sheet1!A:A, Sheet1!B:B)</f>
        <v>almond croissant</v>
      </c>
      <c r="D476">
        <f>_xlfn.XLOOKUP(B476,Sheet1!A:A,Sheet1!C:C)</f>
        <v>6</v>
      </c>
      <c r="E476">
        <f>_xlfn.XLOOKUP(B476,Sheet1!A:A,Sheet1!D:D)</f>
        <v>3.5</v>
      </c>
      <c r="F476">
        <f>_xlfn.XLOOKUP(Sheet3!B476,Sheet1!A:A,Sheet1!E:E)</f>
        <v>3</v>
      </c>
      <c r="G476">
        <f>_xlfn.XLOOKUP(B476,Sheet1!A:A,Sheet1!F:F)</f>
        <v>10</v>
      </c>
      <c r="H476" t="str" cm="1">
        <f t="array" aca="1" ref="H476" ca="1">INDEX(Sheet1!$G$2:$G$3, RANDBETWEEN(1, ROWS(Sheet1!$G$2:$G$3)))</f>
        <v>No</v>
      </c>
    </row>
    <row r="477" spans="1:8" x14ac:dyDescent="0.3">
      <c r="A477" s="2" t="str" cm="1">
        <f t="array" aca="1" ref="A477" ca="1">INDEX(Sheet1!$A$2:$A$46, RANDBETWEEN(1,ROWS(Sheet1!$A$2:$A$46)))</f>
        <v>B004</v>
      </c>
      <c r="B477" s="2" t="s">
        <v>36</v>
      </c>
      <c r="C477" t="str">
        <f>_xlfn.XLOOKUP(B477, Sheet1!A:A, Sheet1!B:B)</f>
        <v>oatmeal raisin cookies</v>
      </c>
      <c r="D477">
        <f>_xlfn.XLOOKUP(B477,Sheet1!A:A,Sheet1!C:C)</f>
        <v>12</v>
      </c>
      <c r="E477">
        <f>_xlfn.XLOOKUP(B477,Sheet1!A:A,Sheet1!D:D)</f>
        <v>3.5</v>
      </c>
      <c r="F477">
        <f>_xlfn.XLOOKUP(Sheet3!B477,Sheet1!A:A,Sheet1!E:E)</f>
        <v>3</v>
      </c>
      <c r="G477">
        <f>_xlfn.XLOOKUP(B477,Sheet1!A:A,Sheet1!F:F)</f>
        <v>14</v>
      </c>
      <c r="H477" cm="1">
        <f t="array" aca="1" ref="H477" ca="1">INDEX(Sheet1!$G$2:$G$3, RANDBETWEEN(1, ROWS(Sheet1!$G$2:$G$3)))</f>
        <v>0</v>
      </c>
    </row>
    <row r="478" spans="1:8" x14ac:dyDescent="0.3">
      <c r="A478" s="2" t="str" cm="1">
        <f t="array" aca="1" ref="A478" ca="1">INDEX(Sheet1!$A$2:$A$46, RANDBETWEEN(1,ROWS(Sheet1!$A$2:$A$46)))</f>
        <v>B028</v>
      </c>
      <c r="B478" s="2" t="s">
        <v>84</v>
      </c>
      <c r="C478" t="str">
        <f>_xlfn.XLOOKUP(B478, Sheet1!A:A, Sheet1!B:B)</f>
        <v>plain bagels</v>
      </c>
      <c r="D478">
        <f>_xlfn.XLOOKUP(B478,Sheet1!A:A,Sheet1!C:C)</f>
        <v>8</v>
      </c>
      <c r="E478">
        <f>_xlfn.XLOOKUP(B478,Sheet1!A:A,Sheet1!D:D)</f>
        <v>3.5</v>
      </c>
      <c r="F478">
        <f>_xlfn.XLOOKUP(Sheet3!B478,Sheet1!A:A,Sheet1!E:E)</f>
        <v>3</v>
      </c>
      <c r="G478">
        <f>_xlfn.XLOOKUP(B478,Sheet1!A:A,Sheet1!F:F)</f>
        <v>8</v>
      </c>
      <c r="H478" cm="1">
        <f t="array" aca="1" ref="H478" ca="1">INDEX(Sheet1!$G$2:$G$3, RANDBETWEEN(1, ROWS(Sheet1!$G$2:$G$3)))</f>
        <v>0</v>
      </c>
    </row>
    <row r="479" spans="1:8" x14ac:dyDescent="0.3">
      <c r="A479" s="2" t="str" cm="1">
        <f t="array" aca="1" ref="A479" ca="1">INDEX(Sheet1!$A$2:$A$46, RANDBETWEEN(1,ROWS(Sheet1!$A$2:$A$46)))</f>
        <v>B017</v>
      </c>
      <c r="B479" s="2" t="s">
        <v>81</v>
      </c>
      <c r="C479" t="str">
        <f>_xlfn.XLOOKUP(B479, Sheet1!A:A, Sheet1!B:B)</f>
        <v>red velvet square cake</v>
      </c>
      <c r="D479">
        <f>_xlfn.XLOOKUP(B479,Sheet1!A:A,Sheet1!C:C)</f>
        <v>8</v>
      </c>
      <c r="E479">
        <f>_xlfn.XLOOKUP(B479,Sheet1!A:A,Sheet1!D:D)</f>
        <v>2.5</v>
      </c>
      <c r="F479">
        <f>_xlfn.XLOOKUP(Sheet3!B479,Sheet1!A:A,Sheet1!E:E)</f>
        <v>2</v>
      </c>
      <c r="G479">
        <f>_xlfn.XLOOKUP(B479,Sheet1!A:A,Sheet1!F:F)</f>
        <v>5</v>
      </c>
      <c r="H479" t="str" cm="1">
        <f t="array" aca="1" ref="H479" ca="1">INDEX(Sheet1!$G$2:$G$3, RANDBETWEEN(1, ROWS(Sheet1!$G$2:$G$3)))</f>
        <v>No</v>
      </c>
    </row>
    <row r="480" spans="1:8" x14ac:dyDescent="0.3">
      <c r="A480" s="2" t="str" cm="1">
        <f t="array" aca="1" ref="A480" ca="1">INDEX(Sheet1!$A$2:$A$46, RANDBETWEEN(1,ROWS(Sheet1!$A$2:$A$46)))</f>
        <v>B037</v>
      </c>
      <c r="B480" s="2" t="s">
        <v>83</v>
      </c>
      <c r="C480" t="str">
        <f>_xlfn.XLOOKUP(B480, Sheet1!A:A, Sheet1!B:B)</f>
        <v>pumpkin spice muffins</v>
      </c>
      <c r="D480">
        <f>_xlfn.XLOOKUP(B480,Sheet1!A:A,Sheet1!C:C)</f>
        <v>10</v>
      </c>
      <c r="E480">
        <f>_xlfn.XLOOKUP(B480,Sheet1!A:A,Sheet1!D:D)</f>
        <v>4.5</v>
      </c>
      <c r="F480">
        <f>_xlfn.XLOOKUP(Sheet3!B480,Sheet1!A:A,Sheet1!E:E)</f>
        <v>4</v>
      </c>
      <c r="G480">
        <f>_xlfn.XLOOKUP(B480,Sheet1!A:A,Sheet1!F:F)</f>
        <v>10</v>
      </c>
      <c r="H480" cm="1">
        <f t="array" aca="1" ref="H480" ca="1">INDEX(Sheet1!$G$2:$G$3, RANDBETWEEN(1, ROWS(Sheet1!$G$2:$G$3)))</f>
        <v>0</v>
      </c>
    </row>
    <row r="481" spans="1:8" x14ac:dyDescent="0.3">
      <c r="A481" s="2" t="str" cm="1">
        <f t="array" aca="1" ref="A481" ca="1">INDEX(Sheet1!$A$2:$A$46, RANDBETWEEN(1,ROWS(Sheet1!$A$2:$A$46)))</f>
        <v>B001</v>
      </c>
      <c r="B481" s="2" t="s">
        <v>57</v>
      </c>
      <c r="C481" t="str">
        <f>_xlfn.XLOOKUP(B481, Sheet1!A:A, Sheet1!B:B)</f>
        <v>vanilla cupcakes</v>
      </c>
      <c r="D481">
        <f>_xlfn.XLOOKUP(B481,Sheet1!A:A,Sheet1!C:C)</f>
        <v>8</v>
      </c>
      <c r="E481">
        <f>_xlfn.XLOOKUP(B481,Sheet1!A:A,Sheet1!D:D)</f>
        <v>6</v>
      </c>
      <c r="F481">
        <f>_xlfn.XLOOKUP(Sheet3!B481,Sheet1!A:A,Sheet1!E:E)</f>
        <v>5.5</v>
      </c>
      <c r="G481">
        <f>_xlfn.XLOOKUP(B481,Sheet1!A:A,Sheet1!F:F)</f>
        <v>20</v>
      </c>
      <c r="H481" cm="1">
        <f t="array" aca="1" ref="H481" ca="1">INDEX(Sheet1!$G$2:$G$3, RANDBETWEEN(1, ROWS(Sheet1!$G$2:$G$3)))</f>
        <v>0</v>
      </c>
    </row>
    <row r="482" spans="1:8" x14ac:dyDescent="0.3">
      <c r="A482" s="2" t="str" cm="1">
        <f t="array" aca="1" ref="A482" ca="1">INDEX(Sheet1!$A$2:$A$46, RANDBETWEEN(1,ROWS(Sheet1!$A$2:$A$46)))</f>
        <v>B005</v>
      </c>
      <c r="B482" s="2" t="s">
        <v>64</v>
      </c>
      <c r="C482" t="str">
        <f>_xlfn.XLOOKUP(B482, Sheet1!A:A, Sheet1!B:B)</f>
        <v>marble bread</v>
      </c>
      <c r="D482">
        <f>_xlfn.XLOOKUP(B482,Sheet1!A:A,Sheet1!C:C)</f>
        <v>8</v>
      </c>
      <c r="E482">
        <f>_xlfn.XLOOKUP(B482,Sheet1!A:A,Sheet1!D:D)</f>
        <v>3.5</v>
      </c>
      <c r="F482">
        <f>_xlfn.XLOOKUP(Sheet3!B482,Sheet1!A:A,Sheet1!E:E)</f>
        <v>3</v>
      </c>
      <c r="G482">
        <f>_xlfn.XLOOKUP(B482,Sheet1!A:A,Sheet1!F:F)</f>
        <v>8</v>
      </c>
      <c r="H482" cm="1">
        <f t="array" aca="1" ref="H482" ca="1">INDEX(Sheet1!$G$2:$G$3, RANDBETWEEN(1, ROWS(Sheet1!$G$2:$G$3)))</f>
        <v>0</v>
      </c>
    </row>
    <row r="483" spans="1:8" x14ac:dyDescent="0.3">
      <c r="A483" s="2" t="str" cm="1">
        <f t="array" aca="1" ref="A483" ca="1">INDEX(Sheet1!$A$2:$A$46, RANDBETWEEN(1,ROWS(Sheet1!$A$2:$A$46)))</f>
        <v>B009</v>
      </c>
      <c r="B483" s="2" t="s">
        <v>92</v>
      </c>
      <c r="C483" t="str">
        <f>_xlfn.XLOOKUP(B483, Sheet1!A:A, Sheet1!B:B)</f>
        <v>square brownies</v>
      </c>
      <c r="D483">
        <f>_xlfn.XLOOKUP(B483,Sheet1!A:A,Sheet1!C:C)</f>
        <v>6</v>
      </c>
      <c r="E483">
        <f>_xlfn.XLOOKUP(B483,Sheet1!A:A,Sheet1!D:D)</f>
        <v>4.5</v>
      </c>
      <c r="F483">
        <f>_xlfn.XLOOKUP(Sheet3!B483,Sheet1!A:A,Sheet1!E:E)</f>
        <v>4</v>
      </c>
      <c r="G483">
        <f>_xlfn.XLOOKUP(B483,Sheet1!A:A,Sheet1!F:F)</f>
        <v>14</v>
      </c>
      <c r="H483" cm="1">
        <f t="array" aca="1" ref="H483" ca="1">INDEX(Sheet1!$G$2:$G$3, RANDBETWEEN(1, ROWS(Sheet1!$G$2:$G$3)))</f>
        <v>0</v>
      </c>
    </row>
    <row r="484" spans="1:8" x14ac:dyDescent="0.3">
      <c r="A484" s="2" t="str" cm="1">
        <f t="array" aca="1" ref="A484" ca="1">INDEX(Sheet1!$A$2:$A$46, RANDBETWEEN(1,ROWS(Sheet1!$A$2:$A$46)))</f>
        <v>B031</v>
      </c>
      <c r="B484" s="2" t="s">
        <v>81</v>
      </c>
      <c r="C484" t="str">
        <f>_xlfn.XLOOKUP(B484, Sheet1!A:A, Sheet1!B:B)</f>
        <v>red velvet square cake</v>
      </c>
      <c r="D484">
        <f>_xlfn.XLOOKUP(B484,Sheet1!A:A,Sheet1!C:C)</f>
        <v>8</v>
      </c>
      <c r="E484">
        <f>_xlfn.XLOOKUP(B484,Sheet1!A:A,Sheet1!D:D)</f>
        <v>2.5</v>
      </c>
      <c r="F484">
        <f>_xlfn.XLOOKUP(Sheet3!B484,Sheet1!A:A,Sheet1!E:E)</f>
        <v>2</v>
      </c>
      <c r="G484">
        <f>_xlfn.XLOOKUP(B484,Sheet1!A:A,Sheet1!F:F)</f>
        <v>5</v>
      </c>
      <c r="H484" cm="1">
        <f t="array" aca="1" ref="H484" ca="1">INDEX(Sheet1!$G$2:$G$3, RANDBETWEEN(1, ROWS(Sheet1!$G$2:$G$3)))</f>
        <v>0</v>
      </c>
    </row>
    <row r="485" spans="1:8" x14ac:dyDescent="0.3">
      <c r="A485" s="2" t="str" cm="1">
        <f t="array" aca="1" ref="A485" ca="1">INDEX(Sheet1!$A$2:$A$46, RANDBETWEEN(1,ROWS(Sheet1!$A$2:$A$46)))</f>
        <v>B007</v>
      </c>
      <c r="B485" s="2" t="s">
        <v>35</v>
      </c>
      <c r="C485" t="str">
        <f>_xlfn.XLOOKUP(B485, Sheet1!A:A, Sheet1!B:B)</f>
        <v>orange pound</v>
      </c>
      <c r="D485">
        <f>_xlfn.XLOOKUP(B485,Sheet1!A:A,Sheet1!C:C)</f>
        <v>8</v>
      </c>
      <c r="E485">
        <f>_xlfn.XLOOKUP(B485,Sheet1!A:A,Sheet1!D:D)</f>
        <v>3.5</v>
      </c>
      <c r="F485">
        <f>_xlfn.XLOOKUP(Sheet3!B485,Sheet1!A:A,Sheet1!E:E)</f>
        <v>3</v>
      </c>
      <c r="G485">
        <f>_xlfn.XLOOKUP(B485,Sheet1!A:A,Sheet1!F:F)</f>
        <v>14</v>
      </c>
      <c r="H485" t="str" cm="1">
        <f t="array" aca="1" ref="H485" ca="1">INDEX(Sheet1!$G$2:$G$3, RANDBETWEEN(1, ROWS(Sheet1!$G$2:$G$3)))</f>
        <v>No</v>
      </c>
    </row>
    <row r="486" spans="1:8" x14ac:dyDescent="0.3">
      <c r="A486" s="2" t="str" cm="1">
        <f t="array" aca="1" ref="A486" ca="1">INDEX(Sheet1!$A$2:$A$46, RANDBETWEEN(1,ROWS(Sheet1!$A$2:$A$46)))</f>
        <v>B044</v>
      </c>
      <c r="B486" s="2" t="s">
        <v>80</v>
      </c>
      <c r="C486" t="str">
        <f>_xlfn.XLOOKUP(B486, Sheet1!A:A, Sheet1!B:B)</f>
        <v>carrot square cake</v>
      </c>
      <c r="D486">
        <f>_xlfn.XLOOKUP(B486,Sheet1!A:A,Sheet1!C:C)</f>
        <v>8</v>
      </c>
      <c r="E486">
        <f>_xlfn.XLOOKUP(B486,Sheet1!A:A,Sheet1!D:D)</f>
        <v>2.5</v>
      </c>
      <c r="F486">
        <f>_xlfn.XLOOKUP(Sheet3!B486,Sheet1!A:A,Sheet1!E:E)</f>
        <v>2</v>
      </c>
      <c r="G486">
        <f>_xlfn.XLOOKUP(B486,Sheet1!A:A,Sheet1!F:F)</f>
        <v>5</v>
      </c>
      <c r="H486" t="str" cm="1">
        <f t="array" aca="1" ref="H486" ca="1">INDEX(Sheet1!$G$2:$G$3, RANDBETWEEN(1, ROWS(Sheet1!$G$2:$G$3)))</f>
        <v>No</v>
      </c>
    </row>
    <row r="487" spans="1:8" x14ac:dyDescent="0.3">
      <c r="A487" s="2" t="str" cm="1">
        <f t="array" aca="1" ref="A487" ca="1">INDEX(Sheet1!$A$2:$A$46, RANDBETWEEN(1,ROWS(Sheet1!$A$2:$A$46)))</f>
        <v>B017</v>
      </c>
      <c r="B487" s="2" t="s">
        <v>41</v>
      </c>
      <c r="C487" t="str">
        <f>_xlfn.XLOOKUP(B487, Sheet1!A:A, Sheet1!B:B)</f>
        <v>frosted blue cookies</v>
      </c>
      <c r="D487">
        <f>_xlfn.XLOOKUP(B487,Sheet1!A:A,Sheet1!C:C)</f>
        <v>15</v>
      </c>
      <c r="E487">
        <f>_xlfn.XLOOKUP(B487,Sheet1!A:A,Sheet1!D:D)</f>
        <v>3</v>
      </c>
      <c r="F487">
        <f>_xlfn.XLOOKUP(Sheet3!B487,Sheet1!A:A,Sheet1!E:E)</f>
        <v>2.5</v>
      </c>
      <c r="G487">
        <f>_xlfn.XLOOKUP(B487,Sheet1!A:A,Sheet1!F:F)</f>
        <v>14</v>
      </c>
      <c r="H487" t="str" cm="1">
        <f t="array" aca="1" ref="H487" ca="1">INDEX(Sheet1!$G$2:$G$3, RANDBETWEEN(1, ROWS(Sheet1!$G$2:$G$3)))</f>
        <v>No</v>
      </c>
    </row>
    <row r="488" spans="1:8" x14ac:dyDescent="0.3">
      <c r="A488" s="2" t="str" cm="1">
        <f t="array" aca="1" ref="A488" ca="1">INDEX(Sheet1!$A$2:$A$46, RANDBETWEEN(1,ROWS(Sheet1!$A$2:$A$46)))</f>
        <v>B023</v>
      </c>
      <c r="B488" s="2" t="s">
        <v>61</v>
      </c>
      <c r="C488" t="str">
        <f>_xlfn.XLOOKUP(B488, Sheet1!A:A, Sheet1!B:B)</f>
        <v>marble sliced loaf cake</v>
      </c>
      <c r="D488">
        <f>_xlfn.XLOOKUP(B488,Sheet1!A:A,Sheet1!C:C)</f>
        <v>10</v>
      </c>
      <c r="E488">
        <f>_xlfn.XLOOKUP(B488,Sheet1!A:A,Sheet1!D:D)</f>
        <v>4</v>
      </c>
      <c r="F488">
        <f>_xlfn.XLOOKUP(Sheet3!B488,Sheet1!A:A,Sheet1!E:E)</f>
        <v>3.5</v>
      </c>
      <c r="G488">
        <f>_xlfn.XLOOKUP(B488,Sheet1!A:A,Sheet1!F:F)</f>
        <v>10</v>
      </c>
      <c r="H488" t="str" cm="1">
        <f t="array" aca="1" ref="H488" ca="1">INDEX(Sheet1!$G$2:$G$3, RANDBETWEEN(1, ROWS(Sheet1!$G$2:$G$3)))</f>
        <v>No</v>
      </c>
    </row>
    <row r="489" spans="1:8" x14ac:dyDescent="0.3">
      <c r="A489" s="2" t="str" cm="1">
        <f t="array" aca="1" ref="A489" ca="1">INDEX(Sheet1!$A$2:$A$46, RANDBETWEEN(1,ROWS(Sheet1!$A$2:$A$46)))</f>
        <v>B042</v>
      </c>
      <c r="B489" s="2" t="s">
        <v>20</v>
      </c>
      <c r="C489" t="str">
        <f>_xlfn.XLOOKUP(B489, Sheet1!A:A, Sheet1!B:B)</f>
        <v>banana nut muffins</v>
      </c>
      <c r="D489">
        <f>_xlfn.XLOOKUP(B489,Sheet1!A:A,Sheet1!C:C)</f>
        <v>10</v>
      </c>
      <c r="E489">
        <f>_xlfn.XLOOKUP(B489,Sheet1!A:A,Sheet1!D:D)</f>
        <v>4.5</v>
      </c>
      <c r="F489">
        <f>_xlfn.XLOOKUP(Sheet3!B489,Sheet1!A:A,Sheet1!E:E)</f>
        <v>4</v>
      </c>
      <c r="G489">
        <f>_xlfn.XLOOKUP(B489,Sheet1!A:A,Sheet1!F:F)</f>
        <v>10</v>
      </c>
      <c r="H489" cm="1">
        <f t="array" aca="1" ref="H489" ca="1">INDEX(Sheet1!$G$2:$G$3, RANDBETWEEN(1, ROWS(Sheet1!$G$2:$G$3)))</f>
        <v>0</v>
      </c>
    </row>
    <row r="490" spans="1:8" x14ac:dyDescent="0.3">
      <c r="A490" s="2" t="str" cm="1">
        <f t="array" aca="1" ref="A490" ca="1">INDEX(Sheet1!$A$2:$A$46, RANDBETWEEN(1,ROWS(Sheet1!$A$2:$A$46)))</f>
        <v>B034</v>
      </c>
      <c r="B490" s="2" t="s">
        <v>69</v>
      </c>
      <c r="C490" t="str">
        <f>_xlfn.XLOOKUP(B490, Sheet1!A:A, Sheet1!B:B)</f>
        <v>coconut creme pie</v>
      </c>
      <c r="D490">
        <f>_xlfn.XLOOKUP(B490,Sheet1!A:A,Sheet1!C:C)</f>
        <v>6</v>
      </c>
      <c r="E490">
        <f>_xlfn.XLOOKUP(B490,Sheet1!A:A,Sheet1!D:D)</f>
        <v>4</v>
      </c>
      <c r="F490">
        <f>_xlfn.XLOOKUP(Sheet3!B490,Sheet1!A:A,Sheet1!E:E)</f>
        <v>3</v>
      </c>
      <c r="G490">
        <f>_xlfn.XLOOKUP(B490,Sheet1!A:A,Sheet1!F:F)</f>
        <v>7</v>
      </c>
      <c r="H490" cm="1">
        <f t="array" aca="1" ref="H490" ca="1">INDEX(Sheet1!$G$2:$G$3, RANDBETWEEN(1, ROWS(Sheet1!$G$2:$G$3)))</f>
        <v>0</v>
      </c>
    </row>
    <row r="491" spans="1:8" x14ac:dyDescent="0.3">
      <c r="A491" s="2" t="str" cm="1">
        <f t="array" aca="1" ref="A491" ca="1">INDEX(Sheet1!$A$2:$A$46, RANDBETWEEN(1,ROWS(Sheet1!$A$2:$A$46)))</f>
        <v>B008</v>
      </c>
      <c r="B491" s="2" t="s">
        <v>58</v>
      </c>
      <c r="C491" t="str">
        <f>_xlfn.XLOOKUP(B491, Sheet1!A:A, Sheet1!B:B)</f>
        <v>cookies &amp; creme cupcakes</v>
      </c>
      <c r="D491">
        <f>_xlfn.XLOOKUP(B491,Sheet1!A:A,Sheet1!C:C)</f>
        <v>15</v>
      </c>
      <c r="E491">
        <f>_xlfn.XLOOKUP(B491,Sheet1!A:A,Sheet1!D:D)</f>
        <v>6</v>
      </c>
      <c r="F491">
        <f>_xlfn.XLOOKUP(Sheet3!B491,Sheet1!A:A,Sheet1!E:E)</f>
        <v>5.5</v>
      </c>
      <c r="G491">
        <f>_xlfn.XLOOKUP(B491,Sheet1!A:A,Sheet1!F:F)</f>
        <v>20</v>
      </c>
      <c r="H491" t="str" cm="1">
        <f t="array" aca="1" ref="H491" ca="1">INDEX(Sheet1!$G$2:$G$3, RANDBETWEEN(1, ROWS(Sheet1!$G$2:$G$3)))</f>
        <v>No</v>
      </c>
    </row>
    <row r="492" spans="1:8" x14ac:dyDescent="0.3">
      <c r="A492" s="2" t="str" cm="1">
        <f t="array" aca="1" ref="A492" ca="1">INDEX(Sheet1!$A$2:$A$46, RANDBETWEEN(1,ROWS(Sheet1!$A$2:$A$46)))</f>
        <v>B030</v>
      </c>
      <c r="B492" s="2" t="s">
        <v>39</v>
      </c>
      <c r="C492" t="str">
        <f>_xlfn.XLOOKUP(B492, Sheet1!A:A, Sheet1!B:B)</f>
        <v>macadamia nut cookies</v>
      </c>
      <c r="D492">
        <f>_xlfn.XLOOKUP(B492,Sheet1!A:A,Sheet1!C:C)</f>
        <v>12</v>
      </c>
      <c r="E492">
        <f>_xlfn.XLOOKUP(B492,Sheet1!A:A,Sheet1!D:D)</f>
        <v>3.5</v>
      </c>
      <c r="F492">
        <f>_xlfn.XLOOKUP(Sheet3!B492,Sheet1!A:A,Sheet1!E:E)</f>
        <v>3</v>
      </c>
      <c r="G492">
        <f>_xlfn.XLOOKUP(B492,Sheet1!A:A,Sheet1!F:F)</f>
        <v>14</v>
      </c>
      <c r="H492" t="str" cm="1">
        <f t="array" aca="1" ref="H492" ca="1">INDEX(Sheet1!$G$2:$G$3, RANDBETWEEN(1, ROWS(Sheet1!$G$2:$G$3)))</f>
        <v>No</v>
      </c>
    </row>
    <row r="493" spans="1:8" x14ac:dyDescent="0.3">
      <c r="A493" s="2" t="str" cm="1">
        <f t="array" aca="1" ref="A493" ca="1">INDEX(Sheet1!$A$2:$A$46, RANDBETWEEN(1,ROWS(Sheet1!$A$2:$A$46)))</f>
        <v>B017</v>
      </c>
      <c r="B493" s="2" t="s">
        <v>20</v>
      </c>
      <c r="C493" t="str">
        <f>_xlfn.XLOOKUP(B493, Sheet1!A:A, Sheet1!B:B)</f>
        <v>banana nut muffins</v>
      </c>
      <c r="D493">
        <f>_xlfn.XLOOKUP(B493,Sheet1!A:A,Sheet1!C:C)</f>
        <v>10</v>
      </c>
      <c r="E493">
        <f>_xlfn.XLOOKUP(B493,Sheet1!A:A,Sheet1!D:D)</f>
        <v>4.5</v>
      </c>
      <c r="F493">
        <f>_xlfn.XLOOKUP(Sheet3!B493,Sheet1!A:A,Sheet1!E:E)</f>
        <v>4</v>
      </c>
      <c r="G493">
        <f>_xlfn.XLOOKUP(B493,Sheet1!A:A,Sheet1!F:F)</f>
        <v>10</v>
      </c>
      <c r="H493" cm="1">
        <f t="array" aca="1" ref="H493" ca="1">INDEX(Sheet1!$G$2:$G$3, RANDBETWEEN(1, ROWS(Sheet1!$G$2:$G$3)))</f>
        <v>0</v>
      </c>
    </row>
    <row r="494" spans="1:8" x14ac:dyDescent="0.3">
      <c r="A494" s="2" t="str" cm="1">
        <f t="array" aca="1" ref="A494" ca="1">INDEX(Sheet1!$A$2:$A$46, RANDBETWEEN(1,ROWS(Sheet1!$A$2:$A$46)))</f>
        <v>B042</v>
      </c>
      <c r="B494" s="2" t="s">
        <v>39</v>
      </c>
      <c r="C494" t="str">
        <f>_xlfn.XLOOKUP(B494, Sheet1!A:A, Sheet1!B:B)</f>
        <v>macadamia nut cookies</v>
      </c>
      <c r="D494">
        <f>_xlfn.XLOOKUP(B494,Sheet1!A:A,Sheet1!C:C)</f>
        <v>12</v>
      </c>
      <c r="E494">
        <f>_xlfn.XLOOKUP(B494,Sheet1!A:A,Sheet1!D:D)</f>
        <v>3.5</v>
      </c>
      <c r="F494">
        <f>_xlfn.XLOOKUP(Sheet3!B494,Sheet1!A:A,Sheet1!E:E)</f>
        <v>3</v>
      </c>
      <c r="G494">
        <f>_xlfn.XLOOKUP(B494,Sheet1!A:A,Sheet1!F:F)</f>
        <v>14</v>
      </c>
      <c r="H494" t="str" cm="1">
        <f t="array" aca="1" ref="H494" ca="1">INDEX(Sheet1!$G$2:$G$3, RANDBETWEEN(1, ROWS(Sheet1!$G$2:$G$3)))</f>
        <v>No</v>
      </c>
    </row>
    <row r="495" spans="1:8" x14ac:dyDescent="0.3">
      <c r="A495" s="2" t="str" cm="1">
        <f t="array" aca="1" ref="A495" ca="1">INDEX(Sheet1!$A$2:$A$46, RANDBETWEEN(1,ROWS(Sheet1!$A$2:$A$46)))</f>
        <v>B017</v>
      </c>
      <c r="B495" s="2" t="s">
        <v>82</v>
      </c>
      <c r="C495" t="str">
        <f>_xlfn.XLOOKUP(B495, Sheet1!A:A, Sheet1!B:B)</f>
        <v>white square cake</v>
      </c>
      <c r="D495">
        <f>_xlfn.XLOOKUP(B495,Sheet1!A:A,Sheet1!C:C)</f>
        <v>8</v>
      </c>
      <c r="E495">
        <f>_xlfn.XLOOKUP(B495,Sheet1!A:A,Sheet1!D:D)</f>
        <v>2.5</v>
      </c>
      <c r="F495">
        <f>_xlfn.XLOOKUP(Sheet3!B495,Sheet1!A:A,Sheet1!E:E)</f>
        <v>2</v>
      </c>
      <c r="G495">
        <f>_xlfn.XLOOKUP(B495,Sheet1!A:A,Sheet1!F:F)</f>
        <v>5</v>
      </c>
      <c r="H495" cm="1">
        <f t="array" aca="1" ref="H495" ca="1">INDEX(Sheet1!$G$2:$G$3, RANDBETWEEN(1, ROWS(Sheet1!$G$2:$G$3)))</f>
        <v>0</v>
      </c>
    </row>
    <row r="496" spans="1:8" x14ac:dyDescent="0.3">
      <c r="A496" s="2" t="str" cm="1">
        <f t="array" aca="1" ref="A496" ca="1">INDEX(Sheet1!$A$2:$A$46, RANDBETWEEN(1,ROWS(Sheet1!$A$2:$A$46)))</f>
        <v>B008</v>
      </c>
      <c r="B496" s="2" t="s">
        <v>71</v>
      </c>
      <c r="C496" t="str">
        <f>_xlfn.XLOOKUP(B496, Sheet1!A:A, Sheet1!B:B)</f>
        <v>blueberry pie</v>
      </c>
      <c r="D496">
        <f>_xlfn.XLOOKUP(B496,Sheet1!A:A,Sheet1!C:C)</f>
        <v>6</v>
      </c>
      <c r="E496">
        <f>_xlfn.XLOOKUP(B496,Sheet1!A:A,Sheet1!D:D)</f>
        <v>4</v>
      </c>
      <c r="F496">
        <f>_xlfn.XLOOKUP(Sheet3!B496,Sheet1!A:A,Sheet1!E:E)</f>
        <v>3</v>
      </c>
      <c r="G496">
        <f>_xlfn.XLOOKUP(B496,Sheet1!A:A,Sheet1!F:F)</f>
        <v>7</v>
      </c>
      <c r="H496" cm="1">
        <f t="array" aca="1" ref="H496" ca="1">INDEX(Sheet1!$G$2:$G$3, RANDBETWEEN(1, ROWS(Sheet1!$G$2:$G$3)))</f>
        <v>0</v>
      </c>
    </row>
    <row r="497" spans="1:8" x14ac:dyDescent="0.3">
      <c r="A497" s="2" t="str" cm="1">
        <f t="array" aca="1" ref="A497" ca="1">INDEX(Sheet1!$A$2:$A$46, RANDBETWEEN(1,ROWS(Sheet1!$A$2:$A$46)))</f>
        <v>B021</v>
      </c>
      <c r="B497" s="2" t="s">
        <v>55</v>
      </c>
      <c r="C497" t="str">
        <f>_xlfn.XLOOKUP(B497, Sheet1!A:A, Sheet1!B:B)</f>
        <v>cookies &amp; creme cake</v>
      </c>
      <c r="D497">
        <f>_xlfn.XLOOKUP(B497,Sheet1!A:A,Sheet1!C:C)</f>
        <v>4</v>
      </c>
      <c r="E497">
        <f>_xlfn.XLOOKUP(B497,Sheet1!A:A,Sheet1!D:D)</f>
        <v>8.5</v>
      </c>
      <c r="F497">
        <f>_xlfn.XLOOKUP(Sheet3!B497,Sheet1!A:A,Sheet1!E:E)</f>
        <v>6</v>
      </c>
      <c r="G497">
        <f>_xlfn.XLOOKUP(B497,Sheet1!A:A,Sheet1!F:F)</f>
        <v>7</v>
      </c>
      <c r="H497" cm="1">
        <f t="array" aca="1" ref="H497" ca="1">INDEX(Sheet1!$G$2:$G$3, RANDBETWEEN(1, ROWS(Sheet1!$G$2:$G$3)))</f>
        <v>0</v>
      </c>
    </row>
    <row r="498" spans="1:8" x14ac:dyDescent="0.3">
      <c r="A498" s="2" t="str" cm="1">
        <f t="array" aca="1" ref="A498" ca="1">INDEX(Sheet1!$A$2:$A$46, RANDBETWEEN(1,ROWS(Sheet1!$A$2:$A$46)))</f>
        <v>B001</v>
      </c>
      <c r="B498" s="2" t="s">
        <v>68</v>
      </c>
      <c r="C498" t="str">
        <f>_xlfn.XLOOKUP(B498, Sheet1!A:A, Sheet1!B:B)</f>
        <v>oreja cookies</v>
      </c>
      <c r="D498">
        <f>_xlfn.XLOOKUP(B498,Sheet1!A:A,Sheet1!C:C)</f>
        <v>15</v>
      </c>
      <c r="E498">
        <f>_xlfn.XLOOKUP(B498,Sheet1!A:A,Sheet1!D:D)</f>
        <v>4</v>
      </c>
      <c r="F498">
        <f>_xlfn.XLOOKUP(Sheet3!B498,Sheet1!A:A,Sheet1!E:E)</f>
        <v>3</v>
      </c>
      <c r="G498">
        <f>_xlfn.XLOOKUP(B498,Sheet1!A:A,Sheet1!F:F)</f>
        <v>14</v>
      </c>
      <c r="H498" t="str" cm="1">
        <f t="array" aca="1" ref="H498" ca="1">INDEX(Sheet1!$G$2:$G$3, RANDBETWEEN(1, ROWS(Sheet1!$G$2:$G$3)))</f>
        <v>No</v>
      </c>
    </row>
    <row r="499" spans="1:8" x14ac:dyDescent="0.3">
      <c r="A499" s="2" t="str" cm="1">
        <f t="array" aca="1" ref="A499" ca="1">INDEX(Sheet1!$A$2:$A$46, RANDBETWEEN(1,ROWS(Sheet1!$A$2:$A$46)))</f>
        <v>B014</v>
      </c>
      <c r="B499" s="2" t="s">
        <v>69</v>
      </c>
      <c r="C499" t="str">
        <f>_xlfn.XLOOKUP(B499, Sheet1!A:A, Sheet1!B:B)</f>
        <v>coconut creme pie</v>
      </c>
      <c r="D499">
        <f>_xlfn.XLOOKUP(B499,Sheet1!A:A,Sheet1!C:C)</f>
        <v>6</v>
      </c>
      <c r="E499">
        <f>_xlfn.XLOOKUP(B499,Sheet1!A:A,Sheet1!D:D)</f>
        <v>4</v>
      </c>
      <c r="F499">
        <f>_xlfn.XLOOKUP(Sheet3!B499,Sheet1!A:A,Sheet1!E:E)</f>
        <v>3</v>
      </c>
      <c r="G499">
        <f>_xlfn.XLOOKUP(B499,Sheet1!A:A,Sheet1!F:F)</f>
        <v>7</v>
      </c>
      <c r="H499" cm="1">
        <f t="array" aca="1" ref="H499" ca="1">INDEX(Sheet1!$G$2:$G$3, RANDBETWEEN(1, ROWS(Sheet1!$G$2:$G$3)))</f>
        <v>0</v>
      </c>
    </row>
    <row r="500" spans="1:8" x14ac:dyDescent="0.3">
      <c r="A500" s="2" t="str" cm="1">
        <f t="array" aca="1" ref="A500" ca="1">INDEX(Sheet1!$A$2:$A$46, RANDBETWEEN(1,ROWS(Sheet1!$A$2:$A$46)))</f>
        <v>B014</v>
      </c>
      <c r="B500" s="2" t="s">
        <v>39</v>
      </c>
      <c r="C500" t="str">
        <f>_xlfn.XLOOKUP(B500, Sheet1!A:A, Sheet1!B:B)</f>
        <v>macadamia nut cookies</v>
      </c>
      <c r="D500">
        <f>_xlfn.XLOOKUP(B500,Sheet1!A:A,Sheet1!C:C)</f>
        <v>12</v>
      </c>
      <c r="E500">
        <f>_xlfn.XLOOKUP(B500,Sheet1!A:A,Sheet1!D:D)</f>
        <v>3.5</v>
      </c>
      <c r="F500">
        <f>_xlfn.XLOOKUP(Sheet3!B500,Sheet1!A:A,Sheet1!E:E)</f>
        <v>3</v>
      </c>
      <c r="G500">
        <f>_xlfn.XLOOKUP(B500,Sheet1!A:A,Sheet1!F:F)</f>
        <v>14</v>
      </c>
      <c r="H500" t="str" cm="1">
        <f t="array" aca="1" ref="H500" ca="1">INDEX(Sheet1!$G$2:$G$3, RANDBETWEEN(1, ROWS(Sheet1!$G$2:$G$3)))</f>
        <v>No</v>
      </c>
    </row>
    <row r="501" spans="1:8" x14ac:dyDescent="0.3">
      <c r="A501" s="2" t="str" cm="1">
        <f t="array" aca="1" ref="A501" ca="1">INDEX(Sheet1!$A$2:$A$46, RANDBETWEEN(1,ROWS(Sheet1!$A$2:$A$46)))</f>
        <v>B040</v>
      </c>
      <c r="B501" s="2" t="s">
        <v>22</v>
      </c>
      <c r="C501" t="str">
        <f>_xlfn.XLOOKUP(B501, Sheet1!A:A, Sheet1!B:B)</f>
        <v>chocolate chip cookies</v>
      </c>
      <c r="D501">
        <f>_xlfn.XLOOKUP(B501,Sheet1!A:A,Sheet1!C:C)</f>
        <v>12</v>
      </c>
      <c r="E501">
        <f>_xlfn.XLOOKUP(B501,Sheet1!A:A,Sheet1!D:D)</f>
        <v>3.5</v>
      </c>
      <c r="F501">
        <f>_xlfn.XLOOKUP(Sheet3!B501,Sheet1!A:A,Sheet1!E:E)</f>
        <v>3</v>
      </c>
      <c r="G501">
        <f>_xlfn.XLOOKUP(B501,Sheet1!A:A,Sheet1!F:F)</f>
        <v>14</v>
      </c>
      <c r="H501" t="str" cm="1">
        <f t="array" aca="1" ref="H501" ca="1">INDEX(Sheet1!$G$2:$G$3, RANDBETWEEN(1, ROWS(Sheet1!$G$2:$G$3)))</f>
        <v>No</v>
      </c>
    </row>
    <row r="502" spans="1:8" x14ac:dyDescent="0.3">
      <c r="A502" s="2" t="str" cm="1">
        <f t="array" aca="1" ref="A502" ca="1">INDEX(Sheet1!$A$2:$A$46, RANDBETWEEN(1,ROWS(Sheet1!$A$2:$A$46)))</f>
        <v>B035</v>
      </c>
      <c r="B502" s="2" t="s">
        <v>19</v>
      </c>
      <c r="C502" t="str">
        <f>_xlfn.XLOOKUP(B502, Sheet1!A:A, Sheet1!B:B)</f>
        <v>blueberry muffins</v>
      </c>
      <c r="D502">
        <f>_xlfn.XLOOKUP(B502,Sheet1!A:A,Sheet1!C:C)</f>
        <v>10</v>
      </c>
      <c r="E502">
        <f>_xlfn.XLOOKUP(B502,Sheet1!A:A,Sheet1!D:D)</f>
        <v>4.5</v>
      </c>
      <c r="F502">
        <f>_xlfn.XLOOKUP(Sheet3!B502,Sheet1!A:A,Sheet1!E:E)</f>
        <v>4</v>
      </c>
      <c r="G502">
        <f>_xlfn.XLOOKUP(B502,Sheet1!A:A,Sheet1!F:F)</f>
        <v>10</v>
      </c>
      <c r="H502" cm="1">
        <f t="array" aca="1" ref="H502" ca="1">INDEX(Sheet1!$G$2:$G$3, RANDBETWEEN(1, ROWS(Sheet1!$G$2:$G$3)))</f>
        <v>0</v>
      </c>
    </row>
    <row r="503" spans="1:8" x14ac:dyDescent="0.3">
      <c r="A503" s="2" t="str" cm="1">
        <f t="array" aca="1" ref="A503" ca="1">INDEX(Sheet1!$A$2:$A$46, RANDBETWEEN(1,ROWS(Sheet1!$A$2:$A$46)))</f>
        <v>B024</v>
      </c>
      <c r="B503" s="2" t="s">
        <v>36</v>
      </c>
      <c r="C503" t="str">
        <f>_xlfn.XLOOKUP(B503, Sheet1!A:A, Sheet1!B:B)</f>
        <v>oatmeal raisin cookies</v>
      </c>
      <c r="D503">
        <f>_xlfn.XLOOKUP(B503,Sheet1!A:A,Sheet1!C:C)</f>
        <v>12</v>
      </c>
      <c r="E503">
        <f>_xlfn.XLOOKUP(B503,Sheet1!A:A,Sheet1!D:D)</f>
        <v>3.5</v>
      </c>
      <c r="F503">
        <f>_xlfn.XLOOKUP(Sheet3!B503,Sheet1!A:A,Sheet1!E:E)</f>
        <v>3</v>
      </c>
      <c r="G503">
        <f>_xlfn.XLOOKUP(B503,Sheet1!A:A,Sheet1!F:F)</f>
        <v>14</v>
      </c>
      <c r="H503" t="str" cm="1">
        <f t="array" aca="1" ref="H503" ca="1">INDEX(Sheet1!$G$2:$G$3, RANDBETWEEN(1, ROWS(Sheet1!$G$2:$G$3)))</f>
        <v>No</v>
      </c>
    </row>
    <row r="504" spans="1:8" x14ac:dyDescent="0.3">
      <c r="A504" s="2" t="str" cm="1">
        <f t="array" aca="1" ref="A504" ca="1">INDEX(Sheet1!$A$2:$A$46, RANDBETWEEN(1,ROWS(Sheet1!$A$2:$A$46)))</f>
        <v>B011</v>
      </c>
      <c r="B504" s="2" t="s">
        <v>61</v>
      </c>
      <c r="C504" t="str">
        <f>_xlfn.XLOOKUP(B504, Sheet1!A:A, Sheet1!B:B)</f>
        <v>marble sliced loaf cake</v>
      </c>
      <c r="D504">
        <f>_xlfn.XLOOKUP(B504,Sheet1!A:A,Sheet1!C:C)</f>
        <v>10</v>
      </c>
      <c r="E504">
        <f>_xlfn.XLOOKUP(B504,Sheet1!A:A,Sheet1!D:D)</f>
        <v>4</v>
      </c>
      <c r="F504">
        <f>_xlfn.XLOOKUP(Sheet3!B504,Sheet1!A:A,Sheet1!E:E)</f>
        <v>3.5</v>
      </c>
      <c r="G504">
        <f>_xlfn.XLOOKUP(B504,Sheet1!A:A,Sheet1!F:F)</f>
        <v>10</v>
      </c>
      <c r="H504" cm="1">
        <f t="array" aca="1" ref="H504" ca="1">INDEX(Sheet1!$G$2:$G$3, RANDBETWEEN(1, ROWS(Sheet1!$G$2:$G$3)))</f>
        <v>0</v>
      </c>
    </row>
    <row r="505" spans="1:8" x14ac:dyDescent="0.3">
      <c r="A505" s="2" t="str" cm="1">
        <f t="array" aca="1" ref="A505" ca="1">INDEX(Sheet1!$A$2:$A$46, RANDBETWEEN(1,ROWS(Sheet1!$A$2:$A$46)))</f>
        <v>B014</v>
      </c>
      <c r="B505" s="2" t="s">
        <v>60</v>
      </c>
      <c r="C505" t="str">
        <f>_xlfn.XLOOKUP(B505, Sheet1!A:A, Sheet1!B:B)</f>
        <v>banana nut sliced loaf cake</v>
      </c>
      <c r="D505">
        <f>_xlfn.XLOOKUP(B505,Sheet1!A:A,Sheet1!C:C)</f>
        <v>10</v>
      </c>
      <c r="E505">
        <f>_xlfn.XLOOKUP(B505,Sheet1!A:A,Sheet1!D:D)</f>
        <v>4</v>
      </c>
      <c r="F505">
        <f>_xlfn.XLOOKUP(Sheet3!B505,Sheet1!A:A,Sheet1!E:E)</f>
        <v>3.5</v>
      </c>
      <c r="G505">
        <f>_xlfn.XLOOKUP(B505,Sheet1!A:A,Sheet1!F:F)</f>
        <v>10</v>
      </c>
      <c r="H505" t="str" cm="1">
        <f t="array" aca="1" ref="H505" ca="1">INDEX(Sheet1!$G$2:$G$3, RANDBETWEEN(1, ROWS(Sheet1!$G$2:$G$3)))</f>
        <v>No</v>
      </c>
    </row>
    <row r="506" spans="1:8" x14ac:dyDescent="0.3">
      <c r="A506" s="2" t="str" cm="1">
        <f t="array" aca="1" ref="A506" ca="1">INDEX(Sheet1!$A$2:$A$46, RANDBETWEEN(1,ROWS(Sheet1!$A$2:$A$46)))</f>
        <v>B041</v>
      </c>
      <c r="B506" s="2" t="s">
        <v>22</v>
      </c>
      <c r="C506" t="str">
        <f>_xlfn.XLOOKUP(B506, Sheet1!A:A, Sheet1!B:B)</f>
        <v>chocolate chip cookies</v>
      </c>
      <c r="D506">
        <f>_xlfn.XLOOKUP(B506,Sheet1!A:A,Sheet1!C:C)</f>
        <v>12</v>
      </c>
      <c r="E506">
        <f>_xlfn.XLOOKUP(B506,Sheet1!A:A,Sheet1!D:D)</f>
        <v>3.5</v>
      </c>
      <c r="F506">
        <f>_xlfn.XLOOKUP(Sheet3!B506,Sheet1!A:A,Sheet1!E:E)</f>
        <v>3</v>
      </c>
      <c r="G506">
        <f>_xlfn.XLOOKUP(B506,Sheet1!A:A,Sheet1!F:F)</f>
        <v>14</v>
      </c>
      <c r="H506" t="str" cm="1">
        <f t="array" aca="1" ref="H506" ca="1">INDEX(Sheet1!$G$2:$G$3, RANDBETWEEN(1, ROWS(Sheet1!$G$2:$G$3)))</f>
        <v>No</v>
      </c>
    </row>
    <row r="507" spans="1:8" x14ac:dyDescent="0.3">
      <c r="A507" s="2" t="str" cm="1">
        <f t="array" aca="1" ref="A507" ca="1">INDEX(Sheet1!$A$2:$A$46, RANDBETWEEN(1,ROWS(Sheet1!$A$2:$A$46)))</f>
        <v>B014</v>
      </c>
      <c r="B507" s="2" t="s">
        <v>60</v>
      </c>
      <c r="C507" t="str">
        <f>_xlfn.XLOOKUP(B507, Sheet1!A:A, Sheet1!B:B)</f>
        <v>banana nut sliced loaf cake</v>
      </c>
      <c r="D507">
        <f>_xlfn.XLOOKUP(B507,Sheet1!A:A,Sheet1!C:C)</f>
        <v>10</v>
      </c>
      <c r="E507">
        <f>_xlfn.XLOOKUP(B507,Sheet1!A:A,Sheet1!D:D)</f>
        <v>4</v>
      </c>
      <c r="F507">
        <f>_xlfn.XLOOKUP(Sheet3!B507,Sheet1!A:A,Sheet1!E:E)</f>
        <v>3.5</v>
      </c>
      <c r="G507">
        <f>_xlfn.XLOOKUP(B507,Sheet1!A:A,Sheet1!F:F)</f>
        <v>10</v>
      </c>
      <c r="H507" cm="1">
        <f t="array" aca="1" ref="H507" ca="1">INDEX(Sheet1!$G$2:$G$3, RANDBETWEEN(1, ROWS(Sheet1!$G$2:$G$3)))</f>
        <v>0</v>
      </c>
    </row>
    <row r="508" spans="1:8" x14ac:dyDescent="0.3">
      <c r="A508" s="2" t="str" cm="1">
        <f t="array" aca="1" ref="A508" ca="1">INDEX(Sheet1!$A$2:$A$46, RANDBETWEEN(1,ROWS(Sheet1!$A$2:$A$46)))</f>
        <v>B040</v>
      </c>
      <c r="B508" s="2" t="s">
        <v>19</v>
      </c>
      <c r="C508" t="str">
        <f>_xlfn.XLOOKUP(B508, Sheet1!A:A, Sheet1!B:B)</f>
        <v>blueberry muffins</v>
      </c>
      <c r="D508">
        <f>_xlfn.XLOOKUP(B508,Sheet1!A:A,Sheet1!C:C)</f>
        <v>10</v>
      </c>
      <c r="E508">
        <f>_xlfn.XLOOKUP(B508,Sheet1!A:A,Sheet1!D:D)</f>
        <v>4.5</v>
      </c>
      <c r="F508">
        <f>_xlfn.XLOOKUP(Sheet3!B508,Sheet1!A:A,Sheet1!E:E)</f>
        <v>4</v>
      </c>
      <c r="G508">
        <f>_xlfn.XLOOKUP(B508,Sheet1!A:A,Sheet1!F:F)</f>
        <v>10</v>
      </c>
      <c r="H508" cm="1">
        <f t="array" aca="1" ref="H508" ca="1">INDEX(Sheet1!$G$2:$G$3, RANDBETWEEN(1, ROWS(Sheet1!$G$2:$G$3)))</f>
        <v>0</v>
      </c>
    </row>
    <row r="509" spans="1:8" x14ac:dyDescent="0.3">
      <c r="A509" s="2" t="str" cm="1">
        <f t="array" aca="1" ref="A509" ca="1">INDEX(Sheet1!$A$2:$A$46, RANDBETWEEN(1,ROWS(Sheet1!$A$2:$A$46)))</f>
        <v>B030</v>
      </c>
      <c r="B509" s="2" t="s">
        <v>81</v>
      </c>
      <c r="C509" t="str">
        <f>_xlfn.XLOOKUP(B509, Sheet1!A:A, Sheet1!B:B)</f>
        <v>red velvet square cake</v>
      </c>
      <c r="D509">
        <f>_xlfn.XLOOKUP(B509,Sheet1!A:A,Sheet1!C:C)</f>
        <v>8</v>
      </c>
      <c r="E509">
        <f>_xlfn.XLOOKUP(B509,Sheet1!A:A,Sheet1!D:D)</f>
        <v>2.5</v>
      </c>
      <c r="F509">
        <f>_xlfn.XLOOKUP(Sheet3!B509,Sheet1!A:A,Sheet1!E:E)</f>
        <v>2</v>
      </c>
      <c r="G509">
        <f>_xlfn.XLOOKUP(B509,Sheet1!A:A,Sheet1!F:F)</f>
        <v>5</v>
      </c>
      <c r="H509" t="str" cm="1">
        <f t="array" aca="1" ref="H509" ca="1">INDEX(Sheet1!$G$2:$G$3, RANDBETWEEN(1, ROWS(Sheet1!$G$2:$G$3)))</f>
        <v>No</v>
      </c>
    </row>
    <row r="510" spans="1:8" x14ac:dyDescent="0.3">
      <c r="A510" s="2" t="str" cm="1">
        <f t="array" aca="1" ref="A510" ca="1">INDEX(Sheet1!$A$2:$A$46, RANDBETWEEN(1,ROWS(Sheet1!$A$2:$A$46)))</f>
        <v>B024</v>
      </c>
      <c r="B510" s="2" t="s">
        <v>90</v>
      </c>
      <c r="C510" t="str">
        <f>_xlfn.XLOOKUP(B510, Sheet1!A:A, Sheet1!B:B)</f>
        <v>mini brownies</v>
      </c>
      <c r="D510">
        <f>_xlfn.XLOOKUP(B510,Sheet1!A:A,Sheet1!C:C)</f>
        <v>12</v>
      </c>
      <c r="E510">
        <f>_xlfn.XLOOKUP(B510,Sheet1!A:A,Sheet1!D:D)</f>
        <v>4.5</v>
      </c>
      <c r="F510">
        <f>_xlfn.XLOOKUP(Sheet3!B510,Sheet1!A:A,Sheet1!E:E)</f>
        <v>4</v>
      </c>
      <c r="G510">
        <f>_xlfn.XLOOKUP(B510,Sheet1!A:A,Sheet1!F:F)</f>
        <v>14</v>
      </c>
      <c r="H510" cm="1">
        <f t="array" aca="1" ref="H510" ca="1">INDEX(Sheet1!$G$2:$G$3, RANDBETWEEN(1, ROWS(Sheet1!$G$2:$G$3)))</f>
        <v>0</v>
      </c>
    </row>
    <row r="511" spans="1:8" x14ac:dyDescent="0.3">
      <c r="A511" s="2" t="str" cm="1">
        <f t="array" aca="1" ref="A511" ca="1">INDEX(Sheet1!$A$2:$A$46, RANDBETWEEN(1,ROWS(Sheet1!$A$2:$A$46)))</f>
        <v>B030</v>
      </c>
      <c r="B511" s="2" t="s">
        <v>79</v>
      </c>
      <c r="C511" t="str">
        <f>_xlfn.XLOOKUP(B511, Sheet1!A:A, Sheet1!B:B)</f>
        <v>chocolate square cake</v>
      </c>
      <c r="D511">
        <f>_xlfn.XLOOKUP(B511,Sheet1!A:A,Sheet1!C:C)</f>
        <v>8</v>
      </c>
      <c r="E511">
        <f>_xlfn.XLOOKUP(B511,Sheet1!A:A,Sheet1!D:D)</f>
        <v>2.5</v>
      </c>
      <c r="F511">
        <f>_xlfn.XLOOKUP(Sheet3!B511,Sheet1!A:A,Sheet1!E:E)</f>
        <v>2</v>
      </c>
      <c r="G511">
        <f>_xlfn.XLOOKUP(B511,Sheet1!A:A,Sheet1!F:F)</f>
        <v>5</v>
      </c>
      <c r="H511" t="str" cm="1">
        <f t="array" aca="1" ref="H511" ca="1">INDEX(Sheet1!$G$2:$G$3, RANDBETWEEN(1, ROWS(Sheet1!$G$2:$G$3)))</f>
        <v>No</v>
      </c>
    </row>
    <row r="512" spans="1:8" x14ac:dyDescent="0.3">
      <c r="A512" s="2" t="str" cm="1">
        <f t="array" aca="1" ref="A512" ca="1">INDEX(Sheet1!$A$2:$A$46, RANDBETWEEN(1,ROWS(Sheet1!$A$2:$A$46)))</f>
        <v>B018</v>
      </c>
      <c r="B512" s="2" t="s">
        <v>88</v>
      </c>
      <c r="C512" t="str">
        <f>_xlfn.XLOOKUP(B512, Sheet1!A:A, Sheet1!B:B)</f>
        <v>everything bagels</v>
      </c>
      <c r="D512">
        <f>_xlfn.XLOOKUP(B512,Sheet1!A:A,Sheet1!C:C)</f>
        <v>8</v>
      </c>
      <c r="E512">
        <f>_xlfn.XLOOKUP(B512,Sheet1!A:A,Sheet1!D:D)</f>
        <v>3.5</v>
      </c>
      <c r="F512">
        <f>_xlfn.XLOOKUP(Sheet3!B512,Sheet1!A:A,Sheet1!E:E)</f>
        <v>3</v>
      </c>
      <c r="G512">
        <f>_xlfn.XLOOKUP(B512,Sheet1!A:A,Sheet1!F:F)</f>
        <v>8</v>
      </c>
      <c r="H512" cm="1">
        <f t="array" aca="1" ref="H512" ca="1">INDEX(Sheet1!$G$2:$G$3, RANDBETWEEN(1, ROWS(Sheet1!$G$2:$G$3)))</f>
        <v>0</v>
      </c>
    </row>
    <row r="513" spans="1:8" x14ac:dyDescent="0.3">
      <c r="A513" s="2" t="str" cm="1">
        <f t="array" aca="1" ref="A513" ca="1">INDEX(Sheet1!$A$2:$A$46, RANDBETWEEN(1,ROWS(Sheet1!$A$2:$A$46)))</f>
        <v>B034</v>
      </c>
      <c r="B513" s="2" t="s">
        <v>84</v>
      </c>
      <c r="C513" t="str">
        <f>_xlfn.XLOOKUP(B513, Sheet1!A:A, Sheet1!B:B)</f>
        <v>plain bagels</v>
      </c>
      <c r="D513">
        <f>_xlfn.XLOOKUP(B513,Sheet1!A:A,Sheet1!C:C)</f>
        <v>8</v>
      </c>
      <c r="E513">
        <f>_xlfn.XLOOKUP(B513,Sheet1!A:A,Sheet1!D:D)</f>
        <v>3.5</v>
      </c>
      <c r="F513">
        <f>_xlfn.XLOOKUP(Sheet3!B513,Sheet1!A:A,Sheet1!E:E)</f>
        <v>3</v>
      </c>
      <c r="G513">
        <f>_xlfn.XLOOKUP(B513,Sheet1!A:A,Sheet1!F:F)</f>
        <v>8</v>
      </c>
      <c r="H513" t="str" cm="1">
        <f t="array" aca="1" ref="H513" ca="1">INDEX(Sheet1!$G$2:$G$3, RANDBETWEEN(1, ROWS(Sheet1!$G$2:$G$3)))</f>
        <v>No</v>
      </c>
    </row>
    <row r="514" spans="1:8" x14ac:dyDescent="0.3">
      <c r="A514" s="2" t="str" cm="1">
        <f t="array" aca="1" ref="A514" ca="1">INDEX(Sheet1!$A$2:$A$46, RANDBETWEEN(1,ROWS(Sheet1!$A$2:$A$46)))</f>
        <v>B014</v>
      </c>
      <c r="B514" s="2" t="s">
        <v>92</v>
      </c>
      <c r="C514" t="str">
        <f>_xlfn.XLOOKUP(B514, Sheet1!A:A, Sheet1!B:B)</f>
        <v>square brownies</v>
      </c>
      <c r="D514">
        <f>_xlfn.XLOOKUP(B514,Sheet1!A:A,Sheet1!C:C)</f>
        <v>6</v>
      </c>
      <c r="E514">
        <f>_xlfn.XLOOKUP(B514,Sheet1!A:A,Sheet1!D:D)</f>
        <v>4.5</v>
      </c>
      <c r="F514">
        <f>_xlfn.XLOOKUP(Sheet3!B514,Sheet1!A:A,Sheet1!E:E)</f>
        <v>4</v>
      </c>
      <c r="G514">
        <f>_xlfn.XLOOKUP(B514,Sheet1!A:A,Sheet1!F:F)</f>
        <v>14</v>
      </c>
      <c r="H514" t="str" cm="1">
        <f t="array" aca="1" ref="H514" ca="1">INDEX(Sheet1!$G$2:$G$3, RANDBETWEEN(1, ROWS(Sheet1!$G$2:$G$3)))</f>
        <v>No</v>
      </c>
    </row>
    <row r="515" spans="1:8" x14ac:dyDescent="0.3">
      <c r="A515" s="2" t="str" cm="1">
        <f t="array" aca="1" ref="A515" ca="1">INDEX(Sheet1!$A$2:$A$46, RANDBETWEEN(1,ROWS(Sheet1!$A$2:$A$46)))</f>
        <v>B016</v>
      </c>
      <c r="B515" s="2" t="s">
        <v>65</v>
      </c>
      <c r="C515" t="str">
        <f>_xlfn.XLOOKUP(B515, Sheet1!A:A, Sheet1!B:B)</f>
        <v>sourdough bread</v>
      </c>
      <c r="D515">
        <f>_xlfn.XLOOKUP(B515,Sheet1!A:A,Sheet1!C:C)</f>
        <v>10</v>
      </c>
      <c r="E515">
        <f>_xlfn.XLOOKUP(B515,Sheet1!A:A,Sheet1!D:D)</f>
        <v>3.5</v>
      </c>
      <c r="F515">
        <f>_xlfn.XLOOKUP(Sheet3!B515,Sheet1!A:A,Sheet1!E:E)</f>
        <v>3</v>
      </c>
      <c r="G515">
        <f>_xlfn.XLOOKUP(B515,Sheet1!A:A,Sheet1!F:F)</f>
        <v>8</v>
      </c>
      <c r="H515" t="str" cm="1">
        <f t="array" aca="1" ref="H515" ca="1">INDEX(Sheet1!$G$2:$G$3, RANDBETWEEN(1, ROWS(Sheet1!$G$2:$G$3)))</f>
        <v>No</v>
      </c>
    </row>
    <row r="516" spans="1:8" x14ac:dyDescent="0.3">
      <c r="A516" s="2" t="str" cm="1">
        <f t="array" aca="1" ref="A516" ca="1">INDEX(Sheet1!$A$2:$A$46, RANDBETWEEN(1,ROWS(Sheet1!$A$2:$A$46)))</f>
        <v>B029</v>
      </c>
      <c r="B516" s="2" t="s">
        <v>38</v>
      </c>
      <c r="C516" t="str">
        <f>_xlfn.XLOOKUP(B516, Sheet1!A:A, Sheet1!B:B)</f>
        <v>snickerdoodle cookies</v>
      </c>
      <c r="D516">
        <f>_xlfn.XLOOKUP(B516,Sheet1!A:A,Sheet1!C:C)</f>
        <v>12</v>
      </c>
      <c r="E516">
        <f>_xlfn.XLOOKUP(B516,Sheet1!A:A,Sheet1!D:D)</f>
        <v>3.5</v>
      </c>
      <c r="F516">
        <f>_xlfn.XLOOKUP(Sheet3!B516,Sheet1!A:A,Sheet1!E:E)</f>
        <v>3</v>
      </c>
      <c r="G516">
        <f>_xlfn.XLOOKUP(B516,Sheet1!A:A,Sheet1!F:F)</f>
        <v>14</v>
      </c>
      <c r="H516" t="str" cm="1">
        <f t="array" aca="1" ref="H516" ca="1">INDEX(Sheet1!$G$2:$G$3, RANDBETWEEN(1, ROWS(Sheet1!$G$2:$G$3)))</f>
        <v>No</v>
      </c>
    </row>
    <row r="517" spans="1:8" x14ac:dyDescent="0.3">
      <c r="A517" s="2" t="str" cm="1">
        <f t="array" aca="1" ref="A517" ca="1">INDEX(Sheet1!$A$2:$A$46, RANDBETWEEN(1,ROWS(Sheet1!$A$2:$A$46)))</f>
        <v>B045</v>
      </c>
      <c r="B517" s="2" t="s">
        <v>16</v>
      </c>
      <c r="C517" t="str">
        <f>_xlfn.XLOOKUP(B517, Sheet1!A:A, Sheet1!B:B)</f>
        <v>mini croissant</v>
      </c>
      <c r="D517">
        <f>_xlfn.XLOOKUP(B517,Sheet1!A:A,Sheet1!C:C)</f>
        <v>10</v>
      </c>
      <c r="E517">
        <f>_xlfn.XLOOKUP(B517,Sheet1!A:A,Sheet1!D:D)</f>
        <v>5.5</v>
      </c>
      <c r="F517">
        <f>_xlfn.XLOOKUP(Sheet3!B517,Sheet1!A:A,Sheet1!E:E)</f>
        <v>4.5</v>
      </c>
      <c r="G517">
        <f>_xlfn.XLOOKUP(B517,Sheet1!A:A,Sheet1!F:F)</f>
        <v>7</v>
      </c>
      <c r="H517" t="str" cm="1">
        <f t="array" aca="1" ref="H517" ca="1">INDEX(Sheet1!$G$2:$G$3, RANDBETWEEN(1, ROWS(Sheet1!$G$2:$G$3)))</f>
        <v>No</v>
      </c>
    </row>
    <row r="518" spans="1:8" x14ac:dyDescent="0.3">
      <c r="A518" s="2" t="str" cm="1">
        <f t="array" aca="1" ref="A518" ca="1">INDEX(Sheet1!$A$2:$A$46, RANDBETWEEN(1,ROWS(Sheet1!$A$2:$A$46)))</f>
        <v>B008</v>
      </c>
      <c r="B518" s="2" t="s">
        <v>92</v>
      </c>
      <c r="C518" t="str">
        <f>_xlfn.XLOOKUP(B518, Sheet1!A:A, Sheet1!B:B)</f>
        <v>square brownies</v>
      </c>
      <c r="D518">
        <f>_xlfn.XLOOKUP(B518,Sheet1!A:A,Sheet1!C:C)</f>
        <v>6</v>
      </c>
      <c r="E518">
        <f>_xlfn.XLOOKUP(B518,Sheet1!A:A,Sheet1!D:D)</f>
        <v>4.5</v>
      </c>
      <c r="F518">
        <f>_xlfn.XLOOKUP(Sheet3!B518,Sheet1!A:A,Sheet1!E:E)</f>
        <v>4</v>
      </c>
      <c r="G518">
        <f>_xlfn.XLOOKUP(B518,Sheet1!A:A,Sheet1!F:F)</f>
        <v>14</v>
      </c>
      <c r="H518" t="str" cm="1">
        <f t="array" aca="1" ref="H518" ca="1">INDEX(Sheet1!$G$2:$G$3, RANDBETWEEN(1, ROWS(Sheet1!$G$2:$G$3)))</f>
        <v>No</v>
      </c>
    </row>
    <row r="519" spans="1:8" x14ac:dyDescent="0.3">
      <c r="A519" s="2" t="str" cm="1">
        <f t="array" aca="1" ref="A519" ca="1">INDEX(Sheet1!$A$2:$A$46, RANDBETWEEN(1,ROWS(Sheet1!$A$2:$A$46)))</f>
        <v>B016</v>
      </c>
      <c r="B519" s="2" t="s">
        <v>66</v>
      </c>
      <c r="C519" t="str">
        <f>_xlfn.XLOOKUP(B519, Sheet1!A:A, Sheet1!B:B)</f>
        <v>pumpernickel bread</v>
      </c>
      <c r="D519">
        <f>_xlfn.XLOOKUP(B519,Sheet1!A:A,Sheet1!C:C)</f>
        <v>8</v>
      </c>
      <c r="E519">
        <f>_xlfn.XLOOKUP(B519,Sheet1!A:A,Sheet1!D:D)</f>
        <v>3.5</v>
      </c>
      <c r="F519">
        <f>_xlfn.XLOOKUP(Sheet3!B519,Sheet1!A:A,Sheet1!E:E)</f>
        <v>3</v>
      </c>
      <c r="G519">
        <f>_xlfn.XLOOKUP(B519,Sheet1!A:A,Sheet1!F:F)</f>
        <v>8</v>
      </c>
      <c r="H519" cm="1">
        <f t="array" aca="1" ref="H519" ca="1">INDEX(Sheet1!$G$2:$G$3, RANDBETWEEN(1, ROWS(Sheet1!$G$2:$G$3)))</f>
        <v>0</v>
      </c>
    </row>
    <row r="520" spans="1:8" x14ac:dyDescent="0.3">
      <c r="A520" s="2" t="str" cm="1">
        <f t="array" aca="1" ref="A520" ca="1">INDEX(Sheet1!$A$2:$A$46, RANDBETWEEN(1,ROWS(Sheet1!$A$2:$A$46)))</f>
        <v>B042</v>
      </c>
      <c r="B520" s="2" t="s">
        <v>59</v>
      </c>
      <c r="C520" t="str">
        <f>_xlfn.XLOOKUP(B520, Sheet1!A:A, Sheet1!B:B)</f>
        <v>iced lemon sliced loaf cake</v>
      </c>
      <c r="D520">
        <f>_xlfn.XLOOKUP(B520,Sheet1!A:A,Sheet1!C:C)</f>
        <v>10</v>
      </c>
      <c r="E520">
        <f>_xlfn.XLOOKUP(B520,Sheet1!A:A,Sheet1!D:D)</f>
        <v>4</v>
      </c>
      <c r="F520">
        <f>_xlfn.XLOOKUP(Sheet3!B520,Sheet1!A:A,Sheet1!E:E)</f>
        <v>3.5</v>
      </c>
      <c r="G520">
        <f>_xlfn.XLOOKUP(B520,Sheet1!A:A,Sheet1!F:F)</f>
        <v>10</v>
      </c>
      <c r="H520" t="str" cm="1">
        <f t="array" aca="1" ref="H520" ca="1">INDEX(Sheet1!$G$2:$G$3, RANDBETWEEN(1, ROWS(Sheet1!$G$2:$G$3)))</f>
        <v>No</v>
      </c>
    </row>
    <row r="521" spans="1:8" x14ac:dyDescent="0.3">
      <c r="A521" s="2" t="str" cm="1">
        <f t="array" aca="1" ref="A521" ca="1">INDEX(Sheet1!$A$2:$A$46, RANDBETWEEN(1,ROWS(Sheet1!$A$2:$A$46)))</f>
        <v>B043</v>
      </c>
      <c r="B521" s="2" t="s">
        <v>63</v>
      </c>
      <c r="C521" t="str">
        <f>_xlfn.XLOOKUP(B521, Sheet1!A:A, Sheet1!B:B)</f>
        <v>chocolate sliced loaf cake</v>
      </c>
      <c r="D521">
        <f>_xlfn.XLOOKUP(B521,Sheet1!A:A,Sheet1!C:C)</f>
        <v>10</v>
      </c>
      <c r="E521">
        <f>_xlfn.XLOOKUP(B521,Sheet1!A:A,Sheet1!D:D)</f>
        <v>4</v>
      </c>
      <c r="F521">
        <f>_xlfn.XLOOKUP(Sheet3!B521,Sheet1!A:A,Sheet1!E:E)</f>
        <v>3.5</v>
      </c>
      <c r="G521">
        <f>_xlfn.XLOOKUP(B521,Sheet1!A:A,Sheet1!F:F)</f>
        <v>10</v>
      </c>
      <c r="H521" t="str" cm="1">
        <f t="array" aca="1" ref="H521" ca="1">INDEX(Sheet1!$G$2:$G$3, RANDBETWEEN(1, ROWS(Sheet1!$G$2:$G$3)))</f>
        <v>No</v>
      </c>
    </row>
    <row r="522" spans="1:8" x14ac:dyDescent="0.3">
      <c r="A522" s="2" t="str" cm="1">
        <f t="array" aca="1" ref="A522" ca="1">INDEX(Sheet1!$A$2:$A$46, RANDBETWEEN(1,ROWS(Sheet1!$A$2:$A$46)))</f>
        <v>B021</v>
      </c>
      <c r="B522" s="2" t="s">
        <v>57</v>
      </c>
      <c r="C522" t="str">
        <f>_xlfn.XLOOKUP(B522, Sheet1!A:A, Sheet1!B:B)</f>
        <v>vanilla cupcakes</v>
      </c>
      <c r="D522">
        <f>_xlfn.XLOOKUP(B522,Sheet1!A:A,Sheet1!C:C)</f>
        <v>8</v>
      </c>
      <c r="E522">
        <f>_xlfn.XLOOKUP(B522,Sheet1!A:A,Sheet1!D:D)</f>
        <v>6</v>
      </c>
      <c r="F522">
        <f>_xlfn.XLOOKUP(Sheet3!B522,Sheet1!A:A,Sheet1!E:E)</f>
        <v>5.5</v>
      </c>
      <c r="G522">
        <f>_xlfn.XLOOKUP(B522,Sheet1!A:A,Sheet1!F:F)</f>
        <v>20</v>
      </c>
      <c r="H522" cm="1">
        <f t="array" aca="1" ref="H522" ca="1">INDEX(Sheet1!$G$2:$G$3, RANDBETWEEN(1, ROWS(Sheet1!$G$2:$G$3)))</f>
        <v>0</v>
      </c>
    </row>
    <row r="523" spans="1:8" x14ac:dyDescent="0.3">
      <c r="A523" s="2" t="str" cm="1">
        <f t="array" aca="1" ref="A523" ca="1">INDEX(Sheet1!$A$2:$A$46, RANDBETWEEN(1,ROWS(Sheet1!$A$2:$A$46)))</f>
        <v>B038</v>
      </c>
      <c r="B523" s="2" t="s">
        <v>20</v>
      </c>
      <c r="C523" t="str">
        <f>_xlfn.XLOOKUP(B523, Sheet1!A:A, Sheet1!B:B)</f>
        <v>banana nut muffins</v>
      </c>
      <c r="D523">
        <f>_xlfn.XLOOKUP(B523,Sheet1!A:A,Sheet1!C:C)</f>
        <v>10</v>
      </c>
      <c r="E523">
        <f>_xlfn.XLOOKUP(B523,Sheet1!A:A,Sheet1!D:D)</f>
        <v>4.5</v>
      </c>
      <c r="F523">
        <f>_xlfn.XLOOKUP(Sheet3!B523,Sheet1!A:A,Sheet1!E:E)</f>
        <v>4</v>
      </c>
      <c r="G523">
        <f>_xlfn.XLOOKUP(B523,Sheet1!A:A,Sheet1!F:F)</f>
        <v>10</v>
      </c>
      <c r="H523" cm="1">
        <f t="array" aca="1" ref="H523" ca="1">INDEX(Sheet1!$G$2:$G$3, RANDBETWEEN(1, ROWS(Sheet1!$G$2:$G$3)))</f>
        <v>0</v>
      </c>
    </row>
    <row r="524" spans="1:8" x14ac:dyDescent="0.3">
      <c r="A524" s="2" t="str" cm="1">
        <f t="array" aca="1" ref="A524" ca="1">INDEX(Sheet1!$A$2:$A$46, RANDBETWEEN(1,ROWS(Sheet1!$A$2:$A$46)))</f>
        <v>B009</v>
      </c>
      <c r="B524" s="2" t="s">
        <v>89</v>
      </c>
      <c r="C524" t="str">
        <f>_xlfn.XLOOKUP(B524, Sheet1!A:A, Sheet1!B:B)</f>
        <v>blueberry bagels</v>
      </c>
      <c r="D524">
        <f>_xlfn.XLOOKUP(B524,Sheet1!A:A,Sheet1!C:C)</f>
        <v>8</v>
      </c>
      <c r="E524">
        <f>_xlfn.XLOOKUP(B524,Sheet1!A:A,Sheet1!D:D)</f>
        <v>3.5</v>
      </c>
      <c r="F524">
        <f>_xlfn.XLOOKUP(Sheet3!B524,Sheet1!A:A,Sheet1!E:E)</f>
        <v>3</v>
      </c>
      <c r="G524">
        <f>_xlfn.XLOOKUP(B524,Sheet1!A:A,Sheet1!F:F)</f>
        <v>8</v>
      </c>
      <c r="H524" t="str" cm="1">
        <f t="array" aca="1" ref="H524" ca="1">INDEX(Sheet1!$G$2:$G$3, RANDBETWEEN(1, ROWS(Sheet1!$G$2:$G$3)))</f>
        <v>No</v>
      </c>
    </row>
    <row r="525" spans="1:8" x14ac:dyDescent="0.3">
      <c r="A525" s="2" t="str" cm="1">
        <f t="array" aca="1" ref="A525" ca="1">INDEX(Sheet1!$A$2:$A$46, RANDBETWEEN(1,ROWS(Sheet1!$A$2:$A$46)))</f>
        <v>B043</v>
      </c>
      <c r="B525" s="2" t="s">
        <v>92</v>
      </c>
      <c r="C525" t="str">
        <f>_xlfn.XLOOKUP(B525, Sheet1!A:A, Sheet1!B:B)</f>
        <v>square brownies</v>
      </c>
      <c r="D525">
        <f>_xlfn.XLOOKUP(B525,Sheet1!A:A,Sheet1!C:C)</f>
        <v>6</v>
      </c>
      <c r="E525">
        <f>_xlfn.XLOOKUP(B525,Sheet1!A:A,Sheet1!D:D)</f>
        <v>4.5</v>
      </c>
      <c r="F525">
        <f>_xlfn.XLOOKUP(Sheet3!B525,Sheet1!A:A,Sheet1!E:E)</f>
        <v>4</v>
      </c>
      <c r="G525">
        <f>_xlfn.XLOOKUP(B525,Sheet1!A:A,Sheet1!F:F)</f>
        <v>14</v>
      </c>
      <c r="H525" cm="1">
        <f t="array" aca="1" ref="H525" ca="1">INDEX(Sheet1!$G$2:$G$3, RANDBETWEEN(1, ROWS(Sheet1!$G$2:$G$3)))</f>
        <v>0</v>
      </c>
    </row>
    <row r="526" spans="1:8" x14ac:dyDescent="0.3">
      <c r="A526" s="2" t="str" cm="1">
        <f t="array" aca="1" ref="A526" ca="1">INDEX(Sheet1!$A$2:$A$46, RANDBETWEEN(1,ROWS(Sheet1!$A$2:$A$46)))</f>
        <v>B044</v>
      </c>
      <c r="B526" s="2" t="s">
        <v>20</v>
      </c>
      <c r="C526" t="str">
        <f>_xlfn.XLOOKUP(B526, Sheet1!A:A, Sheet1!B:B)</f>
        <v>banana nut muffins</v>
      </c>
      <c r="D526">
        <f>_xlfn.XLOOKUP(B526,Sheet1!A:A,Sheet1!C:C)</f>
        <v>10</v>
      </c>
      <c r="E526">
        <f>_xlfn.XLOOKUP(B526,Sheet1!A:A,Sheet1!D:D)</f>
        <v>4.5</v>
      </c>
      <c r="F526">
        <f>_xlfn.XLOOKUP(Sheet3!B526,Sheet1!A:A,Sheet1!E:E)</f>
        <v>4</v>
      </c>
      <c r="G526">
        <f>_xlfn.XLOOKUP(B526,Sheet1!A:A,Sheet1!F:F)</f>
        <v>10</v>
      </c>
      <c r="H526" t="str" cm="1">
        <f t="array" aca="1" ref="H526" ca="1">INDEX(Sheet1!$G$2:$G$3, RANDBETWEEN(1, ROWS(Sheet1!$G$2:$G$3)))</f>
        <v>No</v>
      </c>
    </row>
    <row r="527" spans="1:8" x14ac:dyDescent="0.3">
      <c r="A527" s="2" t="str" cm="1">
        <f t="array" aca="1" ref="A527" ca="1">INDEX(Sheet1!$A$2:$A$46, RANDBETWEEN(1,ROWS(Sheet1!$A$2:$A$46)))</f>
        <v>B042</v>
      </c>
      <c r="B527" s="2" t="s">
        <v>58</v>
      </c>
      <c r="C527" t="str">
        <f>_xlfn.XLOOKUP(B527, Sheet1!A:A, Sheet1!B:B)</f>
        <v>cookies &amp; creme cupcakes</v>
      </c>
      <c r="D527">
        <f>_xlfn.XLOOKUP(B527,Sheet1!A:A,Sheet1!C:C)</f>
        <v>15</v>
      </c>
      <c r="E527">
        <f>_xlfn.XLOOKUP(B527,Sheet1!A:A,Sheet1!D:D)</f>
        <v>6</v>
      </c>
      <c r="F527">
        <f>_xlfn.XLOOKUP(Sheet3!B527,Sheet1!A:A,Sheet1!E:E)</f>
        <v>5.5</v>
      </c>
      <c r="G527">
        <f>_xlfn.XLOOKUP(B527,Sheet1!A:A,Sheet1!F:F)</f>
        <v>20</v>
      </c>
      <c r="H527" t="str" cm="1">
        <f t="array" aca="1" ref="H527" ca="1">INDEX(Sheet1!$G$2:$G$3, RANDBETWEEN(1, ROWS(Sheet1!$G$2:$G$3)))</f>
        <v>No</v>
      </c>
    </row>
    <row r="528" spans="1:8" x14ac:dyDescent="0.3">
      <c r="A528" s="2" t="str" cm="1">
        <f t="array" aca="1" ref="A528" ca="1">INDEX(Sheet1!$A$2:$A$46, RANDBETWEEN(1,ROWS(Sheet1!$A$2:$A$46)))</f>
        <v>B016</v>
      </c>
      <c r="B528" s="2" t="s">
        <v>83</v>
      </c>
      <c r="C528" t="str">
        <f>_xlfn.XLOOKUP(B528, Sheet1!A:A, Sheet1!B:B)</f>
        <v>pumpkin spice muffins</v>
      </c>
      <c r="D528">
        <f>_xlfn.XLOOKUP(B528,Sheet1!A:A,Sheet1!C:C)</f>
        <v>10</v>
      </c>
      <c r="E528">
        <f>_xlfn.XLOOKUP(B528,Sheet1!A:A,Sheet1!D:D)</f>
        <v>4.5</v>
      </c>
      <c r="F528">
        <f>_xlfn.XLOOKUP(Sheet3!B528,Sheet1!A:A,Sheet1!E:E)</f>
        <v>4</v>
      </c>
      <c r="G528">
        <f>_xlfn.XLOOKUP(B528,Sheet1!A:A,Sheet1!F:F)</f>
        <v>10</v>
      </c>
      <c r="H528" cm="1">
        <f t="array" aca="1" ref="H528" ca="1">INDEX(Sheet1!$G$2:$G$3, RANDBETWEEN(1, ROWS(Sheet1!$G$2:$G$3)))</f>
        <v>0</v>
      </c>
    </row>
    <row r="529" spans="1:8" x14ac:dyDescent="0.3">
      <c r="A529" s="2" t="str" cm="1">
        <f t="array" aca="1" ref="A529" ca="1">INDEX(Sheet1!$A$2:$A$46, RANDBETWEEN(1,ROWS(Sheet1!$A$2:$A$46)))</f>
        <v>B001</v>
      </c>
      <c r="B529" s="2" t="s">
        <v>41</v>
      </c>
      <c r="C529" t="str">
        <f>_xlfn.XLOOKUP(B529, Sheet1!A:A, Sheet1!B:B)</f>
        <v>frosted blue cookies</v>
      </c>
      <c r="D529">
        <f>_xlfn.XLOOKUP(B529,Sheet1!A:A,Sheet1!C:C)</f>
        <v>15</v>
      </c>
      <c r="E529">
        <f>_xlfn.XLOOKUP(B529,Sheet1!A:A,Sheet1!D:D)</f>
        <v>3</v>
      </c>
      <c r="F529">
        <f>_xlfn.XLOOKUP(Sheet3!B529,Sheet1!A:A,Sheet1!E:E)</f>
        <v>2.5</v>
      </c>
      <c r="G529">
        <f>_xlfn.XLOOKUP(B529,Sheet1!A:A,Sheet1!F:F)</f>
        <v>14</v>
      </c>
      <c r="H529" cm="1">
        <f t="array" aca="1" ref="H529" ca="1">INDEX(Sheet1!$G$2:$G$3, RANDBETWEEN(1, ROWS(Sheet1!$G$2:$G$3)))</f>
        <v>0</v>
      </c>
    </row>
    <row r="530" spans="1:8" x14ac:dyDescent="0.3">
      <c r="A530" s="2" t="str" cm="1">
        <f t="array" aca="1" ref="A530" ca="1">INDEX(Sheet1!$A$2:$A$46, RANDBETWEEN(1,ROWS(Sheet1!$A$2:$A$46)))</f>
        <v>B035</v>
      </c>
      <c r="B530" s="2" t="s">
        <v>56</v>
      </c>
      <c r="C530" t="str">
        <f>_xlfn.XLOOKUP(B530, Sheet1!A:A, Sheet1!B:B)</f>
        <v>assorted cupcakes </v>
      </c>
      <c r="D530">
        <f>_xlfn.XLOOKUP(B530,Sheet1!A:A,Sheet1!C:C)</f>
        <v>8</v>
      </c>
      <c r="E530">
        <f>_xlfn.XLOOKUP(B530,Sheet1!A:A,Sheet1!D:D)</f>
        <v>6</v>
      </c>
      <c r="F530">
        <f>_xlfn.XLOOKUP(Sheet3!B530,Sheet1!A:A,Sheet1!E:E)</f>
        <v>5.5</v>
      </c>
      <c r="G530">
        <f>_xlfn.XLOOKUP(B530,Sheet1!A:A,Sheet1!F:F)</f>
        <v>20</v>
      </c>
      <c r="H530" cm="1">
        <f t="array" aca="1" ref="H530" ca="1">INDEX(Sheet1!$G$2:$G$3, RANDBETWEEN(1, ROWS(Sheet1!$G$2:$G$3)))</f>
        <v>0</v>
      </c>
    </row>
    <row r="531" spans="1:8" x14ac:dyDescent="0.3">
      <c r="A531" s="2" t="str" cm="1">
        <f t="array" aca="1" ref="A531" ca="1">INDEX(Sheet1!$A$2:$A$46, RANDBETWEEN(1,ROWS(Sheet1!$A$2:$A$46)))</f>
        <v>B005</v>
      </c>
      <c r="B531" s="2" t="s">
        <v>39</v>
      </c>
      <c r="C531" t="str">
        <f>_xlfn.XLOOKUP(B531, Sheet1!A:A, Sheet1!B:B)</f>
        <v>macadamia nut cookies</v>
      </c>
      <c r="D531">
        <f>_xlfn.XLOOKUP(B531,Sheet1!A:A,Sheet1!C:C)</f>
        <v>12</v>
      </c>
      <c r="E531">
        <f>_xlfn.XLOOKUP(B531,Sheet1!A:A,Sheet1!D:D)</f>
        <v>3.5</v>
      </c>
      <c r="F531">
        <f>_xlfn.XLOOKUP(Sheet3!B531,Sheet1!A:A,Sheet1!E:E)</f>
        <v>3</v>
      </c>
      <c r="G531">
        <f>_xlfn.XLOOKUP(B531,Sheet1!A:A,Sheet1!F:F)</f>
        <v>14</v>
      </c>
      <c r="H531" cm="1">
        <f t="array" aca="1" ref="H531" ca="1">INDEX(Sheet1!$G$2:$G$3, RANDBETWEEN(1, ROWS(Sheet1!$G$2:$G$3)))</f>
        <v>0</v>
      </c>
    </row>
    <row r="532" spans="1:8" x14ac:dyDescent="0.3">
      <c r="A532" s="2" t="str" cm="1">
        <f t="array" aca="1" ref="A532" ca="1">INDEX(Sheet1!$A$2:$A$46, RANDBETWEEN(1,ROWS(Sheet1!$A$2:$A$46)))</f>
        <v>B020</v>
      </c>
      <c r="B532" s="2" t="s">
        <v>82</v>
      </c>
      <c r="C532" t="str">
        <f>_xlfn.XLOOKUP(B532, Sheet1!A:A, Sheet1!B:B)</f>
        <v>white square cake</v>
      </c>
      <c r="D532">
        <f>_xlfn.XLOOKUP(B532,Sheet1!A:A,Sheet1!C:C)</f>
        <v>8</v>
      </c>
      <c r="E532">
        <f>_xlfn.XLOOKUP(B532,Sheet1!A:A,Sheet1!D:D)</f>
        <v>2.5</v>
      </c>
      <c r="F532">
        <f>_xlfn.XLOOKUP(Sheet3!B532,Sheet1!A:A,Sheet1!E:E)</f>
        <v>2</v>
      </c>
      <c r="G532">
        <f>_xlfn.XLOOKUP(B532,Sheet1!A:A,Sheet1!F:F)</f>
        <v>5</v>
      </c>
      <c r="H532" t="str" cm="1">
        <f t="array" aca="1" ref="H532" ca="1">INDEX(Sheet1!$G$2:$G$3, RANDBETWEEN(1, ROWS(Sheet1!$G$2:$G$3)))</f>
        <v>No</v>
      </c>
    </row>
    <row r="533" spans="1:8" x14ac:dyDescent="0.3">
      <c r="A533" s="2" t="str" cm="1">
        <f t="array" aca="1" ref="A533" ca="1">INDEX(Sheet1!$A$2:$A$46, RANDBETWEEN(1,ROWS(Sheet1!$A$2:$A$46)))</f>
        <v>B038</v>
      </c>
      <c r="B533" s="2" t="s">
        <v>60</v>
      </c>
      <c r="C533" t="str">
        <f>_xlfn.XLOOKUP(B533, Sheet1!A:A, Sheet1!B:B)</f>
        <v>banana nut sliced loaf cake</v>
      </c>
      <c r="D533">
        <f>_xlfn.XLOOKUP(B533,Sheet1!A:A,Sheet1!C:C)</f>
        <v>10</v>
      </c>
      <c r="E533">
        <f>_xlfn.XLOOKUP(B533,Sheet1!A:A,Sheet1!D:D)</f>
        <v>4</v>
      </c>
      <c r="F533">
        <f>_xlfn.XLOOKUP(Sheet3!B533,Sheet1!A:A,Sheet1!E:E)</f>
        <v>3.5</v>
      </c>
      <c r="G533">
        <f>_xlfn.XLOOKUP(B533,Sheet1!A:A,Sheet1!F:F)</f>
        <v>10</v>
      </c>
      <c r="H533" t="str" cm="1">
        <f t="array" aca="1" ref="H533" ca="1">INDEX(Sheet1!$G$2:$G$3, RANDBETWEEN(1, ROWS(Sheet1!$G$2:$G$3)))</f>
        <v>No</v>
      </c>
    </row>
    <row r="534" spans="1:8" x14ac:dyDescent="0.3">
      <c r="A534" s="2" t="str" cm="1">
        <f t="array" aca="1" ref="A534" ca="1">INDEX(Sheet1!$A$2:$A$46, RANDBETWEEN(1,ROWS(Sheet1!$A$2:$A$46)))</f>
        <v>B004</v>
      </c>
      <c r="B534" s="2" t="s">
        <v>38</v>
      </c>
      <c r="C534" t="str">
        <f>_xlfn.XLOOKUP(B534, Sheet1!A:A, Sheet1!B:B)</f>
        <v>snickerdoodle cookies</v>
      </c>
      <c r="D534">
        <f>_xlfn.XLOOKUP(B534,Sheet1!A:A,Sheet1!C:C)</f>
        <v>12</v>
      </c>
      <c r="E534">
        <f>_xlfn.XLOOKUP(B534,Sheet1!A:A,Sheet1!D:D)</f>
        <v>3.5</v>
      </c>
      <c r="F534">
        <f>_xlfn.XLOOKUP(Sheet3!B534,Sheet1!A:A,Sheet1!E:E)</f>
        <v>3</v>
      </c>
      <c r="G534">
        <f>_xlfn.XLOOKUP(B534,Sheet1!A:A,Sheet1!F:F)</f>
        <v>14</v>
      </c>
      <c r="H534" t="str" cm="1">
        <f t="array" aca="1" ref="H534" ca="1">INDEX(Sheet1!$G$2:$G$3, RANDBETWEEN(1, ROWS(Sheet1!$G$2:$G$3)))</f>
        <v>No</v>
      </c>
    </row>
    <row r="535" spans="1:8" x14ac:dyDescent="0.3">
      <c r="A535" s="2" t="str" cm="1">
        <f t="array" aca="1" ref="A535" ca="1">INDEX(Sheet1!$A$2:$A$46, RANDBETWEEN(1,ROWS(Sheet1!$A$2:$A$46)))</f>
        <v>B040</v>
      </c>
      <c r="B535" s="2" t="s">
        <v>57</v>
      </c>
      <c r="C535" t="str">
        <f>_xlfn.XLOOKUP(B535, Sheet1!A:A, Sheet1!B:B)</f>
        <v>vanilla cupcakes</v>
      </c>
      <c r="D535">
        <f>_xlfn.XLOOKUP(B535,Sheet1!A:A,Sheet1!C:C)</f>
        <v>8</v>
      </c>
      <c r="E535">
        <f>_xlfn.XLOOKUP(B535,Sheet1!A:A,Sheet1!D:D)</f>
        <v>6</v>
      </c>
      <c r="F535">
        <f>_xlfn.XLOOKUP(Sheet3!B535,Sheet1!A:A,Sheet1!E:E)</f>
        <v>5.5</v>
      </c>
      <c r="G535">
        <f>_xlfn.XLOOKUP(B535,Sheet1!A:A,Sheet1!F:F)</f>
        <v>20</v>
      </c>
      <c r="H535" cm="1">
        <f t="array" aca="1" ref="H535" ca="1">INDEX(Sheet1!$G$2:$G$3, RANDBETWEEN(1, ROWS(Sheet1!$G$2:$G$3)))</f>
        <v>0</v>
      </c>
    </row>
    <row r="536" spans="1:8" x14ac:dyDescent="0.3">
      <c r="A536" s="2" t="str" cm="1">
        <f t="array" aca="1" ref="A536" ca="1">INDEX(Sheet1!$A$2:$A$46, RANDBETWEEN(1,ROWS(Sheet1!$A$2:$A$46)))</f>
        <v>B027</v>
      </c>
      <c r="B536" s="2" t="s">
        <v>80</v>
      </c>
      <c r="C536" t="str">
        <f>_xlfn.XLOOKUP(B536, Sheet1!A:A, Sheet1!B:B)</f>
        <v>carrot square cake</v>
      </c>
      <c r="D536">
        <f>_xlfn.XLOOKUP(B536,Sheet1!A:A,Sheet1!C:C)</f>
        <v>8</v>
      </c>
      <c r="E536">
        <f>_xlfn.XLOOKUP(B536,Sheet1!A:A,Sheet1!D:D)</f>
        <v>2.5</v>
      </c>
      <c r="F536">
        <f>_xlfn.XLOOKUP(Sheet3!B536,Sheet1!A:A,Sheet1!E:E)</f>
        <v>2</v>
      </c>
      <c r="G536">
        <f>_xlfn.XLOOKUP(B536,Sheet1!A:A,Sheet1!F:F)</f>
        <v>5</v>
      </c>
      <c r="H536" t="str" cm="1">
        <f t="array" aca="1" ref="H536" ca="1">INDEX(Sheet1!$G$2:$G$3, RANDBETWEEN(1, ROWS(Sheet1!$G$2:$G$3)))</f>
        <v>No</v>
      </c>
    </row>
    <row r="537" spans="1:8" x14ac:dyDescent="0.3">
      <c r="A537" s="2" t="str" cm="1">
        <f t="array" aca="1" ref="A537" ca="1">INDEX(Sheet1!$A$2:$A$46, RANDBETWEEN(1,ROWS(Sheet1!$A$2:$A$46)))</f>
        <v>B015</v>
      </c>
      <c r="B537" s="2" t="s">
        <v>79</v>
      </c>
      <c r="C537" t="str">
        <f>_xlfn.XLOOKUP(B537, Sheet1!A:A, Sheet1!B:B)</f>
        <v>chocolate square cake</v>
      </c>
      <c r="D537">
        <f>_xlfn.XLOOKUP(B537,Sheet1!A:A,Sheet1!C:C)</f>
        <v>8</v>
      </c>
      <c r="E537">
        <f>_xlfn.XLOOKUP(B537,Sheet1!A:A,Sheet1!D:D)</f>
        <v>2.5</v>
      </c>
      <c r="F537">
        <f>_xlfn.XLOOKUP(Sheet3!B537,Sheet1!A:A,Sheet1!E:E)</f>
        <v>2</v>
      </c>
      <c r="G537">
        <f>_xlfn.XLOOKUP(B537,Sheet1!A:A,Sheet1!F:F)</f>
        <v>5</v>
      </c>
      <c r="H537" cm="1">
        <f t="array" aca="1" ref="H537" ca="1">INDEX(Sheet1!$G$2:$G$3, RANDBETWEEN(1, ROWS(Sheet1!$G$2:$G$3)))</f>
        <v>0</v>
      </c>
    </row>
    <row r="538" spans="1:8" x14ac:dyDescent="0.3">
      <c r="A538" s="2" t="str" cm="1">
        <f t="array" aca="1" ref="A538" ca="1">INDEX(Sheet1!$A$2:$A$46, RANDBETWEEN(1,ROWS(Sheet1!$A$2:$A$46)))</f>
        <v>B016</v>
      </c>
      <c r="B538" s="2" t="s">
        <v>16</v>
      </c>
      <c r="C538" t="str">
        <f>_xlfn.XLOOKUP(B538, Sheet1!A:A, Sheet1!B:B)</f>
        <v>mini croissant</v>
      </c>
      <c r="D538">
        <f>_xlfn.XLOOKUP(B538,Sheet1!A:A,Sheet1!C:C)</f>
        <v>10</v>
      </c>
      <c r="E538">
        <f>_xlfn.XLOOKUP(B538,Sheet1!A:A,Sheet1!D:D)</f>
        <v>5.5</v>
      </c>
      <c r="F538">
        <f>_xlfn.XLOOKUP(Sheet3!B538,Sheet1!A:A,Sheet1!E:E)</f>
        <v>4.5</v>
      </c>
      <c r="G538">
        <f>_xlfn.XLOOKUP(B538,Sheet1!A:A,Sheet1!F:F)</f>
        <v>7</v>
      </c>
      <c r="H538" cm="1">
        <f t="array" aca="1" ref="H538" ca="1">INDEX(Sheet1!$G$2:$G$3, RANDBETWEEN(1, ROWS(Sheet1!$G$2:$G$3)))</f>
        <v>0</v>
      </c>
    </row>
    <row r="539" spans="1:8" x14ac:dyDescent="0.3">
      <c r="A539" s="2" t="str" cm="1">
        <f t="array" aca="1" ref="A539" ca="1">INDEX(Sheet1!$A$2:$A$46, RANDBETWEEN(1,ROWS(Sheet1!$A$2:$A$46)))</f>
        <v>B020</v>
      </c>
      <c r="B539" s="2" t="s">
        <v>66</v>
      </c>
      <c r="C539" t="str">
        <f>_xlfn.XLOOKUP(B539, Sheet1!A:A, Sheet1!B:B)</f>
        <v>pumpernickel bread</v>
      </c>
      <c r="D539">
        <f>_xlfn.XLOOKUP(B539,Sheet1!A:A,Sheet1!C:C)</f>
        <v>8</v>
      </c>
      <c r="E539">
        <f>_xlfn.XLOOKUP(B539,Sheet1!A:A,Sheet1!D:D)</f>
        <v>3.5</v>
      </c>
      <c r="F539">
        <f>_xlfn.XLOOKUP(Sheet3!B539,Sheet1!A:A,Sheet1!E:E)</f>
        <v>3</v>
      </c>
      <c r="G539">
        <f>_xlfn.XLOOKUP(B539,Sheet1!A:A,Sheet1!F:F)</f>
        <v>8</v>
      </c>
      <c r="H539" t="str" cm="1">
        <f t="array" aca="1" ref="H539" ca="1">INDEX(Sheet1!$G$2:$G$3, RANDBETWEEN(1, ROWS(Sheet1!$G$2:$G$3)))</f>
        <v>No</v>
      </c>
    </row>
    <row r="540" spans="1:8" x14ac:dyDescent="0.3">
      <c r="A540" s="2" t="str" cm="1">
        <f t="array" aca="1" ref="A540" ca="1">INDEX(Sheet1!$A$2:$A$46, RANDBETWEEN(1,ROWS(Sheet1!$A$2:$A$46)))</f>
        <v>B044</v>
      </c>
      <c r="B540" s="2" t="s">
        <v>34</v>
      </c>
      <c r="C540" t="str">
        <f>_xlfn.XLOOKUP(B540, Sheet1!A:A, Sheet1!B:B)</f>
        <v>almond croissant</v>
      </c>
      <c r="D540">
        <f>_xlfn.XLOOKUP(B540,Sheet1!A:A,Sheet1!C:C)</f>
        <v>6</v>
      </c>
      <c r="E540">
        <f>_xlfn.XLOOKUP(B540,Sheet1!A:A,Sheet1!D:D)</f>
        <v>3.5</v>
      </c>
      <c r="F540">
        <f>_xlfn.XLOOKUP(Sheet3!B540,Sheet1!A:A,Sheet1!E:E)</f>
        <v>3</v>
      </c>
      <c r="G540">
        <f>_xlfn.XLOOKUP(B540,Sheet1!A:A,Sheet1!F:F)</f>
        <v>10</v>
      </c>
      <c r="H540" cm="1">
        <f t="array" aca="1" ref="H540" ca="1">INDEX(Sheet1!$G$2:$G$3, RANDBETWEEN(1, ROWS(Sheet1!$G$2:$G$3)))</f>
        <v>0</v>
      </c>
    </row>
    <row r="541" spans="1:8" x14ac:dyDescent="0.3">
      <c r="A541" s="2" t="str" cm="1">
        <f t="array" aca="1" ref="A541" ca="1">INDEX(Sheet1!$A$2:$A$46, RANDBETWEEN(1,ROWS(Sheet1!$A$2:$A$46)))</f>
        <v>B038</v>
      </c>
      <c r="B541" s="2" t="s">
        <v>38</v>
      </c>
      <c r="C541" t="str">
        <f>_xlfn.XLOOKUP(B541, Sheet1!A:A, Sheet1!B:B)</f>
        <v>snickerdoodle cookies</v>
      </c>
      <c r="D541">
        <f>_xlfn.XLOOKUP(B541,Sheet1!A:A,Sheet1!C:C)</f>
        <v>12</v>
      </c>
      <c r="E541">
        <f>_xlfn.XLOOKUP(B541,Sheet1!A:A,Sheet1!D:D)</f>
        <v>3.5</v>
      </c>
      <c r="F541">
        <f>_xlfn.XLOOKUP(Sheet3!B541,Sheet1!A:A,Sheet1!E:E)</f>
        <v>3</v>
      </c>
      <c r="G541">
        <f>_xlfn.XLOOKUP(B541,Sheet1!A:A,Sheet1!F:F)</f>
        <v>14</v>
      </c>
      <c r="H541" t="str" cm="1">
        <f t="array" aca="1" ref="H541" ca="1">INDEX(Sheet1!$G$2:$G$3, RANDBETWEEN(1, ROWS(Sheet1!$G$2:$G$3)))</f>
        <v>No</v>
      </c>
    </row>
    <row r="542" spans="1:8" x14ac:dyDescent="0.3">
      <c r="A542" s="2" t="str" cm="1">
        <f t="array" aca="1" ref="A542" ca="1">INDEX(Sheet1!$A$2:$A$46, RANDBETWEEN(1,ROWS(Sheet1!$A$2:$A$46)))</f>
        <v>B033</v>
      </c>
      <c r="B542" s="2" t="s">
        <v>80</v>
      </c>
      <c r="C542" t="str">
        <f>_xlfn.XLOOKUP(B542, Sheet1!A:A, Sheet1!B:B)</f>
        <v>carrot square cake</v>
      </c>
      <c r="D542">
        <f>_xlfn.XLOOKUP(B542,Sheet1!A:A,Sheet1!C:C)</f>
        <v>8</v>
      </c>
      <c r="E542">
        <f>_xlfn.XLOOKUP(B542,Sheet1!A:A,Sheet1!D:D)</f>
        <v>2.5</v>
      </c>
      <c r="F542">
        <f>_xlfn.XLOOKUP(Sheet3!B542,Sheet1!A:A,Sheet1!E:E)</f>
        <v>2</v>
      </c>
      <c r="G542">
        <f>_xlfn.XLOOKUP(B542,Sheet1!A:A,Sheet1!F:F)</f>
        <v>5</v>
      </c>
      <c r="H542" t="str" cm="1">
        <f t="array" aca="1" ref="H542" ca="1">INDEX(Sheet1!$G$2:$G$3, RANDBETWEEN(1, ROWS(Sheet1!$G$2:$G$3)))</f>
        <v>No</v>
      </c>
    </row>
    <row r="543" spans="1:8" x14ac:dyDescent="0.3">
      <c r="A543" s="2" t="str" cm="1">
        <f t="array" aca="1" ref="A543" ca="1">INDEX(Sheet1!$A$2:$A$46, RANDBETWEEN(1,ROWS(Sheet1!$A$2:$A$46)))</f>
        <v>B022</v>
      </c>
      <c r="B543" s="2" t="s">
        <v>40</v>
      </c>
      <c r="C543" t="str">
        <f>_xlfn.XLOOKUP(B543, Sheet1!A:A, Sheet1!B:B)</f>
        <v>frosted pink cookies</v>
      </c>
      <c r="D543">
        <f>_xlfn.XLOOKUP(B543,Sheet1!A:A,Sheet1!C:C)</f>
        <v>15</v>
      </c>
      <c r="E543">
        <f>_xlfn.XLOOKUP(B543,Sheet1!A:A,Sheet1!D:D)</f>
        <v>3</v>
      </c>
      <c r="F543">
        <f>_xlfn.XLOOKUP(Sheet3!B543,Sheet1!A:A,Sheet1!E:E)</f>
        <v>2.5</v>
      </c>
      <c r="G543">
        <f>_xlfn.XLOOKUP(B543,Sheet1!A:A,Sheet1!F:F)</f>
        <v>14</v>
      </c>
      <c r="H543" t="str" cm="1">
        <f t="array" aca="1" ref="H543" ca="1">INDEX(Sheet1!$G$2:$G$3, RANDBETWEEN(1, ROWS(Sheet1!$G$2:$G$3)))</f>
        <v>No</v>
      </c>
    </row>
    <row r="544" spans="1:8" x14ac:dyDescent="0.3">
      <c r="A544" s="2" t="str" cm="1">
        <f t="array" aca="1" ref="A544" ca="1">INDEX(Sheet1!$A$2:$A$46, RANDBETWEEN(1,ROWS(Sheet1!$A$2:$A$46)))</f>
        <v>B025</v>
      </c>
      <c r="B544" s="2" t="s">
        <v>24</v>
      </c>
      <c r="C544" t="str">
        <f>_xlfn.XLOOKUP(B544, Sheet1!A:A, Sheet1!B:B)</f>
        <v>tiramisu</v>
      </c>
      <c r="D544">
        <f>_xlfn.XLOOKUP(B544,Sheet1!A:A,Sheet1!C:C)</f>
        <v>8</v>
      </c>
      <c r="E544">
        <f>_xlfn.XLOOKUP(B544,Sheet1!A:A,Sheet1!D:D)</f>
        <v>7.5</v>
      </c>
      <c r="F544">
        <f>_xlfn.XLOOKUP(Sheet3!B544,Sheet1!A:A,Sheet1!E:E)</f>
        <v>5.5</v>
      </c>
      <c r="G544">
        <f>_xlfn.XLOOKUP(B544,Sheet1!A:A,Sheet1!F:F)</f>
        <v>7</v>
      </c>
      <c r="H544" t="str" cm="1">
        <f t="array" aca="1" ref="H544" ca="1">INDEX(Sheet1!$G$2:$G$3, RANDBETWEEN(1, ROWS(Sheet1!$G$2:$G$3)))</f>
        <v>No</v>
      </c>
    </row>
    <row r="545" spans="1:8" x14ac:dyDescent="0.3">
      <c r="A545" s="2" t="str" cm="1">
        <f t="array" aca="1" ref="A545" ca="1">INDEX(Sheet1!$A$2:$A$46, RANDBETWEEN(1,ROWS(Sheet1!$A$2:$A$46)))</f>
        <v>B034</v>
      </c>
      <c r="B545" s="2" t="s">
        <v>66</v>
      </c>
      <c r="C545" t="str">
        <f>_xlfn.XLOOKUP(B545, Sheet1!A:A, Sheet1!B:B)</f>
        <v>pumpernickel bread</v>
      </c>
      <c r="D545">
        <f>_xlfn.XLOOKUP(B545,Sheet1!A:A,Sheet1!C:C)</f>
        <v>8</v>
      </c>
      <c r="E545">
        <f>_xlfn.XLOOKUP(B545,Sheet1!A:A,Sheet1!D:D)</f>
        <v>3.5</v>
      </c>
      <c r="F545">
        <f>_xlfn.XLOOKUP(Sheet3!B545,Sheet1!A:A,Sheet1!E:E)</f>
        <v>3</v>
      </c>
      <c r="G545">
        <f>_xlfn.XLOOKUP(B545,Sheet1!A:A,Sheet1!F:F)</f>
        <v>8</v>
      </c>
      <c r="H545" cm="1">
        <f t="array" aca="1" ref="H545" ca="1">INDEX(Sheet1!$G$2:$G$3, RANDBETWEEN(1, ROWS(Sheet1!$G$2:$G$3)))</f>
        <v>0</v>
      </c>
    </row>
    <row r="546" spans="1:8" x14ac:dyDescent="0.3">
      <c r="A546" s="2" t="str" cm="1">
        <f t="array" aca="1" ref="A546" ca="1">INDEX(Sheet1!$A$2:$A$46, RANDBETWEEN(1,ROWS(Sheet1!$A$2:$A$46)))</f>
        <v>B001</v>
      </c>
      <c r="B546" s="2" t="s">
        <v>16</v>
      </c>
      <c r="C546" t="str">
        <f>_xlfn.XLOOKUP(B546, Sheet1!A:A, Sheet1!B:B)</f>
        <v>mini croissant</v>
      </c>
      <c r="D546">
        <f>_xlfn.XLOOKUP(B546,Sheet1!A:A,Sheet1!C:C)</f>
        <v>10</v>
      </c>
      <c r="E546">
        <f>_xlfn.XLOOKUP(B546,Sheet1!A:A,Sheet1!D:D)</f>
        <v>5.5</v>
      </c>
      <c r="F546">
        <f>_xlfn.XLOOKUP(Sheet3!B546,Sheet1!A:A,Sheet1!E:E)</f>
        <v>4.5</v>
      </c>
      <c r="G546">
        <f>_xlfn.XLOOKUP(B546,Sheet1!A:A,Sheet1!F:F)</f>
        <v>7</v>
      </c>
      <c r="H546" t="str" cm="1">
        <f t="array" aca="1" ref="H546" ca="1">INDEX(Sheet1!$G$2:$G$3, RANDBETWEEN(1, ROWS(Sheet1!$G$2:$G$3)))</f>
        <v>No</v>
      </c>
    </row>
    <row r="547" spans="1:8" x14ac:dyDescent="0.3">
      <c r="A547" s="2" t="str" cm="1">
        <f t="array" aca="1" ref="A547" ca="1">INDEX(Sheet1!$A$2:$A$46, RANDBETWEEN(1,ROWS(Sheet1!$A$2:$A$46)))</f>
        <v>B026</v>
      </c>
      <c r="B547" s="2" t="s">
        <v>71</v>
      </c>
      <c r="C547" t="str">
        <f>_xlfn.XLOOKUP(B547, Sheet1!A:A, Sheet1!B:B)</f>
        <v>blueberry pie</v>
      </c>
      <c r="D547">
        <f>_xlfn.XLOOKUP(B547,Sheet1!A:A,Sheet1!C:C)</f>
        <v>6</v>
      </c>
      <c r="E547">
        <f>_xlfn.XLOOKUP(B547,Sheet1!A:A,Sheet1!D:D)</f>
        <v>4</v>
      </c>
      <c r="F547">
        <f>_xlfn.XLOOKUP(Sheet3!B547,Sheet1!A:A,Sheet1!E:E)</f>
        <v>3</v>
      </c>
      <c r="G547">
        <f>_xlfn.XLOOKUP(B547,Sheet1!A:A,Sheet1!F:F)</f>
        <v>7</v>
      </c>
      <c r="H547" cm="1">
        <f t="array" aca="1" ref="H547" ca="1">INDEX(Sheet1!$G$2:$G$3, RANDBETWEEN(1, ROWS(Sheet1!$G$2:$G$3)))</f>
        <v>0</v>
      </c>
    </row>
    <row r="548" spans="1:8" x14ac:dyDescent="0.3">
      <c r="A548" s="2" t="str" cm="1">
        <f t="array" aca="1" ref="A548" ca="1">INDEX(Sheet1!$A$2:$A$46, RANDBETWEEN(1,ROWS(Sheet1!$A$2:$A$46)))</f>
        <v>B025</v>
      </c>
      <c r="B548" s="2" t="s">
        <v>20</v>
      </c>
      <c r="C548" t="str">
        <f>_xlfn.XLOOKUP(B548, Sheet1!A:A, Sheet1!B:B)</f>
        <v>banana nut muffins</v>
      </c>
      <c r="D548">
        <f>_xlfn.XLOOKUP(B548,Sheet1!A:A,Sheet1!C:C)</f>
        <v>10</v>
      </c>
      <c r="E548">
        <f>_xlfn.XLOOKUP(B548,Sheet1!A:A,Sheet1!D:D)</f>
        <v>4.5</v>
      </c>
      <c r="F548">
        <f>_xlfn.XLOOKUP(Sheet3!B548,Sheet1!A:A,Sheet1!E:E)</f>
        <v>4</v>
      </c>
      <c r="G548">
        <f>_xlfn.XLOOKUP(B548,Sheet1!A:A,Sheet1!F:F)</f>
        <v>10</v>
      </c>
      <c r="H548" t="str" cm="1">
        <f t="array" aca="1" ref="H548" ca="1">INDEX(Sheet1!$G$2:$G$3, RANDBETWEEN(1, ROWS(Sheet1!$G$2:$G$3)))</f>
        <v>No</v>
      </c>
    </row>
    <row r="549" spans="1:8" x14ac:dyDescent="0.3">
      <c r="A549" s="2" t="str" cm="1">
        <f t="array" aca="1" ref="A549" ca="1">INDEX(Sheet1!$A$2:$A$46, RANDBETWEEN(1,ROWS(Sheet1!$A$2:$A$46)))</f>
        <v>B038</v>
      </c>
      <c r="B549" s="2" t="s">
        <v>58</v>
      </c>
      <c r="C549" t="str">
        <f>_xlfn.XLOOKUP(B549, Sheet1!A:A, Sheet1!B:B)</f>
        <v>cookies &amp; creme cupcakes</v>
      </c>
      <c r="D549">
        <f>_xlfn.XLOOKUP(B549,Sheet1!A:A,Sheet1!C:C)</f>
        <v>15</v>
      </c>
      <c r="E549">
        <f>_xlfn.XLOOKUP(B549,Sheet1!A:A,Sheet1!D:D)</f>
        <v>6</v>
      </c>
      <c r="F549">
        <f>_xlfn.XLOOKUP(Sheet3!B549,Sheet1!A:A,Sheet1!E:E)</f>
        <v>5.5</v>
      </c>
      <c r="G549">
        <f>_xlfn.XLOOKUP(B549,Sheet1!A:A,Sheet1!F:F)</f>
        <v>20</v>
      </c>
      <c r="H549" t="str" cm="1">
        <f t="array" aca="1" ref="H549" ca="1">INDEX(Sheet1!$G$2:$G$3, RANDBETWEEN(1, ROWS(Sheet1!$G$2:$G$3)))</f>
        <v>No</v>
      </c>
    </row>
    <row r="550" spans="1:8" x14ac:dyDescent="0.3">
      <c r="A550" s="2" t="str" cm="1">
        <f t="array" aca="1" ref="A550" ca="1">INDEX(Sheet1!$A$2:$A$46, RANDBETWEEN(1,ROWS(Sheet1!$A$2:$A$46)))</f>
        <v>B006</v>
      </c>
      <c r="B550" s="2" t="s">
        <v>71</v>
      </c>
      <c r="C550" t="str">
        <f>_xlfn.XLOOKUP(B550, Sheet1!A:A, Sheet1!B:B)</f>
        <v>blueberry pie</v>
      </c>
      <c r="D550">
        <f>_xlfn.XLOOKUP(B550,Sheet1!A:A,Sheet1!C:C)</f>
        <v>6</v>
      </c>
      <c r="E550">
        <f>_xlfn.XLOOKUP(B550,Sheet1!A:A,Sheet1!D:D)</f>
        <v>4</v>
      </c>
      <c r="F550">
        <f>_xlfn.XLOOKUP(Sheet3!B550,Sheet1!A:A,Sheet1!E:E)</f>
        <v>3</v>
      </c>
      <c r="G550">
        <f>_xlfn.XLOOKUP(B550,Sheet1!A:A,Sheet1!F:F)</f>
        <v>7</v>
      </c>
      <c r="H550" cm="1">
        <f t="array" aca="1" ref="H550" ca="1">INDEX(Sheet1!$G$2:$G$3, RANDBETWEEN(1, ROWS(Sheet1!$G$2:$G$3)))</f>
        <v>0</v>
      </c>
    </row>
    <row r="551" spans="1:8" x14ac:dyDescent="0.3">
      <c r="A551" s="2" t="str" cm="1">
        <f t="array" aca="1" ref="A551" ca="1">INDEX(Sheet1!$A$2:$A$46, RANDBETWEEN(1,ROWS(Sheet1!$A$2:$A$46)))</f>
        <v>B013</v>
      </c>
      <c r="B551" s="2" t="s">
        <v>79</v>
      </c>
      <c r="C551" t="str">
        <f>_xlfn.XLOOKUP(B551, Sheet1!A:A, Sheet1!B:B)</f>
        <v>chocolate square cake</v>
      </c>
      <c r="D551">
        <f>_xlfn.XLOOKUP(B551,Sheet1!A:A,Sheet1!C:C)</f>
        <v>8</v>
      </c>
      <c r="E551">
        <f>_xlfn.XLOOKUP(B551,Sheet1!A:A,Sheet1!D:D)</f>
        <v>2.5</v>
      </c>
      <c r="F551">
        <f>_xlfn.XLOOKUP(Sheet3!B551,Sheet1!A:A,Sheet1!E:E)</f>
        <v>2</v>
      </c>
      <c r="G551">
        <f>_xlfn.XLOOKUP(B551,Sheet1!A:A,Sheet1!F:F)</f>
        <v>5</v>
      </c>
      <c r="H551" t="str" cm="1">
        <f t="array" aca="1" ref="H551" ca="1">INDEX(Sheet1!$G$2:$G$3, RANDBETWEEN(1, ROWS(Sheet1!$G$2:$G$3)))</f>
        <v>No</v>
      </c>
    </row>
    <row r="552" spans="1:8" x14ac:dyDescent="0.3">
      <c r="A552" s="2" t="str" cm="1">
        <f t="array" aca="1" ref="A552" ca="1">INDEX(Sheet1!$A$2:$A$46, RANDBETWEEN(1,ROWS(Sheet1!$A$2:$A$46)))</f>
        <v>B037</v>
      </c>
      <c r="B552" s="2" t="s">
        <v>92</v>
      </c>
      <c r="C552" t="str">
        <f>_xlfn.XLOOKUP(B552, Sheet1!A:A, Sheet1!B:B)</f>
        <v>square brownies</v>
      </c>
      <c r="D552">
        <f>_xlfn.XLOOKUP(B552,Sheet1!A:A,Sheet1!C:C)</f>
        <v>6</v>
      </c>
      <c r="E552">
        <f>_xlfn.XLOOKUP(B552,Sheet1!A:A,Sheet1!D:D)</f>
        <v>4.5</v>
      </c>
      <c r="F552">
        <f>_xlfn.XLOOKUP(Sheet3!B552,Sheet1!A:A,Sheet1!E:E)</f>
        <v>4</v>
      </c>
      <c r="G552">
        <f>_xlfn.XLOOKUP(B552,Sheet1!A:A,Sheet1!F:F)</f>
        <v>14</v>
      </c>
      <c r="H552" t="str" cm="1">
        <f t="array" aca="1" ref="H552" ca="1">INDEX(Sheet1!$G$2:$G$3, RANDBETWEEN(1, ROWS(Sheet1!$G$2:$G$3)))</f>
        <v>No</v>
      </c>
    </row>
    <row r="553" spans="1:8" x14ac:dyDescent="0.3">
      <c r="A553" s="2" t="str" cm="1">
        <f t="array" aca="1" ref="A553" ca="1">INDEX(Sheet1!$A$2:$A$46, RANDBETWEEN(1,ROWS(Sheet1!$A$2:$A$46)))</f>
        <v>B045</v>
      </c>
      <c r="B553" s="2" t="s">
        <v>34</v>
      </c>
      <c r="C553" t="str">
        <f>_xlfn.XLOOKUP(B553, Sheet1!A:A, Sheet1!B:B)</f>
        <v>almond croissant</v>
      </c>
      <c r="D553">
        <f>_xlfn.XLOOKUP(B553,Sheet1!A:A,Sheet1!C:C)</f>
        <v>6</v>
      </c>
      <c r="E553">
        <f>_xlfn.XLOOKUP(B553,Sheet1!A:A,Sheet1!D:D)</f>
        <v>3.5</v>
      </c>
      <c r="F553">
        <f>_xlfn.XLOOKUP(Sheet3!B553,Sheet1!A:A,Sheet1!E:E)</f>
        <v>3</v>
      </c>
      <c r="G553">
        <f>_xlfn.XLOOKUP(B553,Sheet1!A:A,Sheet1!F:F)</f>
        <v>10</v>
      </c>
      <c r="H553" t="str" cm="1">
        <f t="array" aca="1" ref="H553" ca="1">INDEX(Sheet1!$G$2:$G$3, RANDBETWEEN(1, ROWS(Sheet1!$G$2:$G$3)))</f>
        <v>No</v>
      </c>
    </row>
    <row r="554" spans="1:8" x14ac:dyDescent="0.3">
      <c r="A554" s="2" t="str" cm="1">
        <f t="array" aca="1" ref="A554" ca="1">INDEX(Sheet1!$A$2:$A$46, RANDBETWEEN(1,ROWS(Sheet1!$A$2:$A$46)))</f>
        <v>B026</v>
      </c>
      <c r="B554" s="2" t="s">
        <v>60</v>
      </c>
      <c r="C554" t="str">
        <f>_xlfn.XLOOKUP(B554, Sheet1!A:A, Sheet1!B:B)</f>
        <v>banana nut sliced loaf cake</v>
      </c>
      <c r="D554">
        <f>_xlfn.XLOOKUP(B554,Sheet1!A:A,Sheet1!C:C)</f>
        <v>10</v>
      </c>
      <c r="E554">
        <f>_xlfn.XLOOKUP(B554,Sheet1!A:A,Sheet1!D:D)</f>
        <v>4</v>
      </c>
      <c r="F554">
        <f>_xlfn.XLOOKUP(Sheet3!B554,Sheet1!A:A,Sheet1!E:E)</f>
        <v>3.5</v>
      </c>
      <c r="G554">
        <f>_xlfn.XLOOKUP(B554,Sheet1!A:A,Sheet1!F:F)</f>
        <v>10</v>
      </c>
      <c r="H554" t="str" cm="1">
        <f t="array" aca="1" ref="H554" ca="1">INDEX(Sheet1!$G$2:$G$3, RANDBETWEEN(1, ROWS(Sheet1!$G$2:$G$3)))</f>
        <v>No</v>
      </c>
    </row>
    <row r="555" spans="1:8" x14ac:dyDescent="0.3">
      <c r="A555" s="2" t="str" cm="1">
        <f t="array" aca="1" ref="A555" ca="1">INDEX(Sheet1!$A$2:$A$46, RANDBETWEEN(1,ROWS(Sheet1!$A$2:$A$46)))</f>
        <v>B011</v>
      </c>
      <c r="B555" s="2" t="s">
        <v>67</v>
      </c>
      <c r="C555" t="str">
        <f>_xlfn.XLOOKUP(B555, Sheet1!A:A, Sheet1!B:B)</f>
        <v>seeded bread</v>
      </c>
      <c r="D555">
        <f>_xlfn.XLOOKUP(B555,Sheet1!A:A,Sheet1!C:C)</f>
        <v>8</v>
      </c>
      <c r="E555">
        <f>_xlfn.XLOOKUP(B555,Sheet1!A:A,Sheet1!D:D)</f>
        <v>3.5</v>
      </c>
      <c r="F555">
        <f>_xlfn.XLOOKUP(Sheet3!B555,Sheet1!A:A,Sheet1!E:E)</f>
        <v>3</v>
      </c>
      <c r="G555">
        <f>_xlfn.XLOOKUP(B555,Sheet1!A:A,Sheet1!F:F)</f>
        <v>8</v>
      </c>
      <c r="H555" t="str" cm="1">
        <f t="array" aca="1" ref="H555" ca="1">INDEX(Sheet1!$G$2:$G$3, RANDBETWEEN(1, ROWS(Sheet1!$G$2:$G$3)))</f>
        <v>No</v>
      </c>
    </row>
    <row r="556" spans="1:8" x14ac:dyDescent="0.3">
      <c r="A556" s="2" t="str" cm="1">
        <f t="array" aca="1" ref="A556" ca="1">INDEX(Sheet1!$A$2:$A$46, RANDBETWEEN(1,ROWS(Sheet1!$A$2:$A$46)))</f>
        <v>B001</v>
      </c>
      <c r="B556" s="2" t="s">
        <v>10</v>
      </c>
      <c r="C556" t="str">
        <f>_xlfn.XLOOKUP(B556, Sheet1!A:A, Sheet1!B:B)</f>
        <v>croissant</v>
      </c>
      <c r="D556">
        <f>_xlfn.XLOOKUP(B556,Sheet1!A:A,Sheet1!C:C)</f>
        <v>10</v>
      </c>
      <c r="E556">
        <f>_xlfn.XLOOKUP(B556,Sheet1!A:A,Sheet1!D:D)</f>
        <v>5.5</v>
      </c>
      <c r="F556">
        <f>_xlfn.XLOOKUP(Sheet3!B556,Sheet1!A:A,Sheet1!E:E)</f>
        <v>4.5</v>
      </c>
      <c r="G556">
        <f>_xlfn.XLOOKUP(B556,Sheet1!A:A,Sheet1!F:F)</f>
        <v>7</v>
      </c>
      <c r="H556" t="str" cm="1">
        <f t="array" aca="1" ref="H556" ca="1">INDEX(Sheet1!$G$2:$G$3, RANDBETWEEN(1, ROWS(Sheet1!$G$2:$G$3)))</f>
        <v>No</v>
      </c>
    </row>
    <row r="557" spans="1:8" x14ac:dyDescent="0.3">
      <c r="A557" s="2" t="str" cm="1">
        <f t="array" aca="1" ref="A557" ca="1">INDEX(Sheet1!$A$2:$A$46, RANDBETWEEN(1,ROWS(Sheet1!$A$2:$A$46)))</f>
        <v>B025</v>
      </c>
      <c r="B557" s="2" t="s">
        <v>34</v>
      </c>
      <c r="C557" t="str">
        <f>_xlfn.XLOOKUP(B557, Sheet1!A:A, Sheet1!B:B)</f>
        <v>almond croissant</v>
      </c>
      <c r="D557">
        <f>_xlfn.XLOOKUP(B557,Sheet1!A:A,Sheet1!C:C)</f>
        <v>6</v>
      </c>
      <c r="E557">
        <f>_xlfn.XLOOKUP(B557,Sheet1!A:A,Sheet1!D:D)</f>
        <v>3.5</v>
      </c>
      <c r="F557">
        <f>_xlfn.XLOOKUP(Sheet3!B557,Sheet1!A:A,Sheet1!E:E)</f>
        <v>3</v>
      </c>
      <c r="G557">
        <f>_xlfn.XLOOKUP(B557,Sheet1!A:A,Sheet1!F:F)</f>
        <v>10</v>
      </c>
      <c r="H557" t="str" cm="1">
        <f t="array" aca="1" ref="H557" ca="1">INDEX(Sheet1!$G$2:$G$3, RANDBETWEEN(1, ROWS(Sheet1!$G$2:$G$3)))</f>
        <v>No</v>
      </c>
    </row>
    <row r="558" spans="1:8" x14ac:dyDescent="0.3">
      <c r="A558" s="2" t="str" cm="1">
        <f t="array" aca="1" ref="A558" ca="1">INDEX(Sheet1!$A$2:$A$46, RANDBETWEEN(1,ROWS(Sheet1!$A$2:$A$46)))</f>
        <v>B020</v>
      </c>
      <c r="B558" s="2" t="s">
        <v>16</v>
      </c>
      <c r="C558" t="str">
        <f>_xlfn.XLOOKUP(B558, Sheet1!A:A, Sheet1!B:B)</f>
        <v>mini croissant</v>
      </c>
      <c r="D558">
        <f>_xlfn.XLOOKUP(B558,Sheet1!A:A,Sheet1!C:C)</f>
        <v>10</v>
      </c>
      <c r="E558">
        <f>_xlfn.XLOOKUP(B558,Sheet1!A:A,Sheet1!D:D)</f>
        <v>5.5</v>
      </c>
      <c r="F558">
        <f>_xlfn.XLOOKUP(Sheet3!B558,Sheet1!A:A,Sheet1!E:E)</f>
        <v>4.5</v>
      </c>
      <c r="G558">
        <f>_xlfn.XLOOKUP(B558,Sheet1!A:A,Sheet1!F:F)</f>
        <v>7</v>
      </c>
      <c r="H558" cm="1">
        <f t="array" aca="1" ref="H558" ca="1">INDEX(Sheet1!$G$2:$G$3, RANDBETWEEN(1, ROWS(Sheet1!$G$2:$G$3)))</f>
        <v>0</v>
      </c>
    </row>
    <row r="559" spans="1:8" x14ac:dyDescent="0.3">
      <c r="A559" s="2" t="str" cm="1">
        <f t="array" aca="1" ref="A559" ca="1">INDEX(Sheet1!$A$2:$A$46, RANDBETWEEN(1,ROWS(Sheet1!$A$2:$A$46)))</f>
        <v>B014</v>
      </c>
      <c r="B559" s="2" t="s">
        <v>66</v>
      </c>
      <c r="C559" t="str">
        <f>_xlfn.XLOOKUP(B559, Sheet1!A:A, Sheet1!B:B)</f>
        <v>pumpernickel bread</v>
      </c>
      <c r="D559">
        <f>_xlfn.XLOOKUP(B559,Sheet1!A:A,Sheet1!C:C)</f>
        <v>8</v>
      </c>
      <c r="E559">
        <f>_xlfn.XLOOKUP(B559,Sheet1!A:A,Sheet1!D:D)</f>
        <v>3.5</v>
      </c>
      <c r="F559">
        <f>_xlfn.XLOOKUP(Sheet3!B559,Sheet1!A:A,Sheet1!E:E)</f>
        <v>3</v>
      </c>
      <c r="G559">
        <f>_xlfn.XLOOKUP(B559,Sheet1!A:A,Sheet1!F:F)</f>
        <v>8</v>
      </c>
      <c r="H559" t="str" cm="1">
        <f t="array" aca="1" ref="H559" ca="1">INDEX(Sheet1!$G$2:$G$3, RANDBETWEEN(1, ROWS(Sheet1!$G$2:$G$3)))</f>
        <v>No</v>
      </c>
    </row>
    <row r="560" spans="1:8" x14ac:dyDescent="0.3">
      <c r="A560" s="2" t="str" cm="1">
        <f t="array" aca="1" ref="A560" ca="1">INDEX(Sheet1!$A$2:$A$46, RANDBETWEEN(1,ROWS(Sheet1!$A$2:$A$46)))</f>
        <v>B028</v>
      </c>
      <c r="B560" s="2" t="s">
        <v>67</v>
      </c>
      <c r="C560" t="str">
        <f>_xlfn.XLOOKUP(B560, Sheet1!A:A, Sheet1!B:B)</f>
        <v>seeded bread</v>
      </c>
      <c r="D560">
        <f>_xlfn.XLOOKUP(B560,Sheet1!A:A,Sheet1!C:C)</f>
        <v>8</v>
      </c>
      <c r="E560">
        <f>_xlfn.XLOOKUP(B560,Sheet1!A:A,Sheet1!D:D)</f>
        <v>3.5</v>
      </c>
      <c r="F560">
        <f>_xlfn.XLOOKUP(Sheet3!B560,Sheet1!A:A,Sheet1!E:E)</f>
        <v>3</v>
      </c>
      <c r="G560">
        <f>_xlfn.XLOOKUP(B560,Sheet1!A:A,Sheet1!F:F)</f>
        <v>8</v>
      </c>
      <c r="H560" cm="1">
        <f t="array" aca="1" ref="H560" ca="1">INDEX(Sheet1!$G$2:$G$3, RANDBETWEEN(1, ROWS(Sheet1!$G$2:$G$3)))</f>
        <v>0</v>
      </c>
    </row>
    <row r="561" spans="1:8" x14ac:dyDescent="0.3">
      <c r="A561" s="2" t="str" cm="1">
        <f t="array" aca="1" ref="A561" ca="1">INDEX(Sheet1!$A$2:$A$46, RANDBETWEEN(1,ROWS(Sheet1!$A$2:$A$46)))</f>
        <v>B031</v>
      </c>
      <c r="B561" s="2" t="s">
        <v>21</v>
      </c>
      <c r="C561" t="str">
        <f>_xlfn.XLOOKUP(B561, Sheet1!A:A, Sheet1!B:B)</f>
        <v>butter cake</v>
      </c>
      <c r="D561">
        <f>_xlfn.XLOOKUP(B561,Sheet1!A:A,Sheet1!C:C)</f>
        <v>8</v>
      </c>
      <c r="E561">
        <f>_xlfn.XLOOKUP(B561,Sheet1!A:A,Sheet1!D:D)</f>
        <v>4</v>
      </c>
      <c r="F561">
        <f>_xlfn.XLOOKUP(Sheet3!B561,Sheet1!A:A,Sheet1!E:E)</f>
        <v>3</v>
      </c>
      <c r="G561">
        <f>_xlfn.XLOOKUP(B561,Sheet1!A:A,Sheet1!F:F)</f>
        <v>14</v>
      </c>
      <c r="H561" cm="1">
        <f t="array" aca="1" ref="H561" ca="1">INDEX(Sheet1!$G$2:$G$3, RANDBETWEEN(1, ROWS(Sheet1!$G$2:$G$3)))</f>
        <v>0</v>
      </c>
    </row>
    <row r="562" spans="1:8" x14ac:dyDescent="0.3">
      <c r="A562" s="2" t="str" cm="1">
        <f t="array" aca="1" ref="A562" ca="1">INDEX(Sheet1!$A$2:$A$46, RANDBETWEEN(1,ROWS(Sheet1!$A$2:$A$46)))</f>
        <v>B015</v>
      </c>
      <c r="B562" s="2" t="s">
        <v>69</v>
      </c>
      <c r="C562" t="str">
        <f>_xlfn.XLOOKUP(B562, Sheet1!A:A, Sheet1!B:B)</f>
        <v>coconut creme pie</v>
      </c>
      <c r="D562">
        <f>_xlfn.XLOOKUP(B562,Sheet1!A:A,Sheet1!C:C)</f>
        <v>6</v>
      </c>
      <c r="E562">
        <f>_xlfn.XLOOKUP(B562,Sheet1!A:A,Sheet1!D:D)</f>
        <v>4</v>
      </c>
      <c r="F562">
        <f>_xlfn.XLOOKUP(Sheet3!B562,Sheet1!A:A,Sheet1!E:E)</f>
        <v>3</v>
      </c>
      <c r="G562">
        <f>_xlfn.XLOOKUP(B562,Sheet1!A:A,Sheet1!F:F)</f>
        <v>7</v>
      </c>
      <c r="H562" t="str" cm="1">
        <f t="array" aca="1" ref="H562" ca="1">INDEX(Sheet1!$G$2:$G$3, RANDBETWEEN(1, ROWS(Sheet1!$G$2:$G$3)))</f>
        <v>No</v>
      </c>
    </row>
    <row r="563" spans="1:8" x14ac:dyDescent="0.3">
      <c r="A563" s="2" t="str" cm="1">
        <f t="array" aca="1" ref="A563" ca="1">INDEX(Sheet1!$A$2:$A$46, RANDBETWEEN(1,ROWS(Sheet1!$A$2:$A$46)))</f>
        <v>B022</v>
      </c>
      <c r="B563" s="2" t="s">
        <v>34</v>
      </c>
      <c r="C563" t="str">
        <f>_xlfn.XLOOKUP(B563, Sheet1!A:A, Sheet1!B:B)</f>
        <v>almond croissant</v>
      </c>
      <c r="D563">
        <f>_xlfn.XLOOKUP(B563,Sheet1!A:A,Sheet1!C:C)</f>
        <v>6</v>
      </c>
      <c r="E563">
        <f>_xlfn.XLOOKUP(B563,Sheet1!A:A,Sheet1!D:D)</f>
        <v>3.5</v>
      </c>
      <c r="F563">
        <f>_xlfn.XLOOKUP(Sheet3!B563,Sheet1!A:A,Sheet1!E:E)</f>
        <v>3</v>
      </c>
      <c r="G563">
        <f>_xlfn.XLOOKUP(B563,Sheet1!A:A,Sheet1!F:F)</f>
        <v>10</v>
      </c>
      <c r="H563" t="str" cm="1">
        <f t="array" aca="1" ref="H563" ca="1">INDEX(Sheet1!$G$2:$G$3, RANDBETWEEN(1, ROWS(Sheet1!$G$2:$G$3)))</f>
        <v>No</v>
      </c>
    </row>
    <row r="564" spans="1:8" x14ac:dyDescent="0.3">
      <c r="A564" s="2" t="str" cm="1">
        <f t="array" aca="1" ref="A564" ca="1">INDEX(Sheet1!$A$2:$A$46, RANDBETWEEN(1,ROWS(Sheet1!$A$2:$A$46)))</f>
        <v>B035</v>
      </c>
      <c r="B564" s="2" t="s">
        <v>41</v>
      </c>
      <c r="C564" t="str">
        <f>_xlfn.XLOOKUP(B564, Sheet1!A:A, Sheet1!B:B)</f>
        <v>frosted blue cookies</v>
      </c>
      <c r="D564">
        <f>_xlfn.XLOOKUP(B564,Sheet1!A:A,Sheet1!C:C)</f>
        <v>15</v>
      </c>
      <c r="E564">
        <f>_xlfn.XLOOKUP(B564,Sheet1!A:A,Sheet1!D:D)</f>
        <v>3</v>
      </c>
      <c r="F564">
        <f>_xlfn.XLOOKUP(Sheet3!B564,Sheet1!A:A,Sheet1!E:E)</f>
        <v>2.5</v>
      </c>
      <c r="G564">
        <f>_xlfn.XLOOKUP(B564,Sheet1!A:A,Sheet1!F:F)</f>
        <v>14</v>
      </c>
      <c r="H564" cm="1">
        <f t="array" aca="1" ref="H564" ca="1">INDEX(Sheet1!$G$2:$G$3, RANDBETWEEN(1, ROWS(Sheet1!$G$2:$G$3)))</f>
        <v>0</v>
      </c>
    </row>
    <row r="565" spans="1:8" x14ac:dyDescent="0.3">
      <c r="A565" s="2" t="str" cm="1">
        <f t="array" aca="1" ref="A565" ca="1">INDEX(Sheet1!$A$2:$A$46, RANDBETWEEN(1,ROWS(Sheet1!$A$2:$A$46)))</f>
        <v>B007</v>
      </c>
      <c r="B565" s="2" t="s">
        <v>37</v>
      </c>
      <c r="C565" t="str">
        <f>_xlfn.XLOOKUP(B565, Sheet1!A:A, Sheet1!B:B)</f>
        <v>sugar cookies</v>
      </c>
      <c r="D565">
        <f>_xlfn.XLOOKUP(B565,Sheet1!A:A,Sheet1!C:C)</f>
        <v>12</v>
      </c>
      <c r="E565">
        <f>_xlfn.XLOOKUP(B565,Sheet1!A:A,Sheet1!D:D)</f>
        <v>3.5</v>
      </c>
      <c r="F565">
        <f>_xlfn.XLOOKUP(Sheet3!B565,Sheet1!A:A,Sheet1!E:E)</f>
        <v>3</v>
      </c>
      <c r="G565">
        <f>_xlfn.XLOOKUP(B565,Sheet1!A:A,Sheet1!F:F)</f>
        <v>14</v>
      </c>
      <c r="H565" t="str" cm="1">
        <f t="array" aca="1" ref="H565" ca="1">INDEX(Sheet1!$G$2:$G$3, RANDBETWEEN(1, ROWS(Sheet1!$G$2:$G$3)))</f>
        <v>No</v>
      </c>
    </row>
    <row r="566" spans="1:8" x14ac:dyDescent="0.3">
      <c r="A566" s="2" t="str" cm="1">
        <f t="array" aca="1" ref="A566" ca="1">INDEX(Sheet1!$A$2:$A$46, RANDBETWEEN(1,ROWS(Sheet1!$A$2:$A$46)))</f>
        <v>B001</v>
      </c>
      <c r="B566" s="2" t="s">
        <v>20</v>
      </c>
      <c r="C566" t="str">
        <f>_xlfn.XLOOKUP(B566, Sheet1!A:A, Sheet1!B:B)</f>
        <v>banana nut muffins</v>
      </c>
      <c r="D566">
        <f>_xlfn.XLOOKUP(B566,Sheet1!A:A,Sheet1!C:C)</f>
        <v>10</v>
      </c>
      <c r="E566">
        <f>_xlfn.XLOOKUP(B566,Sheet1!A:A,Sheet1!D:D)</f>
        <v>4.5</v>
      </c>
      <c r="F566">
        <f>_xlfn.XLOOKUP(Sheet3!B566,Sheet1!A:A,Sheet1!E:E)</f>
        <v>4</v>
      </c>
      <c r="G566">
        <f>_xlfn.XLOOKUP(B566,Sheet1!A:A,Sheet1!F:F)</f>
        <v>10</v>
      </c>
      <c r="H566" t="str" cm="1">
        <f t="array" aca="1" ref="H566" ca="1">INDEX(Sheet1!$G$2:$G$3, RANDBETWEEN(1, ROWS(Sheet1!$G$2:$G$3)))</f>
        <v>No</v>
      </c>
    </row>
    <row r="567" spans="1:8" x14ac:dyDescent="0.3">
      <c r="A567" s="2" t="str" cm="1">
        <f t="array" aca="1" ref="A567" ca="1">INDEX(Sheet1!$A$2:$A$46, RANDBETWEEN(1,ROWS(Sheet1!$A$2:$A$46)))</f>
        <v>B004</v>
      </c>
      <c r="B567" s="2" t="s">
        <v>72</v>
      </c>
      <c r="C567" t="str">
        <f>_xlfn.XLOOKUP(B567, Sheet1!A:A, Sheet1!B:B)</f>
        <v>cherry pie</v>
      </c>
      <c r="D567">
        <f>_xlfn.XLOOKUP(B567,Sheet1!A:A,Sheet1!C:C)</f>
        <v>6</v>
      </c>
      <c r="E567">
        <f>_xlfn.XLOOKUP(B567,Sheet1!A:A,Sheet1!D:D)</f>
        <v>4</v>
      </c>
      <c r="F567">
        <f>_xlfn.XLOOKUP(Sheet3!B567,Sheet1!A:A,Sheet1!E:E)</f>
        <v>3</v>
      </c>
      <c r="G567">
        <f>_xlfn.XLOOKUP(B567,Sheet1!A:A,Sheet1!F:F)</f>
        <v>7</v>
      </c>
      <c r="H567" cm="1">
        <f t="array" aca="1" ref="H567" ca="1">INDEX(Sheet1!$G$2:$G$3, RANDBETWEEN(1, ROWS(Sheet1!$G$2:$G$3)))</f>
        <v>0</v>
      </c>
    </row>
    <row r="568" spans="1:8" x14ac:dyDescent="0.3">
      <c r="A568" s="2" t="str" cm="1">
        <f t="array" aca="1" ref="A568" ca="1">INDEX(Sheet1!$A$2:$A$46, RANDBETWEEN(1,ROWS(Sheet1!$A$2:$A$46)))</f>
        <v>B022</v>
      </c>
      <c r="B568" s="2" t="s">
        <v>68</v>
      </c>
      <c r="C568" t="str">
        <f>_xlfn.XLOOKUP(B568, Sheet1!A:A, Sheet1!B:B)</f>
        <v>oreja cookies</v>
      </c>
      <c r="D568">
        <f>_xlfn.XLOOKUP(B568,Sheet1!A:A,Sheet1!C:C)</f>
        <v>15</v>
      </c>
      <c r="E568">
        <f>_xlfn.XLOOKUP(B568,Sheet1!A:A,Sheet1!D:D)</f>
        <v>4</v>
      </c>
      <c r="F568">
        <f>_xlfn.XLOOKUP(Sheet3!B568,Sheet1!A:A,Sheet1!E:E)</f>
        <v>3</v>
      </c>
      <c r="G568">
        <f>_xlfn.XLOOKUP(B568,Sheet1!A:A,Sheet1!F:F)</f>
        <v>14</v>
      </c>
      <c r="H568" cm="1">
        <f t="array" aca="1" ref="H568" ca="1">INDEX(Sheet1!$G$2:$G$3, RANDBETWEEN(1, ROWS(Sheet1!$G$2:$G$3)))</f>
        <v>0</v>
      </c>
    </row>
    <row r="569" spans="1:8" x14ac:dyDescent="0.3">
      <c r="A569" s="2" t="str" cm="1">
        <f t="array" aca="1" ref="A569" ca="1">INDEX(Sheet1!$A$2:$A$46, RANDBETWEEN(1,ROWS(Sheet1!$A$2:$A$46)))</f>
        <v>B028</v>
      </c>
      <c r="B569" s="2" t="s">
        <v>65</v>
      </c>
      <c r="C569" t="str">
        <f>_xlfn.XLOOKUP(B569, Sheet1!A:A, Sheet1!B:B)</f>
        <v>sourdough bread</v>
      </c>
      <c r="D569">
        <f>_xlfn.XLOOKUP(B569,Sheet1!A:A,Sheet1!C:C)</f>
        <v>10</v>
      </c>
      <c r="E569">
        <f>_xlfn.XLOOKUP(B569,Sheet1!A:A,Sheet1!D:D)</f>
        <v>3.5</v>
      </c>
      <c r="F569">
        <f>_xlfn.XLOOKUP(Sheet3!B569,Sheet1!A:A,Sheet1!E:E)</f>
        <v>3</v>
      </c>
      <c r="G569">
        <f>_xlfn.XLOOKUP(B569,Sheet1!A:A,Sheet1!F:F)</f>
        <v>8</v>
      </c>
      <c r="H569" cm="1">
        <f t="array" aca="1" ref="H569" ca="1">INDEX(Sheet1!$G$2:$G$3, RANDBETWEEN(1, ROWS(Sheet1!$G$2:$G$3)))</f>
        <v>0</v>
      </c>
    </row>
    <row r="570" spans="1:8" x14ac:dyDescent="0.3">
      <c r="A570" s="2" t="str" cm="1">
        <f t="array" aca="1" ref="A570" ca="1">INDEX(Sheet1!$A$2:$A$46, RANDBETWEEN(1,ROWS(Sheet1!$A$2:$A$46)))</f>
        <v>B006</v>
      </c>
      <c r="B570" s="2" t="s">
        <v>67</v>
      </c>
      <c r="C570" t="str">
        <f>_xlfn.XLOOKUP(B570, Sheet1!A:A, Sheet1!B:B)</f>
        <v>seeded bread</v>
      </c>
      <c r="D570">
        <f>_xlfn.XLOOKUP(B570,Sheet1!A:A,Sheet1!C:C)</f>
        <v>8</v>
      </c>
      <c r="E570">
        <f>_xlfn.XLOOKUP(B570,Sheet1!A:A,Sheet1!D:D)</f>
        <v>3.5</v>
      </c>
      <c r="F570">
        <f>_xlfn.XLOOKUP(Sheet3!B570,Sheet1!A:A,Sheet1!E:E)</f>
        <v>3</v>
      </c>
      <c r="G570">
        <f>_xlfn.XLOOKUP(B570,Sheet1!A:A,Sheet1!F:F)</f>
        <v>8</v>
      </c>
      <c r="H570" cm="1">
        <f t="array" aca="1" ref="H570" ca="1">INDEX(Sheet1!$G$2:$G$3, RANDBETWEEN(1, ROWS(Sheet1!$G$2:$G$3)))</f>
        <v>0</v>
      </c>
    </row>
    <row r="571" spans="1:8" x14ac:dyDescent="0.3">
      <c r="A571" s="2" t="str" cm="1">
        <f t="array" aca="1" ref="A571" ca="1">INDEX(Sheet1!$A$2:$A$46, RANDBETWEEN(1,ROWS(Sheet1!$A$2:$A$46)))</f>
        <v>B016</v>
      </c>
      <c r="B571" s="2" t="s">
        <v>90</v>
      </c>
      <c r="C571" t="str">
        <f>_xlfn.XLOOKUP(B571, Sheet1!A:A, Sheet1!B:B)</f>
        <v>mini brownies</v>
      </c>
      <c r="D571">
        <f>_xlfn.XLOOKUP(B571,Sheet1!A:A,Sheet1!C:C)</f>
        <v>12</v>
      </c>
      <c r="E571">
        <f>_xlfn.XLOOKUP(B571,Sheet1!A:A,Sheet1!D:D)</f>
        <v>4.5</v>
      </c>
      <c r="F571">
        <f>_xlfn.XLOOKUP(Sheet3!B571,Sheet1!A:A,Sheet1!E:E)</f>
        <v>4</v>
      </c>
      <c r="G571">
        <f>_xlfn.XLOOKUP(B571,Sheet1!A:A,Sheet1!F:F)</f>
        <v>14</v>
      </c>
      <c r="H571" cm="1">
        <f t="array" aca="1" ref="H571" ca="1">INDEX(Sheet1!$G$2:$G$3, RANDBETWEEN(1, ROWS(Sheet1!$G$2:$G$3)))</f>
        <v>0</v>
      </c>
    </row>
    <row r="572" spans="1:8" x14ac:dyDescent="0.3">
      <c r="A572" s="2" t="str" cm="1">
        <f t="array" aca="1" ref="A572" ca="1">INDEX(Sheet1!$A$2:$A$46, RANDBETWEEN(1,ROWS(Sheet1!$A$2:$A$46)))</f>
        <v>B030</v>
      </c>
      <c r="B572" s="2" t="s">
        <v>58</v>
      </c>
      <c r="C572" t="str">
        <f>_xlfn.XLOOKUP(B572, Sheet1!A:A, Sheet1!B:B)</f>
        <v>cookies &amp; creme cupcakes</v>
      </c>
      <c r="D572">
        <f>_xlfn.XLOOKUP(B572,Sheet1!A:A,Sheet1!C:C)</f>
        <v>15</v>
      </c>
      <c r="E572">
        <f>_xlfn.XLOOKUP(B572,Sheet1!A:A,Sheet1!D:D)</f>
        <v>6</v>
      </c>
      <c r="F572">
        <f>_xlfn.XLOOKUP(Sheet3!B572,Sheet1!A:A,Sheet1!E:E)</f>
        <v>5.5</v>
      </c>
      <c r="G572">
        <f>_xlfn.XLOOKUP(B572,Sheet1!A:A,Sheet1!F:F)</f>
        <v>20</v>
      </c>
      <c r="H572" cm="1">
        <f t="array" aca="1" ref="H572" ca="1">INDEX(Sheet1!$G$2:$G$3, RANDBETWEEN(1, ROWS(Sheet1!$G$2:$G$3)))</f>
        <v>0</v>
      </c>
    </row>
    <row r="573" spans="1:8" x14ac:dyDescent="0.3">
      <c r="A573" s="2" t="str" cm="1">
        <f t="array" aca="1" ref="A573" ca="1">INDEX(Sheet1!$A$2:$A$46, RANDBETWEEN(1,ROWS(Sheet1!$A$2:$A$46)))</f>
        <v>B015</v>
      </c>
      <c r="B573" s="2" t="s">
        <v>56</v>
      </c>
      <c r="C573" t="str">
        <f>_xlfn.XLOOKUP(B573, Sheet1!A:A, Sheet1!B:B)</f>
        <v>assorted cupcakes </v>
      </c>
      <c r="D573">
        <f>_xlfn.XLOOKUP(B573,Sheet1!A:A,Sheet1!C:C)</f>
        <v>8</v>
      </c>
      <c r="E573">
        <f>_xlfn.XLOOKUP(B573,Sheet1!A:A,Sheet1!D:D)</f>
        <v>6</v>
      </c>
      <c r="F573">
        <f>_xlfn.XLOOKUP(Sheet3!B573,Sheet1!A:A,Sheet1!E:E)</f>
        <v>5.5</v>
      </c>
      <c r="G573">
        <f>_xlfn.XLOOKUP(B573,Sheet1!A:A,Sheet1!F:F)</f>
        <v>20</v>
      </c>
      <c r="H573" cm="1">
        <f t="array" aca="1" ref="H573" ca="1">INDEX(Sheet1!$G$2:$G$3, RANDBETWEEN(1, ROWS(Sheet1!$G$2:$G$3)))</f>
        <v>0</v>
      </c>
    </row>
    <row r="574" spans="1:8" x14ac:dyDescent="0.3">
      <c r="A574" s="2" t="str" cm="1">
        <f t="array" aca="1" ref="A574" ca="1">INDEX(Sheet1!$A$2:$A$46, RANDBETWEEN(1,ROWS(Sheet1!$A$2:$A$46)))</f>
        <v>B010</v>
      </c>
      <c r="B574" s="2" t="s">
        <v>58</v>
      </c>
      <c r="C574" t="str">
        <f>_xlfn.XLOOKUP(B574, Sheet1!A:A, Sheet1!B:B)</f>
        <v>cookies &amp; creme cupcakes</v>
      </c>
      <c r="D574">
        <f>_xlfn.XLOOKUP(B574,Sheet1!A:A,Sheet1!C:C)</f>
        <v>15</v>
      </c>
      <c r="E574">
        <f>_xlfn.XLOOKUP(B574,Sheet1!A:A,Sheet1!D:D)</f>
        <v>6</v>
      </c>
      <c r="F574">
        <f>_xlfn.XLOOKUP(Sheet3!B574,Sheet1!A:A,Sheet1!E:E)</f>
        <v>5.5</v>
      </c>
      <c r="G574">
        <f>_xlfn.XLOOKUP(B574,Sheet1!A:A,Sheet1!F:F)</f>
        <v>20</v>
      </c>
      <c r="H574" t="str" cm="1">
        <f t="array" aca="1" ref="H574" ca="1">INDEX(Sheet1!$G$2:$G$3, RANDBETWEEN(1, ROWS(Sheet1!$G$2:$G$3)))</f>
        <v>No</v>
      </c>
    </row>
    <row r="575" spans="1:8" x14ac:dyDescent="0.3">
      <c r="A575" s="2" t="str" cm="1">
        <f t="array" aca="1" ref="A575" ca="1">INDEX(Sheet1!$A$2:$A$46, RANDBETWEEN(1,ROWS(Sheet1!$A$2:$A$46)))</f>
        <v>B005</v>
      </c>
      <c r="B575" s="2" t="s">
        <v>23</v>
      </c>
      <c r="C575" t="str">
        <f>_xlfn.XLOOKUP(B575, Sheet1!A:A, Sheet1!B:B)</f>
        <v>cheese cake</v>
      </c>
      <c r="D575">
        <f>_xlfn.XLOOKUP(B575,Sheet1!A:A,Sheet1!C:C)</f>
        <v>9</v>
      </c>
      <c r="E575">
        <f>_xlfn.XLOOKUP(B575,Sheet1!A:A,Sheet1!D:D)</f>
        <v>6.5</v>
      </c>
      <c r="F575">
        <f>_xlfn.XLOOKUP(Sheet3!B575,Sheet1!A:A,Sheet1!E:E)</f>
        <v>5.5</v>
      </c>
      <c r="G575">
        <f>_xlfn.XLOOKUP(B575,Sheet1!A:A,Sheet1!F:F)</f>
        <v>9</v>
      </c>
      <c r="H575" cm="1">
        <f t="array" aca="1" ref="H575" ca="1">INDEX(Sheet1!$G$2:$G$3, RANDBETWEEN(1, ROWS(Sheet1!$G$2:$G$3)))</f>
        <v>0</v>
      </c>
    </row>
    <row r="576" spans="1:8" x14ac:dyDescent="0.3">
      <c r="A576" s="2" t="str" cm="1">
        <f t="array" aca="1" ref="A576" ca="1">INDEX(Sheet1!$A$2:$A$46, RANDBETWEEN(1,ROWS(Sheet1!$A$2:$A$46)))</f>
        <v>B015</v>
      </c>
      <c r="B576" s="2" t="s">
        <v>92</v>
      </c>
      <c r="C576" t="str">
        <f>_xlfn.XLOOKUP(B576, Sheet1!A:A, Sheet1!B:B)</f>
        <v>square brownies</v>
      </c>
      <c r="D576">
        <f>_xlfn.XLOOKUP(B576,Sheet1!A:A,Sheet1!C:C)</f>
        <v>6</v>
      </c>
      <c r="E576">
        <f>_xlfn.XLOOKUP(B576,Sheet1!A:A,Sheet1!D:D)</f>
        <v>4.5</v>
      </c>
      <c r="F576">
        <f>_xlfn.XLOOKUP(Sheet3!B576,Sheet1!A:A,Sheet1!E:E)</f>
        <v>4</v>
      </c>
      <c r="G576">
        <f>_xlfn.XLOOKUP(B576,Sheet1!A:A,Sheet1!F:F)</f>
        <v>14</v>
      </c>
      <c r="H576" t="str" cm="1">
        <f t="array" aca="1" ref="H576" ca="1">INDEX(Sheet1!$G$2:$G$3, RANDBETWEEN(1, ROWS(Sheet1!$G$2:$G$3)))</f>
        <v>No</v>
      </c>
    </row>
    <row r="577" spans="1:8" x14ac:dyDescent="0.3">
      <c r="A577" s="2" t="str" cm="1">
        <f t="array" aca="1" ref="A577" ca="1">INDEX(Sheet1!$A$2:$A$46, RANDBETWEEN(1,ROWS(Sheet1!$A$2:$A$46)))</f>
        <v>B001</v>
      </c>
      <c r="B577" s="2" t="s">
        <v>57</v>
      </c>
      <c r="C577" t="str">
        <f>_xlfn.XLOOKUP(B577, Sheet1!A:A, Sheet1!B:B)</f>
        <v>vanilla cupcakes</v>
      </c>
      <c r="D577">
        <f>_xlfn.XLOOKUP(B577,Sheet1!A:A,Sheet1!C:C)</f>
        <v>8</v>
      </c>
      <c r="E577">
        <f>_xlfn.XLOOKUP(B577,Sheet1!A:A,Sheet1!D:D)</f>
        <v>6</v>
      </c>
      <c r="F577">
        <f>_xlfn.XLOOKUP(Sheet3!B577,Sheet1!A:A,Sheet1!E:E)</f>
        <v>5.5</v>
      </c>
      <c r="G577">
        <f>_xlfn.XLOOKUP(B577,Sheet1!A:A,Sheet1!F:F)</f>
        <v>20</v>
      </c>
      <c r="H577" cm="1">
        <f t="array" aca="1" ref="H577" ca="1">INDEX(Sheet1!$G$2:$G$3, RANDBETWEEN(1, ROWS(Sheet1!$G$2:$G$3)))</f>
        <v>0</v>
      </c>
    </row>
    <row r="578" spans="1:8" x14ac:dyDescent="0.3">
      <c r="A578" s="2" t="str" cm="1">
        <f t="array" aca="1" ref="A578" ca="1">INDEX(Sheet1!$A$2:$A$46, RANDBETWEEN(1,ROWS(Sheet1!$A$2:$A$46)))</f>
        <v>B004</v>
      </c>
      <c r="B578" s="2" t="s">
        <v>22</v>
      </c>
      <c r="C578" t="str">
        <f>_xlfn.XLOOKUP(B578, Sheet1!A:A, Sheet1!B:B)</f>
        <v>chocolate chip cookies</v>
      </c>
      <c r="D578">
        <f>_xlfn.XLOOKUP(B578,Sheet1!A:A,Sheet1!C:C)</f>
        <v>12</v>
      </c>
      <c r="E578">
        <f>_xlfn.XLOOKUP(B578,Sheet1!A:A,Sheet1!D:D)</f>
        <v>3.5</v>
      </c>
      <c r="F578">
        <f>_xlfn.XLOOKUP(Sheet3!B578,Sheet1!A:A,Sheet1!E:E)</f>
        <v>3</v>
      </c>
      <c r="G578">
        <f>_xlfn.XLOOKUP(B578,Sheet1!A:A,Sheet1!F:F)</f>
        <v>14</v>
      </c>
      <c r="H578" t="str" cm="1">
        <f t="array" aca="1" ref="H578" ca="1">INDEX(Sheet1!$G$2:$G$3, RANDBETWEEN(1, ROWS(Sheet1!$G$2:$G$3)))</f>
        <v>No</v>
      </c>
    </row>
    <row r="579" spans="1:8" x14ac:dyDescent="0.3">
      <c r="A579" s="2" t="str" cm="1">
        <f t="array" aca="1" ref="A579" ca="1">INDEX(Sheet1!$A$2:$A$46, RANDBETWEEN(1,ROWS(Sheet1!$A$2:$A$46)))</f>
        <v>B038</v>
      </c>
      <c r="B579" s="2" t="s">
        <v>66</v>
      </c>
      <c r="C579" t="str">
        <f>_xlfn.XLOOKUP(B579, Sheet1!A:A, Sheet1!B:B)</f>
        <v>pumpernickel bread</v>
      </c>
      <c r="D579">
        <f>_xlfn.XLOOKUP(B579,Sheet1!A:A,Sheet1!C:C)</f>
        <v>8</v>
      </c>
      <c r="E579">
        <f>_xlfn.XLOOKUP(B579,Sheet1!A:A,Sheet1!D:D)</f>
        <v>3.5</v>
      </c>
      <c r="F579">
        <f>_xlfn.XLOOKUP(Sheet3!B579,Sheet1!A:A,Sheet1!E:E)</f>
        <v>3</v>
      </c>
      <c r="G579">
        <f>_xlfn.XLOOKUP(B579,Sheet1!A:A,Sheet1!F:F)</f>
        <v>8</v>
      </c>
      <c r="H579" cm="1">
        <f t="array" aca="1" ref="H579" ca="1">INDEX(Sheet1!$G$2:$G$3, RANDBETWEEN(1, ROWS(Sheet1!$G$2:$G$3)))</f>
        <v>0</v>
      </c>
    </row>
    <row r="580" spans="1:8" x14ac:dyDescent="0.3">
      <c r="A580" s="2" t="str" cm="1">
        <f t="array" aca="1" ref="A580" ca="1">INDEX(Sheet1!$A$2:$A$46, RANDBETWEEN(1,ROWS(Sheet1!$A$2:$A$46)))</f>
        <v>B003</v>
      </c>
      <c r="B580" s="2" t="s">
        <v>38</v>
      </c>
      <c r="C580" t="str">
        <f>_xlfn.XLOOKUP(B580, Sheet1!A:A, Sheet1!B:B)</f>
        <v>snickerdoodle cookies</v>
      </c>
      <c r="D580">
        <f>_xlfn.XLOOKUP(B580,Sheet1!A:A,Sheet1!C:C)</f>
        <v>12</v>
      </c>
      <c r="E580">
        <f>_xlfn.XLOOKUP(B580,Sheet1!A:A,Sheet1!D:D)</f>
        <v>3.5</v>
      </c>
      <c r="F580">
        <f>_xlfn.XLOOKUP(Sheet3!B580,Sheet1!A:A,Sheet1!E:E)</f>
        <v>3</v>
      </c>
      <c r="G580">
        <f>_xlfn.XLOOKUP(B580,Sheet1!A:A,Sheet1!F:F)</f>
        <v>14</v>
      </c>
      <c r="H580" cm="1">
        <f t="array" aca="1" ref="H580" ca="1">INDEX(Sheet1!$G$2:$G$3, RANDBETWEEN(1, ROWS(Sheet1!$G$2:$G$3)))</f>
        <v>0</v>
      </c>
    </row>
    <row r="581" spans="1:8" x14ac:dyDescent="0.3">
      <c r="A581" s="2" t="str" cm="1">
        <f t="array" aca="1" ref="A581" ca="1">INDEX(Sheet1!$A$2:$A$46, RANDBETWEEN(1,ROWS(Sheet1!$A$2:$A$46)))</f>
        <v>B021</v>
      </c>
      <c r="B581" s="2" t="s">
        <v>92</v>
      </c>
      <c r="C581" t="str">
        <f>_xlfn.XLOOKUP(B581, Sheet1!A:A, Sheet1!B:B)</f>
        <v>square brownies</v>
      </c>
      <c r="D581">
        <f>_xlfn.XLOOKUP(B581,Sheet1!A:A,Sheet1!C:C)</f>
        <v>6</v>
      </c>
      <c r="E581">
        <f>_xlfn.XLOOKUP(B581,Sheet1!A:A,Sheet1!D:D)</f>
        <v>4.5</v>
      </c>
      <c r="F581">
        <f>_xlfn.XLOOKUP(Sheet3!B581,Sheet1!A:A,Sheet1!E:E)</f>
        <v>4</v>
      </c>
      <c r="G581">
        <f>_xlfn.XLOOKUP(B581,Sheet1!A:A,Sheet1!F:F)</f>
        <v>14</v>
      </c>
      <c r="H581" t="str" cm="1">
        <f t="array" aca="1" ref="H581" ca="1">INDEX(Sheet1!$G$2:$G$3, RANDBETWEEN(1, ROWS(Sheet1!$G$2:$G$3)))</f>
        <v>No</v>
      </c>
    </row>
    <row r="582" spans="1:8" x14ac:dyDescent="0.3">
      <c r="A582" s="2" t="str" cm="1">
        <f t="array" aca="1" ref="A582" ca="1">INDEX(Sheet1!$A$2:$A$46, RANDBETWEEN(1,ROWS(Sheet1!$A$2:$A$46)))</f>
        <v>B039</v>
      </c>
      <c r="B582" s="2" t="s">
        <v>23</v>
      </c>
      <c r="C582" t="str">
        <f>_xlfn.XLOOKUP(B582, Sheet1!A:A, Sheet1!B:B)</f>
        <v>cheese cake</v>
      </c>
      <c r="D582">
        <f>_xlfn.XLOOKUP(B582,Sheet1!A:A,Sheet1!C:C)</f>
        <v>9</v>
      </c>
      <c r="E582">
        <f>_xlfn.XLOOKUP(B582,Sheet1!A:A,Sheet1!D:D)</f>
        <v>6.5</v>
      </c>
      <c r="F582">
        <f>_xlfn.XLOOKUP(Sheet3!B582,Sheet1!A:A,Sheet1!E:E)</f>
        <v>5.5</v>
      </c>
      <c r="G582">
        <f>_xlfn.XLOOKUP(B582,Sheet1!A:A,Sheet1!F:F)</f>
        <v>9</v>
      </c>
      <c r="H582" cm="1">
        <f t="array" aca="1" ref="H582" ca="1">INDEX(Sheet1!$G$2:$G$3, RANDBETWEEN(1, ROWS(Sheet1!$G$2:$G$3)))</f>
        <v>0</v>
      </c>
    </row>
    <row r="583" spans="1:8" x14ac:dyDescent="0.3">
      <c r="A583" s="2" t="str" cm="1">
        <f t="array" aca="1" ref="A583" ca="1">INDEX(Sheet1!$A$2:$A$46, RANDBETWEEN(1,ROWS(Sheet1!$A$2:$A$46)))</f>
        <v>B005</v>
      </c>
      <c r="B583" s="2" t="s">
        <v>83</v>
      </c>
      <c r="C583" t="str">
        <f>_xlfn.XLOOKUP(B583, Sheet1!A:A, Sheet1!B:B)</f>
        <v>pumpkin spice muffins</v>
      </c>
      <c r="D583">
        <f>_xlfn.XLOOKUP(B583,Sheet1!A:A,Sheet1!C:C)</f>
        <v>10</v>
      </c>
      <c r="E583">
        <f>_xlfn.XLOOKUP(B583,Sheet1!A:A,Sheet1!D:D)</f>
        <v>4.5</v>
      </c>
      <c r="F583">
        <f>_xlfn.XLOOKUP(Sheet3!B583,Sheet1!A:A,Sheet1!E:E)</f>
        <v>4</v>
      </c>
      <c r="G583">
        <f>_xlfn.XLOOKUP(B583,Sheet1!A:A,Sheet1!F:F)</f>
        <v>10</v>
      </c>
      <c r="H583" t="str" cm="1">
        <f t="array" aca="1" ref="H583" ca="1">INDEX(Sheet1!$G$2:$G$3, RANDBETWEEN(1, ROWS(Sheet1!$G$2:$G$3)))</f>
        <v>No</v>
      </c>
    </row>
    <row r="584" spans="1:8" x14ac:dyDescent="0.3">
      <c r="A584" s="2" t="str" cm="1">
        <f t="array" aca="1" ref="A584" ca="1">INDEX(Sheet1!$A$2:$A$46, RANDBETWEEN(1,ROWS(Sheet1!$A$2:$A$46)))</f>
        <v>B016</v>
      </c>
      <c r="B584" s="2" t="s">
        <v>35</v>
      </c>
      <c r="C584" t="str">
        <f>_xlfn.XLOOKUP(B584, Sheet1!A:A, Sheet1!B:B)</f>
        <v>orange pound</v>
      </c>
      <c r="D584">
        <f>_xlfn.XLOOKUP(B584,Sheet1!A:A,Sheet1!C:C)</f>
        <v>8</v>
      </c>
      <c r="E584">
        <f>_xlfn.XLOOKUP(B584,Sheet1!A:A,Sheet1!D:D)</f>
        <v>3.5</v>
      </c>
      <c r="F584">
        <f>_xlfn.XLOOKUP(Sheet3!B584,Sheet1!A:A,Sheet1!E:E)</f>
        <v>3</v>
      </c>
      <c r="G584">
        <f>_xlfn.XLOOKUP(B584,Sheet1!A:A,Sheet1!F:F)</f>
        <v>14</v>
      </c>
      <c r="H584" cm="1">
        <f t="array" aca="1" ref="H584" ca="1">INDEX(Sheet1!$G$2:$G$3, RANDBETWEEN(1, ROWS(Sheet1!$G$2:$G$3)))</f>
        <v>0</v>
      </c>
    </row>
    <row r="585" spans="1:8" x14ac:dyDescent="0.3">
      <c r="A585" s="2" t="str" cm="1">
        <f t="array" aca="1" ref="A585" ca="1">INDEX(Sheet1!$A$2:$A$46, RANDBETWEEN(1,ROWS(Sheet1!$A$2:$A$46)))</f>
        <v>B025</v>
      </c>
      <c r="B585" s="2" t="s">
        <v>67</v>
      </c>
      <c r="C585" t="str">
        <f>_xlfn.XLOOKUP(B585, Sheet1!A:A, Sheet1!B:B)</f>
        <v>seeded bread</v>
      </c>
      <c r="D585">
        <f>_xlfn.XLOOKUP(B585,Sheet1!A:A,Sheet1!C:C)</f>
        <v>8</v>
      </c>
      <c r="E585">
        <f>_xlfn.XLOOKUP(B585,Sheet1!A:A,Sheet1!D:D)</f>
        <v>3.5</v>
      </c>
      <c r="F585">
        <f>_xlfn.XLOOKUP(Sheet3!B585,Sheet1!A:A,Sheet1!E:E)</f>
        <v>3</v>
      </c>
      <c r="G585">
        <f>_xlfn.XLOOKUP(B585,Sheet1!A:A,Sheet1!F:F)</f>
        <v>8</v>
      </c>
      <c r="H585" t="str" cm="1">
        <f t="array" aca="1" ref="H585" ca="1">INDEX(Sheet1!$G$2:$G$3, RANDBETWEEN(1, ROWS(Sheet1!$G$2:$G$3)))</f>
        <v>No</v>
      </c>
    </row>
    <row r="586" spans="1:8" x14ac:dyDescent="0.3">
      <c r="A586" s="2" t="str" cm="1">
        <f t="array" aca="1" ref="A586" ca="1">INDEX(Sheet1!$A$2:$A$46, RANDBETWEEN(1,ROWS(Sheet1!$A$2:$A$46)))</f>
        <v>B038</v>
      </c>
      <c r="B586" s="2" t="s">
        <v>58</v>
      </c>
      <c r="C586" t="str">
        <f>_xlfn.XLOOKUP(B586, Sheet1!A:A, Sheet1!B:B)</f>
        <v>cookies &amp; creme cupcakes</v>
      </c>
      <c r="D586">
        <f>_xlfn.XLOOKUP(B586,Sheet1!A:A,Sheet1!C:C)</f>
        <v>15</v>
      </c>
      <c r="E586">
        <f>_xlfn.XLOOKUP(B586,Sheet1!A:A,Sheet1!D:D)</f>
        <v>6</v>
      </c>
      <c r="F586">
        <f>_xlfn.XLOOKUP(Sheet3!B586,Sheet1!A:A,Sheet1!E:E)</f>
        <v>5.5</v>
      </c>
      <c r="G586">
        <f>_xlfn.XLOOKUP(B586,Sheet1!A:A,Sheet1!F:F)</f>
        <v>20</v>
      </c>
      <c r="H586" t="str" cm="1">
        <f t="array" aca="1" ref="H586" ca="1">INDEX(Sheet1!$G$2:$G$3, RANDBETWEEN(1, ROWS(Sheet1!$G$2:$G$3)))</f>
        <v>No</v>
      </c>
    </row>
    <row r="587" spans="1:8" x14ac:dyDescent="0.3">
      <c r="A587" s="2" t="str" cm="1">
        <f t="array" aca="1" ref="A587" ca="1">INDEX(Sheet1!$A$2:$A$46, RANDBETWEEN(1,ROWS(Sheet1!$A$2:$A$46)))</f>
        <v>B030</v>
      </c>
      <c r="B587" s="2" t="s">
        <v>20</v>
      </c>
      <c r="C587" t="str">
        <f>_xlfn.XLOOKUP(B587, Sheet1!A:A, Sheet1!B:B)</f>
        <v>banana nut muffins</v>
      </c>
      <c r="D587">
        <f>_xlfn.XLOOKUP(B587,Sheet1!A:A,Sheet1!C:C)</f>
        <v>10</v>
      </c>
      <c r="E587">
        <f>_xlfn.XLOOKUP(B587,Sheet1!A:A,Sheet1!D:D)</f>
        <v>4.5</v>
      </c>
      <c r="F587">
        <f>_xlfn.XLOOKUP(Sheet3!B587,Sheet1!A:A,Sheet1!E:E)</f>
        <v>4</v>
      </c>
      <c r="G587">
        <f>_xlfn.XLOOKUP(B587,Sheet1!A:A,Sheet1!F:F)</f>
        <v>10</v>
      </c>
      <c r="H587" cm="1">
        <f t="array" aca="1" ref="H587" ca="1">INDEX(Sheet1!$G$2:$G$3, RANDBETWEEN(1, ROWS(Sheet1!$G$2:$G$3)))</f>
        <v>0</v>
      </c>
    </row>
    <row r="588" spans="1:8" x14ac:dyDescent="0.3">
      <c r="A588" s="2" t="str" cm="1">
        <f t="array" aca="1" ref="A588" ca="1">INDEX(Sheet1!$A$2:$A$46, RANDBETWEEN(1,ROWS(Sheet1!$A$2:$A$46)))</f>
        <v>B033</v>
      </c>
      <c r="B588" s="2" t="s">
        <v>22</v>
      </c>
      <c r="C588" t="str">
        <f>_xlfn.XLOOKUP(B588, Sheet1!A:A, Sheet1!B:B)</f>
        <v>chocolate chip cookies</v>
      </c>
      <c r="D588">
        <f>_xlfn.XLOOKUP(B588,Sheet1!A:A,Sheet1!C:C)</f>
        <v>12</v>
      </c>
      <c r="E588">
        <f>_xlfn.XLOOKUP(B588,Sheet1!A:A,Sheet1!D:D)</f>
        <v>3.5</v>
      </c>
      <c r="F588">
        <f>_xlfn.XLOOKUP(Sheet3!B588,Sheet1!A:A,Sheet1!E:E)</f>
        <v>3</v>
      </c>
      <c r="G588">
        <f>_xlfn.XLOOKUP(B588,Sheet1!A:A,Sheet1!F:F)</f>
        <v>14</v>
      </c>
      <c r="H588" t="str" cm="1">
        <f t="array" aca="1" ref="H588" ca="1">INDEX(Sheet1!$G$2:$G$3, RANDBETWEEN(1, ROWS(Sheet1!$G$2:$G$3)))</f>
        <v>No</v>
      </c>
    </row>
    <row r="589" spans="1:8" x14ac:dyDescent="0.3">
      <c r="A589" s="2" t="str" cm="1">
        <f t="array" aca="1" ref="A589" ca="1">INDEX(Sheet1!$A$2:$A$46, RANDBETWEEN(1,ROWS(Sheet1!$A$2:$A$46)))</f>
        <v>B018</v>
      </c>
      <c r="B589" s="2" t="s">
        <v>57</v>
      </c>
      <c r="C589" t="str">
        <f>_xlfn.XLOOKUP(B589, Sheet1!A:A, Sheet1!B:B)</f>
        <v>vanilla cupcakes</v>
      </c>
      <c r="D589">
        <f>_xlfn.XLOOKUP(B589,Sheet1!A:A,Sheet1!C:C)</f>
        <v>8</v>
      </c>
      <c r="E589">
        <f>_xlfn.XLOOKUP(B589,Sheet1!A:A,Sheet1!D:D)</f>
        <v>6</v>
      </c>
      <c r="F589">
        <f>_xlfn.XLOOKUP(Sheet3!B589,Sheet1!A:A,Sheet1!E:E)</f>
        <v>5.5</v>
      </c>
      <c r="G589">
        <f>_xlfn.XLOOKUP(B589,Sheet1!A:A,Sheet1!F:F)</f>
        <v>20</v>
      </c>
      <c r="H589" cm="1">
        <f t="array" aca="1" ref="H589" ca="1">INDEX(Sheet1!$G$2:$G$3, RANDBETWEEN(1, ROWS(Sheet1!$G$2:$G$3)))</f>
        <v>0</v>
      </c>
    </row>
    <row r="590" spans="1:8" x14ac:dyDescent="0.3">
      <c r="A590" s="2" t="str" cm="1">
        <f t="array" aca="1" ref="A590" ca="1">INDEX(Sheet1!$A$2:$A$46, RANDBETWEEN(1,ROWS(Sheet1!$A$2:$A$46)))</f>
        <v>B008</v>
      </c>
      <c r="B590" s="2" t="s">
        <v>82</v>
      </c>
      <c r="C590" t="str">
        <f>_xlfn.XLOOKUP(B590, Sheet1!A:A, Sheet1!B:B)</f>
        <v>white square cake</v>
      </c>
      <c r="D590">
        <f>_xlfn.XLOOKUP(B590,Sheet1!A:A,Sheet1!C:C)</f>
        <v>8</v>
      </c>
      <c r="E590">
        <f>_xlfn.XLOOKUP(B590,Sheet1!A:A,Sheet1!D:D)</f>
        <v>2.5</v>
      </c>
      <c r="F590">
        <f>_xlfn.XLOOKUP(Sheet3!B590,Sheet1!A:A,Sheet1!E:E)</f>
        <v>2</v>
      </c>
      <c r="G590">
        <f>_xlfn.XLOOKUP(B590,Sheet1!A:A,Sheet1!F:F)</f>
        <v>5</v>
      </c>
      <c r="H590" t="str" cm="1">
        <f t="array" aca="1" ref="H590" ca="1">INDEX(Sheet1!$G$2:$G$3, RANDBETWEEN(1, ROWS(Sheet1!$G$2:$G$3)))</f>
        <v>No</v>
      </c>
    </row>
    <row r="591" spans="1:8" x14ac:dyDescent="0.3">
      <c r="A591" s="2" t="str" cm="1">
        <f t="array" aca="1" ref="A591" ca="1">INDEX(Sheet1!$A$2:$A$46, RANDBETWEEN(1,ROWS(Sheet1!$A$2:$A$46)))</f>
        <v>B032</v>
      </c>
      <c r="B591" s="2" t="s">
        <v>72</v>
      </c>
      <c r="C591" t="str">
        <f>_xlfn.XLOOKUP(B591, Sheet1!A:A, Sheet1!B:B)</f>
        <v>cherry pie</v>
      </c>
      <c r="D591">
        <f>_xlfn.XLOOKUP(B591,Sheet1!A:A,Sheet1!C:C)</f>
        <v>6</v>
      </c>
      <c r="E591">
        <f>_xlfn.XLOOKUP(B591,Sheet1!A:A,Sheet1!D:D)</f>
        <v>4</v>
      </c>
      <c r="F591">
        <f>_xlfn.XLOOKUP(Sheet3!B591,Sheet1!A:A,Sheet1!E:E)</f>
        <v>3</v>
      </c>
      <c r="G591">
        <f>_xlfn.XLOOKUP(B591,Sheet1!A:A,Sheet1!F:F)</f>
        <v>7</v>
      </c>
      <c r="H591" cm="1">
        <f t="array" aca="1" ref="H591" ca="1">INDEX(Sheet1!$G$2:$G$3, RANDBETWEEN(1, ROWS(Sheet1!$G$2:$G$3)))</f>
        <v>0</v>
      </c>
    </row>
    <row r="592" spans="1:8" x14ac:dyDescent="0.3">
      <c r="A592" s="2" t="str" cm="1">
        <f t="array" aca="1" ref="A592" ca="1">INDEX(Sheet1!$A$2:$A$46, RANDBETWEEN(1,ROWS(Sheet1!$A$2:$A$46)))</f>
        <v>B024</v>
      </c>
      <c r="B592" s="2" t="s">
        <v>60</v>
      </c>
      <c r="C592" t="str">
        <f>_xlfn.XLOOKUP(B592, Sheet1!A:A, Sheet1!B:B)</f>
        <v>banana nut sliced loaf cake</v>
      </c>
      <c r="D592">
        <f>_xlfn.XLOOKUP(B592,Sheet1!A:A,Sheet1!C:C)</f>
        <v>10</v>
      </c>
      <c r="E592">
        <f>_xlfn.XLOOKUP(B592,Sheet1!A:A,Sheet1!D:D)</f>
        <v>4</v>
      </c>
      <c r="F592">
        <f>_xlfn.XLOOKUP(Sheet3!B592,Sheet1!A:A,Sheet1!E:E)</f>
        <v>3.5</v>
      </c>
      <c r="G592">
        <f>_xlfn.XLOOKUP(B592,Sheet1!A:A,Sheet1!F:F)</f>
        <v>10</v>
      </c>
      <c r="H592" t="str" cm="1">
        <f t="array" aca="1" ref="H592" ca="1">INDEX(Sheet1!$G$2:$G$3, RANDBETWEEN(1, ROWS(Sheet1!$G$2:$G$3)))</f>
        <v>No</v>
      </c>
    </row>
    <row r="593" spans="1:8" x14ac:dyDescent="0.3">
      <c r="A593" s="2" t="str" cm="1">
        <f t="array" aca="1" ref="A593" ca="1">INDEX(Sheet1!$A$2:$A$46, RANDBETWEEN(1,ROWS(Sheet1!$A$2:$A$46)))</f>
        <v>B033</v>
      </c>
      <c r="B593" s="2" t="s">
        <v>60</v>
      </c>
      <c r="C593" t="str">
        <f>_xlfn.XLOOKUP(B593, Sheet1!A:A, Sheet1!B:B)</f>
        <v>banana nut sliced loaf cake</v>
      </c>
      <c r="D593">
        <f>_xlfn.XLOOKUP(B593,Sheet1!A:A,Sheet1!C:C)</f>
        <v>10</v>
      </c>
      <c r="E593">
        <f>_xlfn.XLOOKUP(B593,Sheet1!A:A,Sheet1!D:D)</f>
        <v>4</v>
      </c>
      <c r="F593">
        <f>_xlfn.XLOOKUP(Sheet3!B593,Sheet1!A:A,Sheet1!E:E)</f>
        <v>3.5</v>
      </c>
      <c r="G593">
        <f>_xlfn.XLOOKUP(B593,Sheet1!A:A,Sheet1!F:F)</f>
        <v>10</v>
      </c>
      <c r="H593" cm="1">
        <f t="array" aca="1" ref="H593" ca="1">INDEX(Sheet1!$G$2:$G$3, RANDBETWEEN(1, ROWS(Sheet1!$G$2:$G$3)))</f>
        <v>0</v>
      </c>
    </row>
    <row r="594" spans="1:8" x14ac:dyDescent="0.3">
      <c r="A594" s="2" t="str" cm="1">
        <f t="array" aca="1" ref="A594" ca="1">INDEX(Sheet1!$A$2:$A$46, RANDBETWEEN(1,ROWS(Sheet1!$A$2:$A$46)))</f>
        <v>B033</v>
      </c>
      <c r="B594" s="2" t="s">
        <v>89</v>
      </c>
      <c r="C594" t="str">
        <f>_xlfn.XLOOKUP(B594, Sheet1!A:A, Sheet1!B:B)</f>
        <v>blueberry bagels</v>
      </c>
      <c r="D594">
        <f>_xlfn.XLOOKUP(B594,Sheet1!A:A,Sheet1!C:C)</f>
        <v>8</v>
      </c>
      <c r="E594">
        <f>_xlfn.XLOOKUP(B594,Sheet1!A:A,Sheet1!D:D)</f>
        <v>3.5</v>
      </c>
      <c r="F594">
        <f>_xlfn.XLOOKUP(Sheet3!B594,Sheet1!A:A,Sheet1!E:E)</f>
        <v>3</v>
      </c>
      <c r="G594">
        <f>_xlfn.XLOOKUP(B594,Sheet1!A:A,Sheet1!F:F)</f>
        <v>8</v>
      </c>
      <c r="H594" cm="1">
        <f t="array" aca="1" ref="H594" ca="1">INDEX(Sheet1!$G$2:$G$3, RANDBETWEEN(1, ROWS(Sheet1!$G$2:$G$3)))</f>
        <v>0</v>
      </c>
    </row>
    <row r="595" spans="1:8" x14ac:dyDescent="0.3">
      <c r="A595" s="2" t="str" cm="1">
        <f t="array" aca="1" ref="A595" ca="1">INDEX(Sheet1!$A$2:$A$46, RANDBETWEEN(1,ROWS(Sheet1!$A$2:$A$46)))</f>
        <v>B039</v>
      </c>
      <c r="B595" s="2" t="s">
        <v>61</v>
      </c>
      <c r="C595" t="str">
        <f>_xlfn.XLOOKUP(B595, Sheet1!A:A, Sheet1!B:B)</f>
        <v>marble sliced loaf cake</v>
      </c>
      <c r="D595">
        <f>_xlfn.XLOOKUP(B595,Sheet1!A:A,Sheet1!C:C)</f>
        <v>10</v>
      </c>
      <c r="E595">
        <f>_xlfn.XLOOKUP(B595,Sheet1!A:A,Sheet1!D:D)</f>
        <v>4</v>
      </c>
      <c r="F595">
        <f>_xlfn.XLOOKUP(Sheet3!B595,Sheet1!A:A,Sheet1!E:E)</f>
        <v>3.5</v>
      </c>
      <c r="G595">
        <f>_xlfn.XLOOKUP(B595,Sheet1!A:A,Sheet1!F:F)</f>
        <v>10</v>
      </c>
      <c r="H595" t="str" cm="1">
        <f t="array" aca="1" ref="H595" ca="1">INDEX(Sheet1!$G$2:$G$3, RANDBETWEEN(1, ROWS(Sheet1!$G$2:$G$3)))</f>
        <v>No</v>
      </c>
    </row>
    <row r="596" spans="1:8" x14ac:dyDescent="0.3">
      <c r="A596" s="2" t="str" cm="1">
        <f t="array" aca="1" ref="A596" ca="1">INDEX(Sheet1!$A$2:$A$46, RANDBETWEEN(1,ROWS(Sheet1!$A$2:$A$46)))</f>
        <v>B042</v>
      </c>
      <c r="B596" s="2" t="s">
        <v>71</v>
      </c>
      <c r="C596" t="str">
        <f>_xlfn.XLOOKUP(B596, Sheet1!A:A, Sheet1!B:B)</f>
        <v>blueberry pie</v>
      </c>
      <c r="D596">
        <f>_xlfn.XLOOKUP(B596,Sheet1!A:A,Sheet1!C:C)</f>
        <v>6</v>
      </c>
      <c r="E596">
        <f>_xlfn.XLOOKUP(B596,Sheet1!A:A,Sheet1!D:D)</f>
        <v>4</v>
      </c>
      <c r="F596">
        <f>_xlfn.XLOOKUP(Sheet3!B596,Sheet1!A:A,Sheet1!E:E)</f>
        <v>3</v>
      </c>
      <c r="G596">
        <f>_xlfn.XLOOKUP(B596,Sheet1!A:A,Sheet1!F:F)</f>
        <v>7</v>
      </c>
      <c r="H596" cm="1">
        <f t="array" aca="1" ref="H596" ca="1">INDEX(Sheet1!$G$2:$G$3, RANDBETWEEN(1, ROWS(Sheet1!$G$2:$G$3)))</f>
        <v>0</v>
      </c>
    </row>
    <row r="597" spans="1:8" x14ac:dyDescent="0.3">
      <c r="A597" s="2" t="str" cm="1">
        <f t="array" aca="1" ref="A597" ca="1">INDEX(Sheet1!$A$2:$A$46, RANDBETWEEN(1,ROWS(Sheet1!$A$2:$A$46)))</f>
        <v>B013</v>
      </c>
      <c r="B597" s="2" t="s">
        <v>57</v>
      </c>
      <c r="C597" t="str">
        <f>_xlfn.XLOOKUP(B597, Sheet1!A:A, Sheet1!B:B)</f>
        <v>vanilla cupcakes</v>
      </c>
      <c r="D597">
        <f>_xlfn.XLOOKUP(B597,Sheet1!A:A,Sheet1!C:C)</f>
        <v>8</v>
      </c>
      <c r="E597">
        <f>_xlfn.XLOOKUP(B597,Sheet1!A:A,Sheet1!D:D)</f>
        <v>6</v>
      </c>
      <c r="F597">
        <f>_xlfn.XLOOKUP(Sheet3!B597,Sheet1!A:A,Sheet1!E:E)</f>
        <v>5.5</v>
      </c>
      <c r="G597">
        <f>_xlfn.XLOOKUP(B597,Sheet1!A:A,Sheet1!F:F)</f>
        <v>20</v>
      </c>
      <c r="H597" t="str" cm="1">
        <f t="array" aca="1" ref="H597" ca="1">INDEX(Sheet1!$G$2:$G$3, RANDBETWEEN(1, ROWS(Sheet1!$G$2:$G$3)))</f>
        <v>No</v>
      </c>
    </row>
    <row r="598" spans="1:8" x14ac:dyDescent="0.3">
      <c r="A598" s="2" t="str" cm="1">
        <f t="array" aca="1" ref="A598" ca="1">INDEX(Sheet1!$A$2:$A$46, RANDBETWEEN(1,ROWS(Sheet1!$A$2:$A$46)))</f>
        <v>B015</v>
      </c>
      <c r="B598" s="2" t="s">
        <v>70</v>
      </c>
      <c r="C598" t="str">
        <f>_xlfn.XLOOKUP(B598, Sheet1!A:A, Sheet1!B:B)</f>
        <v>pumpkin pie</v>
      </c>
      <c r="D598">
        <f>_xlfn.XLOOKUP(B598,Sheet1!A:A,Sheet1!C:C)</f>
        <v>6</v>
      </c>
      <c r="E598">
        <f>_xlfn.XLOOKUP(B598,Sheet1!A:A,Sheet1!D:D)</f>
        <v>4</v>
      </c>
      <c r="F598">
        <f>_xlfn.XLOOKUP(Sheet3!B598,Sheet1!A:A,Sheet1!E:E)</f>
        <v>3</v>
      </c>
      <c r="G598">
        <f>_xlfn.XLOOKUP(B598,Sheet1!A:A,Sheet1!F:F)</f>
        <v>7</v>
      </c>
      <c r="H598" cm="1">
        <f t="array" aca="1" ref="H598" ca="1">INDEX(Sheet1!$G$2:$G$3, RANDBETWEEN(1, ROWS(Sheet1!$G$2:$G$3)))</f>
        <v>0</v>
      </c>
    </row>
    <row r="599" spans="1:8" x14ac:dyDescent="0.3">
      <c r="A599" s="2" t="str" cm="1">
        <f t="array" aca="1" ref="A599" ca="1">INDEX(Sheet1!$A$2:$A$46, RANDBETWEEN(1,ROWS(Sheet1!$A$2:$A$46)))</f>
        <v>B023</v>
      </c>
      <c r="B599" s="2" t="s">
        <v>10</v>
      </c>
      <c r="C599" t="str">
        <f>_xlfn.XLOOKUP(B599, Sheet1!A:A, Sheet1!B:B)</f>
        <v>croissant</v>
      </c>
      <c r="D599">
        <f>_xlfn.XLOOKUP(B599,Sheet1!A:A,Sheet1!C:C)</f>
        <v>10</v>
      </c>
      <c r="E599">
        <f>_xlfn.XLOOKUP(B599,Sheet1!A:A,Sheet1!D:D)</f>
        <v>5.5</v>
      </c>
      <c r="F599">
        <f>_xlfn.XLOOKUP(Sheet3!B599,Sheet1!A:A,Sheet1!E:E)</f>
        <v>4.5</v>
      </c>
      <c r="G599">
        <f>_xlfn.XLOOKUP(B599,Sheet1!A:A,Sheet1!F:F)</f>
        <v>7</v>
      </c>
      <c r="H599" t="str" cm="1">
        <f t="array" aca="1" ref="H599" ca="1">INDEX(Sheet1!$G$2:$G$3, RANDBETWEEN(1, ROWS(Sheet1!$G$2:$G$3)))</f>
        <v>No</v>
      </c>
    </row>
    <row r="600" spans="1:8" x14ac:dyDescent="0.3">
      <c r="A600" s="2" t="str" cm="1">
        <f t="array" aca="1" ref="A600" ca="1">INDEX(Sheet1!$A$2:$A$46, RANDBETWEEN(1,ROWS(Sheet1!$A$2:$A$46)))</f>
        <v>B027</v>
      </c>
      <c r="B600" s="2" t="s">
        <v>34</v>
      </c>
      <c r="C600" t="str">
        <f>_xlfn.XLOOKUP(B600, Sheet1!A:A, Sheet1!B:B)</f>
        <v>almond croissant</v>
      </c>
      <c r="D600">
        <f>_xlfn.XLOOKUP(B600,Sheet1!A:A,Sheet1!C:C)</f>
        <v>6</v>
      </c>
      <c r="E600">
        <f>_xlfn.XLOOKUP(B600,Sheet1!A:A,Sheet1!D:D)</f>
        <v>3.5</v>
      </c>
      <c r="F600">
        <f>_xlfn.XLOOKUP(Sheet3!B600,Sheet1!A:A,Sheet1!E:E)</f>
        <v>3</v>
      </c>
      <c r="G600">
        <f>_xlfn.XLOOKUP(B600,Sheet1!A:A,Sheet1!F:F)</f>
        <v>10</v>
      </c>
      <c r="H600" cm="1">
        <f t="array" aca="1" ref="H600" ca="1">INDEX(Sheet1!$G$2:$G$3, RANDBETWEEN(1, ROWS(Sheet1!$G$2:$G$3)))</f>
        <v>0</v>
      </c>
    </row>
    <row r="601" spans="1:8" x14ac:dyDescent="0.3">
      <c r="A601" s="2" t="str" cm="1">
        <f t="array" aca="1" ref="A601" ca="1">INDEX(Sheet1!$A$2:$A$46, RANDBETWEEN(1,ROWS(Sheet1!$A$2:$A$46)))</f>
        <v>B003</v>
      </c>
      <c r="B601" s="2" t="s">
        <v>68</v>
      </c>
      <c r="C601" t="str">
        <f>_xlfn.XLOOKUP(B601, Sheet1!A:A, Sheet1!B:B)</f>
        <v>oreja cookies</v>
      </c>
      <c r="D601">
        <f>_xlfn.XLOOKUP(B601,Sheet1!A:A,Sheet1!C:C)</f>
        <v>15</v>
      </c>
      <c r="E601">
        <f>_xlfn.XLOOKUP(B601,Sheet1!A:A,Sheet1!D:D)</f>
        <v>4</v>
      </c>
      <c r="F601">
        <f>_xlfn.XLOOKUP(Sheet3!B601,Sheet1!A:A,Sheet1!E:E)</f>
        <v>3</v>
      </c>
      <c r="G601">
        <f>_xlfn.XLOOKUP(B601,Sheet1!A:A,Sheet1!F:F)</f>
        <v>14</v>
      </c>
      <c r="H601" cm="1">
        <f t="array" aca="1" ref="H601" ca="1">INDEX(Sheet1!$G$2:$G$3, RANDBETWEEN(1, ROWS(Sheet1!$G$2:$G$3)))</f>
        <v>0</v>
      </c>
    </row>
    <row r="602" spans="1:8" x14ac:dyDescent="0.3">
      <c r="A602" s="2" t="str" cm="1">
        <f t="array" aca="1" ref="A602" ca="1">INDEX(Sheet1!$A$2:$A$46, RANDBETWEEN(1,ROWS(Sheet1!$A$2:$A$46)))</f>
        <v>B037</v>
      </c>
      <c r="B602" s="2" t="s">
        <v>70</v>
      </c>
      <c r="C602" t="str">
        <f>_xlfn.XLOOKUP(B602, Sheet1!A:A, Sheet1!B:B)</f>
        <v>pumpkin pie</v>
      </c>
      <c r="D602">
        <f>_xlfn.XLOOKUP(B602,Sheet1!A:A,Sheet1!C:C)</f>
        <v>6</v>
      </c>
      <c r="E602">
        <f>_xlfn.XLOOKUP(B602,Sheet1!A:A,Sheet1!D:D)</f>
        <v>4</v>
      </c>
      <c r="F602">
        <f>_xlfn.XLOOKUP(Sheet3!B602,Sheet1!A:A,Sheet1!E:E)</f>
        <v>3</v>
      </c>
      <c r="G602">
        <f>_xlfn.XLOOKUP(B602,Sheet1!A:A,Sheet1!F:F)</f>
        <v>7</v>
      </c>
      <c r="H602" cm="1">
        <f t="array" aca="1" ref="H602" ca="1">INDEX(Sheet1!$G$2:$G$3, RANDBETWEEN(1, ROWS(Sheet1!$G$2:$G$3)))</f>
        <v>0</v>
      </c>
    </row>
    <row r="603" spans="1:8" x14ac:dyDescent="0.3">
      <c r="A603" s="2" t="str" cm="1">
        <f t="array" aca="1" ref="A603" ca="1">INDEX(Sheet1!$A$2:$A$46, RANDBETWEEN(1,ROWS(Sheet1!$A$2:$A$46)))</f>
        <v>B021</v>
      </c>
      <c r="B603" s="2" t="s">
        <v>34</v>
      </c>
      <c r="C603" t="str">
        <f>_xlfn.XLOOKUP(B603, Sheet1!A:A, Sheet1!B:B)</f>
        <v>almond croissant</v>
      </c>
      <c r="D603">
        <f>_xlfn.XLOOKUP(B603,Sheet1!A:A,Sheet1!C:C)</f>
        <v>6</v>
      </c>
      <c r="E603">
        <f>_xlfn.XLOOKUP(B603,Sheet1!A:A,Sheet1!D:D)</f>
        <v>3.5</v>
      </c>
      <c r="F603">
        <f>_xlfn.XLOOKUP(Sheet3!B603,Sheet1!A:A,Sheet1!E:E)</f>
        <v>3</v>
      </c>
      <c r="G603">
        <f>_xlfn.XLOOKUP(B603,Sheet1!A:A,Sheet1!F:F)</f>
        <v>10</v>
      </c>
      <c r="H603" cm="1">
        <f t="array" aca="1" ref="H603" ca="1">INDEX(Sheet1!$G$2:$G$3, RANDBETWEEN(1, ROWS(Sheet1!$G$2:$G$3)))</f>
        <v>0</v>
      </c>
    </row>
    <row r="604" spans="1:8" x14ac:dyDescent="0.3">
      <c r="A604" s="2" t="str" cm="1">
        <f t="array" aca="1" ref="A604" ca="1">INDEX(Sheet1!$A$2:$A$46, RANDBETWEEN(1,ROWS(Sheet1!$A$2:$A$46)))</f>
        <v>B005</v>
      </c>
      <c r="B604" s="2" t="s">
        <v>64</v>
      </c>
      <c r="C604" t="str">
        <f>_xlfn.XLOOKUP(B604, Sheet1!A:A, Sheet1!B:B)</f>
        <v>marble bread</v>
      </c>
      <c r="D604">
        <f>_xlfn.XLOOKUP(B604,Sheet1!A:A,Sheet1!C:C)</f>
        <v>8</v>
      </c>
      <c r="E604">
        <f>_xlfn.XLOOKUP(B604,Sheet1!A:A,Sheet1!D:D)</f>
        <v>3.5</v>
      </c>
      <c r="F604">
        <f>_xlfn.XLOOKUP(Sheet3!B604,Sheet1!A:A,Sheet1!E:E)</f>
        <v>3</v>
      </c>
      <c r="G604">
        <f>_xlfn.XLOOKUP(B604,Sheet1!A:A,Sheet1!F:F)</f>
        <v>8</v>
      </c>
      <c r="H604" cm="1">
        <f t="array" aca="1" ref="H604" ca="1">INDEX(Sheet1!$G$2:$G$3, RANDBETWEEN(1, ROWS(Sheet1!$G$2:$G$3)))</f>
        <v>0</v>
      </c>
    </row>
    <row r="605" spans="1:8" x14ac:dyDescent="0.3">
      <c r="A605" s="2" t="str" cm="1">
        <f t="array" aca="1" ref="A605" ca="1">INDEX(Sheet1!$A$2:$A$46, RANDBETWEEN(1,ROWS(Sheet1!$A$2:$A$46)))</f>
        <v>B032</v>
      </c>
      <c r="B605" s="2" t="s">
        <v>10</v>
      </c>
      <c r="C605" t="str">
        <f>_xlfn.XLOOKUP(B605, Sheet1!A:A, Sheet1!B:B)</f>
        <v>croissant</v>
      </c>
      <c r="D605">
        <f>_xlfn.XLOOKUP(B605,Sheet1!A:A,Sheet1!C:C)</f>
        <v>10</v>
      </c>
      <c r="E605">
        <f>_xlfn.XLOOKUP(B605,Sheet1!A:A,Sheet1!D:D)</f>
        <v>5.5</v>
      </c>
      <c r="F605">
        <f>_xlfn.XLOOKUP(Sheet3!B605,Sheet1!A:A,Sheet1!E:E)</f>
        <v>4.5</v>
      </c>
      <c r="G605">
        <f>_xlfn.XLOOKUP(B605,Sheet1!A:A,Sheet1!F:F)</f>
        <v>7</v>
      </c>
      <c r="H605" t="str" cm="1">
        <f t="array" aca="1" ref="H605" ca="1">INDEX(Sheet1!$G$2:$G$3, RANDBETWEEN(1, ROWS(Sheet1!$G$2:$G$3)))</f>
        <v>No</v>
      </c>
    </row>
    <row r="606" spans="1:8" x14ac:dyDescent="0.3">
      <c r="A606" s="2" t="str" cm="1">
        <f t="array" aca="1" ref="A606" ca="1">INDEX(Sheet1!$A$2:$A$46, RANDBETWEEN(1,ROWS(Sheet1!$A$2:$A$46)))</f>
        <v>B027</v>
      </c>
      <c r="B606" s="2" t="s">
        <v>81</v>
      </c>
      <c r="C606" t="str">
        <f>_xlfn.XLOOKUP(B606, Sheet1!A:A, Sheet1!B:B)</f>
        <v>red velvet square cake</v>
      </c>
      <c r="D606">
        <f>_xlfn.XLOOKUP(B606,Sheet1!A:A,Sheet1!C:C)</f>
        <v>8</v>
      </c>
      <c r="E606">
        <f>_xlfn.XLOOKUP(B606,Sheet1!A:A,Sheet1!D:D)</f>
        <v>2.5</v>
      </c>
      <c r="F606">
        <f>_xlfn.XLOOKUP(Sheet3!B606,Sheet1!A:A,Sheet1!E:E)</f>
        <v>2</v>
      </c>
      <c r="G606">
        <f>_xlfn.XLOOKUP(B606,Sheet1!A:A,Sheet1!F:F)</f>
        <v>5</v>
      </c>
      <c r="H606" t="str" cm="1">
        <f t="array" aca="1" ref="H606" ca="1">INDEX(Sheet1!$G$2:$G$3, RANDBETWEEN(1, ROWS(Sheet1!$G$2:$G$3)))</f>
        <v>No</v>
      </c>
    </row>
    <row r="607" spans="1:8" x14ac:dyDescent="0.3">
      <c r="A607" s="2" t="str" cm="1">
        <f t="array" aca="1" ref="A607" ca="1">INDEX(Sheet1!$A$2:$A$46, RANDBETWEEN(1,ROWS(Sheet1!$A$2:$A$46)))</f>
        <v>B009</v>
      </c>
      <c r="B607" s="2" t="s">
        <v>66</v>
      </c>
      <c r="C607" t="str">
        <f>_xlfn.XLOOKUP(B607, Sheet1!A:A, Sheet1!B:B)</f>
        <v>pumpernickel bread</v>
      </c>
      <c r="D607">
        <f>_xlfn.XLOOKUP(B607,Sheet1!A:A,Sheet1!C:C)</f>
        <v>8</v>
      </c>
      <c r="E607">
        <f>_xlfn.XLOOKUP(B607,Sheet1!A:A,Sheet1!D:D)</f>
        <v>3.5</v>
      </c>
      <c r="F607">
        <f>_xlfn.XLOOKUP(Sheet3!B607,Sheet1!A:A,Sheet1!E:E)</f>
        <v>3</v>
      </c>
      <c r="G607">
        <f>_xlfn.XLOOKUP(B607,Sheet1!A:A,Sheet1!F:F)</f>
        <v>8</v>
      </c>
      <c r="H607" t="str" cm="1">
        <f t="array" aca="1" ref="H607" ca="1">INDEX(Sheet1!$G$2:$G$3, RANDBETWEEN(1, ROWS(Sheet1!$G$2:$G$3)))</f>
        <v>No</v>
      </c>
    </row>
    <row r="608" spans="1:8" x14ac:dyDescent="0.3">
      <c r="A608" s="2" t="str" cm="1">
        <f t="array" aca="1" ref="A608" ca="1">INDEX(Sheet1!$A$2:$A$46, RANDBETWEEN(1,ROWS(Sheet1!$A$2:$A$46)))</f>
        <v>B001</v>
      </c>
      <c r="B608" s="2" t="s">
        <v>69</v>
      </c>
      <c r="C608" t="str">
        <f>_xlfn.XLOOKUP(B608, Sheet1!A:A, Sheet1!B:B)</f>
        <v>coconut creme pie</v>
      </c>
      <c r="D608">
        <f>_xlfn.XLOOKUP(B608,Sheet1!A:A,Sheet1!C:C)</f>
        <v>6</v>
      </c>
      <c r="E608">
        <f>_xlfn.XLOOKUP(B608,Sheet1!A:A,Sheet1!D:D)</f>
        <v>4</v>
      </c>
      <c r="F608">
        <f>_xlfn.XLOOKUP(Sheet3!B608,Sheet1!A:A,Sheet1!E:E)</f>
        <v>3</v>
      </c>
      <c r="G608">
        <f>_xlfn.XLOOKUP(B608,Sheet1!A:A,Sheet1!F:F)</f>
        <v>7</v>
      </c>
      <c r="H608" cm="1">
        <f t="array" aca="1" ref="H608" ca="1">INDEX(Sheet1!$G$2:$G$3, RANDBETWEEN(1, ROWS(Sheet1!$G$2:$G$3)))</f>
        <v>0</v>
      </c>
    </row>
    <row r="609" spans="1:8" x14ac:dyDescent="0.3">
      <c r="A609" s="2" t="str" cm="1">
        <f t="array" aca="1" ref="A609" ca="1">INDEX(Sheet1!$A$2:$A$46, RANDBETWEEN(1,ROWS(Sheet1!$A$2:$A$46)))</f>
        <v>B012</v>
      </c>
      <c r="B609" s="2" t="s">
        <v>41</v>
      </c>
      <c r="C609" t="str">
        <f>_xlfn.XLOOKUP(B609, Sheet1!A:A, Sheet1!B:B)</f>
        <v>frosted blue cookies</v>
      </c>
      <c r="D609">
        <f>_xlfn.XLOOKUP(B609,Sheet1!A:A,Sheet1!C:C)</f>
        <v>15</v>
      </c>
      <c r="E609">
        <f>_xlfn.XLOOKUP(B609,Sheet1!A:A,Sheet1!D:D)</f>
        <v>3</v>
      </c>
      <c r="F609">
        <f>_xlfn.XLOOKUP(Sheet3!B609,Sheet1!A:A,Sheet1!E:E)</f>
        <v>2.5</v>
      </c>
      <c r="G609">
        <f>_xlfn.XLOOKUP(B609,Sheet1!A:A,Sheet1!F:F)</f>
        <v>14</v>
      </c>
      <c r="H609" t="str" cm="1">
        <f t="array" aca="1" ref="H609" ca="1">INDEX(Sheet1!$G$2:$G$3, RANDBETWEEN(1, ROWS(Sheet1!$G$2:$G$3)))</f>
        <v>No</v>
      </c>
    </row>
    <row r="610" spans="1:8" x14ac:dyDescent="0.3">
      <c r="A610" s="2" t="str" cm="1">
        <f t="array" aca="1" ref="A610" ca="1">INDEX(Sheet1!$A$2:$A$46, RANDBETWEEN(1,ROWS(Sheet1!$A$2:$A$46)))</f>
        <v>B014</v>
      </c>
      <c r="B610" s="2" t="s">
        <v>34</v>
      </c>
      <c r="C610" t="str">
        <f>_xlfn.XLOOKUP(B610, Sheet1!A:A, Sheet1!B:B)</f>
        <v>almond croissant</v>
      </c>
      <c r="D610">
        <f>_xlfn.XLOOKUP(B610,Sheet1!A:A,Sheet1!C:C)</f>
        <v>6</v>
      </c>
      <c r="E610">
        <f>_xlfn.XLOOKUP(B610,Sheet1!A:A,Sheet1!D:D)</f>
        <v>3.5</v>
      </c>
      <c r="F610">
        <f>_xlfn.XLOOKUP(Sheet3!B610,Sheet1!A:A,Sheet1!E:E)</f>
        <v>3</v>
      </c>
      <c r="G610">
        <f>_xlfn.XLOOKUP(B610,Sheet1!A:A,Sheet1!F:F)</f>
        <v>10</v>
      </c>
      <c r="H610" cm="1">
        <f t="array" aca="1" ref="H610" ca="1">INDEX(Sheet1!$G$2:$G$3, RANDBETWEEN(1, ROWS(Sheet1!$G$2:$G$3)))</f>
        <v>0</v>
      </c>
    </row>
    <row r="611" spans="1:8" x14ac:dyDescent="0.3">
      <c r="A611" s="2" t="str" cm="1">
        <f t="array" aca="1" ref="A611" ca="1">INDEX(Sheet1!$A$2:$A$46, RANDBETWEEN(1,ROWS(Sheet1!$A$2:$A$46)))</f>
        <v>B010</v>
      </c>
      <c r="B611" s="2" t="s">
        <v>82</v>
      </c>
      <c r="C611" t="str">
        <f>_xlfn.XLOOKUP(B611, Sheet1!A:A, Sheet1!B:B)</f>
        <v>white square cake</v>
      </c>
      <c r="D611">
        <f>_xlfn.XLOOKUP(B611,Sheet1!A:A,Sheet1!C:C)</f>
        <v>8</v>
      </c>
      <c r="E611">
        <f>_xlfn.XLOOKUP(B611,Sheet1!A:A,Sheet1!D:D)</f>
        <v>2.5</v>
      </c>
      <c r="F611">
        <f>_xlfn.XLOOKUP(Sheet3!B611,Sheet1!A:A,Sheet1!E:E)</f>
        <v>2</v>
      </c>
      <c r="G611">
        <f>_xlfn.XLOOKUP(B611,Sheet1!A:A,Sheet1!F:F)</f>
        <v>5</v>
      </c>
      <c r="H611" cm="1">
        <f t="array" aca="1" ref="H611" ca="1">INDEX(Sheet1!$G$2:$G$3, RANDBETWEEN(1, ROWS(Sheet1!$G$2:$G$3)))</f>
        <v>0</v>
      </c>
    </row>
    <row r="612" spans="1:8" x14ac:dyDescent="0.3">
      <c r="A612" s="2" t="str" cm="1">
        <f t="array" aca="1" ref="A612" ca="1">INDEX(Sheet1!$A$2:$A$46, RANDBETWEEN(1,ROWS(Sheet1!$A$2:$A$46)))</f>
        <v>B025</v>
      </c>
      <c r="B612" s="2" t="s">
        <v>78</v>
      </c>
      <c r="C612" t="str">
        <f>_xlfn.XLOOKUP(B612, Sheet1!A:A, Sheet1!B:B)</f>
        <v>caramel pie</v>
      </c>
      <c r="D612">
        <f>_xlfn.XLOOKUP(B612,Sheet1!A:A,Sheet1!C:C)</f>
        <v>6</v>
      </c>
      <c r="E612">
        <f>_xlfn.XLOOKUP(B612,Sheet1!A:A,Sheet1!D:D)</f>
        <v>4</v>
      </c>
      <c r="F612">
        <f>_xlfn.XLOOKUP(Sheet3!B612,Sheet1!A:A,Sheet1!E:E)</f>
        <v>3</v>
      </c>
      <c r="G612">
        <f>_xlfn.XLOOKUP(B612,Sheet1!A:A,Sheet1!F:F)</f>
        <v>7</v>
      </c>
      <c r="H612" t="str" cm="1">
        <f t="array" aca="1" ref="H612" ca="1">INDEX(Sheet1!$G$2:$G$3, RANDBETWEEN(1, ROWS(Sheet1!$G$2:$G$3)))</f>
        <v>No</v>
      </c>
    </row>
    <row r="613" spans="1:8" x14ac:dyDescent="0.3">
      <c r="A613" s="2" t="str" cm="1">
        <f t="array" aca="1" ref="A613" ca="1">INDEX(Sheet1!$A$2:$A$46, RANDBETWEEN(1,ROWS(Sheet1!$A$2:$A$46)))</f>
        <v>B008</v>
      </c>
      <c r="B613" s="2" t="s">
        <v>60</v>
      </c>
      <c r="C613" t="str">
        <f>_xlfn.XLOOKUP(B613, Sheet1!A:A, Sheet1!B:B)</f>
        <v>banana nut sliced loaf cake</v>
      </c>
      <c r="D613">
        <f>_xlfn.XLOOKUP(B613,Sheet1!A:A,Sheet1!C:C)</f>
        <v>10</v>
      </c>
      <c r="E613">
        <f>_xlfn.XLOOKUP(B613,Sheet1!A:A,Sheet1!D:D)</f>
        <v>4</v>
      </c>
      <c r="F613">
        <f>_xlfn.XLOOKUP(Sheet3!B613,Sheet1!A:A,Sheet1!E:E)</f>
        <v>3.5</v>
      </c>
      <c r="G613">
        <f>_xlfn.XLOOKUP(B613,Sheet1!A:A,Sheet1!F:F)</f>
        <v>10</v>
      </c>
      <c r="H613" cm="1">
        <f t="array" aca="1" ref="H613" ca="1">INDEX(Sheet1!$G$2:$G$3, RANDBETWEEN(1, ROWS(Sheet1!$G$2:$G$3)))</f>
        <v>0</v>
      </c>
    </row>
    <row r="614" spans="1:8" x14ac:dyDescent="0.3">
      <c r="A614" s="2" t="str" cm="1">
        <f t="array" aca="1" ref="A614" ca="1">INDEX(Sheet1!$A$2:$A$46, RANDBETWEEN(1,ROWS(Sheet1!$A$2:$A$46)))</f>
        <v>B043</v>
      </c>
      <c r="B614" s="2" t="s">
        <v>80</v>
      </c>
      <c r="C614" t="str">
        <f>_xlfn.XLOOKUP(B614, Sheet1!A:A, Sheet1!B:B)</f>
        <v>carrot square cake</v>
      </c>
      <c r="D614">
        <f>_xlfn.XLOOKUP(B614,Sheet1!A:A,Sheet1!C:C)</f>
        <v>8</v>
      </c>
      <c r="E614">
        <f>_xlfn.XLOOKUP(B614,Sheet1!A:A,Sheet1!D:D)</f>
        <v>2.5</v>
      </c>
      <c r="F614">
        <f>_xlfn.XLOOKUP(Sheet3!B614,Sheet1!A:A,Sheet1!E:E)</f>
        <v>2</v>
      </c>
      <c r="G614">
        <f>_xlfn.XLOOKUP(B614,Sheet1!A:A,Sheet1!F:F)</f>
        <v>5</v>
      </c>
      <c r="H614" t="str" cm="1">
        <f t="array" aca="1" ref="H614" ca="1">INDEX(Sheet1!$G$2:$G$3, RANDBETWEEN(1, ROWS(Sheet1!$G$2:$G$3)))</f>
        <v>No</v>
      </c>
    </row>
    <row r="615" spans="1:8" x14ac:dyDescent="0.3">
      <c r="A615" s="2" t="str" cm="1">
        <f t="array" aca="1" ref="A615" ca="1">INDEX(Sheet1!$A$2:$A$46, RANDBETWEEN(1,ROWS(Sheet1!$A$2:$A$46)))</f>
        <v>B017</v>
      </c>
      <c r="B615" s="2" t="s">
        <v>39</v>
      </c>
      <c r="C615" t="str">
        <f>_xlfn.XLOOKUP(B615, Sheet1!A:A, Sheet1!B:B)</f>
        <v>macadamia nut cookies</v>
      </c>
      <c r="D615">
        <f>_xlfn.XLOOKUP(B615,Sheet1!A:A,Sheet1!C:C)</f>
        <v>12</v>
      </c>
      <c r="E615">
        <f>_xlfn.XLOOKUP(B615,Sheet1!A:A,Sheet1!D:D)</f>
        <v>3.5</v>
      </c>
      <c r="F615">
        <f>_xlfn.XLOOKUP(Sheet3!B615,Sheet1!A:A,Sheet1!E:E)</f>
        <v>3</v>
      </c>
      <c r="G615">
        <f>_xlfn.XLOOKUP(B615,Sheet1!A:A,Sheet1!F:F)</f>
        <v>14</v>
      </c>
      <c r="H615" t="str" cm="1">
        <f t="array" aca="1" ref="H615" ca="1">INDEX(Sheet1!$G$2:$G$3, RANDBETWEEN(1, ROWS(Sheet1!$G$2:$G$3)))</f>
        <v>No</v>
      </c>
    </row>
    <row r="616" spans="1:8" x14ac:dyDescent="0.3">
      <c r="A616" s="2" t="str" cm="1">
        <f t="array" aca="1" ref="A616" ca="1">INDEX(Sheet1!$A$2:$A$46, RANDBETWEEN(1,ROWS(Sheet1!$A$2:$A$46)))</f>
        <v>B029</v>
      </c>
      <c r="B616" s="2" t="s">
        <v>40</v>
      </c>
      <c r="C616" t="str">
        <f>_xlfn.XLOOKUP(B616, Sheet1!A:A, Sheet1!B:B)</f>
        <v>frosted pink cookies</v>
      </c>
      <c r="D616">
        <f>_xlfn.XLOOKUP(B616,Sheet1!A:A,Sheet1!C:C)</f>
        <v>15</v>
      </c>
      <c r="E616">
        <f>_xlfn.XLOOKUP(B616,Sheet1!A:A,Sheet1!D:D)</f>
        <v>3</v>
      </c>
      <c r="F616">
        <f>_xlfn.XLOOKUP(Sheet3!B616,Sheet1!A:A,Sheet1!E:E)</f>
        <v>2.5</v>
      </c>
      <c r="G616">
        <f>_xlfn.XLOOKUP(B616,Sheet1!A:A,Sheet1!F:F)</f>
        <v>14</v>
      </c>
      <c r="H616" t="str" cm="1">
        <f t="array" aca="1" ref="H616" ca="1">INDEX(Sheet1!$G$2:$G$3, RANDBETWEEN(1, ROWS(Sheet1!$G$2:$G$3)))</f>
        <v>No</v>
      </c>
    </row>
    <row r="617" spans="1:8" x14ac:dyDescent="0.3">
      <c r="A617" s="2" t="str" cm="1">
        <f t="array" aca="1" ref="A617" ca="1">INDEX(Sheet1!$A$2:$A$46, RANDBETWEEN(1,ROWS(Sheet1!$A$2:$A$46)))</f>
        <v>B002</v>
      </c>
      <c r="B617" s="2" t="s">
        <v>90</v>
      </c>
      <c r="C617" t="str">
        <f>_xlfn.XLOOKUP(B617, Sheet1!A:A, Sheet1!B:B)</f>
        <v>mini brownies</v>
      </c>
      <c r="D617">
        <f>_xlfn.XLOOKUP(B617,Sheet1!A:A,Sheet1!C:C)</f>
        <v>12</v>
      </c>
      <c r="E617">
        <f>_xlfn.XLOOKUP(B617,Sheet1!A:A,Sheet1!D:D)</f>
        <v>4.5</v>
      </c>
      <c r="F617">
        <f>_xlfn.XLOOKUP(Sheet3!B617,Sheet1!A:A,Sheet1!E:E)</f>
        <v>4</v>
      </c>
      <c r="G617">
        <f>_xlfn.XLOOKUP(B617,Sheet1!A:A,Sheet1!F:F)</f>
        <v>14</v>
      </c>
      <c r="H617" t="str" cm="1">
        <f t="array" aca="1" ref="H617" ca="1">INDEX(Sheet1!$G$2:$G$3, RANDBETWEEN(1, ROWS(Sheet1!$G$2:$G$3)))</f>
        <v>No</v>
      </c>
    </row>
    <row r="618" spans="1:8" x14ac:dyDescent="0.3">
      <c r="A618" s="2" t="str" cm="1">
        <f t="array" aca="1" ref="A618" ca="1">INDEX(Sheet1!$A$2:$A$46, RANDBETWEEN(1,ROWS(Sheet1!$A$2:$A$46)))</f>
        <v>B035</v>
      </c>
      <c r="B618" s="2" t="s">
        <v>81</v>
      </c>
      <c r="C618" t="str">
        <f>_xlfn.XLOOKUP(B618, Sheet1!A:A, Sheet1!B:B)</f>
        <v>red velvet square cake</v>
      </c>
      <c r="D618">
        <f>_xlfn.XLOOKUP(B618,Sheet1!A:A,Sheet1!C:C)</f>
        <v>8</v>
      </c>
      <c r="E618">
        <f>_xlfn.XLOOKUP(B618,Sheet1!A:A,Sheet1!D:D)</f>
        <v>2.5</v>
      </c>
      <c r="F618">
        <f>_xlfn.XLOOKUP(Sheet3!B618,Sheet1!A:A,Sheet1!E:E)</f>
        <v>2</v>
      </c>
      <c r="G618">
        <f>_xlfn.XLOOKUP(B618,Sheet1!A:A,Sheet1!F:F)</f>
        <v>5</v>
      </c>
      <c r="H618" cm="1">
        <f t="array" aca="1" ref="H618" ca="1">INDEX(Sheet1!$G$2:$G$3, RANDBETWEEN(1, ROWS(Sheet1!$G$2:$G$3)))</f>
        <v>0</v>
      </c>
    </row>
    <row r="619" spans="1:8" x14ac:dyDescent="0.3">
      <c r="A619" s="2" t="str" cm="1">
        <f t="array" aca="1" ref="A619" ca="1">INDEX(Sheet1!$A$2:$A$46, RANDBETWEEN(1,ROWS(Sheet1!$A$2:$A$46)))</f>
        <v>B002</v>
      </c>
      <c r="B619" s="2" t="s">
        <v>19</v>
      </c>
      <c r="C619" t="str">
        <f>_xlfn.XLOOKUP(B619, Sheet1!A:A, Sheet1!B:B)</f>
        <v>blueberry muffins</v>
      </c>
      <c r="D619">
        <f>_xlfn.XLOOKUP(B619,Sheet1!A:A,Sheet1!C:C)</f>
        <v>10</v>
      </c>
      <c r="E619">
        <f>_xlfn.XLOOKUP(B619,Sheet1!A:A,Sheet1!D:D)</f>
        <v>4.5</v>
      </c>
      <c r="F619">
        <f>_xlfn.XLOOKUP(Sheet3!B619,Sheet1!A:A,Sheet1!E:E)</f>
        <v>4</v>
      </c>
      <c r="G619">
        <f>_xlfn.XLOOKUP(B619,Sheet1!A:A,Sheet1!F:F)</f>
        <v>10</v>
      </c>
      <c r="H619" cm="1">
        <f t="array" aca="1" ref="H619" ca="1">INDEX(Sheet1!$G$2:$G$3, RANDBETWEEN(1, ROWS(Sheet1!$G$2:$G$3)))</f>
        <v>0</v>
      </c>
    </row>
    <row r="620" spans="1:8" x14ac:dyDescent="0.3">
      <c r="A620" s="2" t="str" cm="1">
        <f t="array" aca="1" ref="A620" ca="1">INDEX(Sheet1!$A$2:$A$46, RANDBETWEEN(1,ROWS(Sheet1!$A$2:$A$46)))</f>
        <v>B029</v>
      </c>
      <c r="B620" s="2" t="s">
        <v>70</v>
      </c>
      <c r="C620" t="str">
        <f>_xlfn.XLOOKUP(B620, Sheet1!A:A, Sheet1!B:B)</f>
        <v>pumpkin pie</v>
      </c>
      <c r="D620">
        <f>_xlfn.XLOOKUP(B620,Sheet1!A:A,Sheet1!C:C)</f>
        <v>6</v>
      </c>
      <c r="E620">
        <f>_xlfn.XLOOKUP(B620,Sheet1!A:A,Sheet1!D:D)</f>
        <v>4</v>
      </c>
      <c r="F620">
        <f>_xlfn.XLOOKUP(Sheet3!B620,Sheet1!A:A,Sheet1!E:E)</f>
        <v>3</v>
      </c>
      <c r="G620">
        <f>_xlfn.XLOOKUP(B620,Sheet1!A:A,Sheet1!F:F)</f>
        <v>7</v>
      </c>
      <c r="H620" cm="1">
        <f t="array" aca="1" ref="H620" ca="1">INDEX(Sheet1!$G$2:$G$3, RANDBETWEEN(1, ROWS(Sheet1!$G$2:$G$3)))</f>
        <v>0</v>
      </c>
    </row>
    <row r="621" spans="1:8" x14ac:dyDescent="0.3">
      <c r="A621" s="2" t="str" cm="1">
        <f t="array" aca="1" ref="A621" ca="1">INDEX(Sheet1!$A$2:$A$46, RANDBETWEEN(1,ROWS(Sheet1!$A$2:$A$46)))</f>
        <v>B044</v>
      </c>
      <c r="B621" s="2" t="s">
        <v>72</v>
      </c>
      <c r="C621" t="str">
        <f>_xlfn.XLOOKUP(B621, Sheet1!A:A, Sheet1!B:B)</f>
        <v>cherry pie</v>
      </c>
      <c r="D621">
        <f>_xlfn.XLOOKUP(B621,Sheet1!A:A,Sheet1!C:C)</f>
        <v>6</v>
      </c>
      <c r="E621">
        <f>_xlfn.XLOOKUP(B621,Sheet1!A:A,Sheet1!D:D)</f>
        <v>4</v>
      </c>
      <c r="F621">
        <f>_xlfn.XLOOKUP(Sheet3!B621,Sheet1!A:A,Sheet1!E:E)</f>
        <v>3</v>
      </c>
      <c r="G621">
        <f>_xlfn.XLOOKUP(B621,Sheet1!A:A,Sheet1!F:F)</f>
        <v>7</v>
      </c>
      <c r="H621" t="str" cm="1">
        <f t="array" aca="1" ref="H621" ca="1">INDEX(Sheet1!$G$2:$G$3, RANDBETWEEN(1, ROWS(Sheet1!$G$2:$G$3)))</f>
        <v>No</v>
      </c>
    </row>
    <row r="622" spans="1:8" x14ac:dyDescent="0.3">
      <c r="A622" s="2" t="str" cm="1">
        <f t="array" aca="1" ref="A622" ca="1">INDEX(Sheet1!$A$2:$A$46, RANDBETWEEN(1,ROWS(Sheet1!$A$2:$A$46)))</f>
        <v>B028</v>
      </c>
      <c r="B622" s="2" t="s">
        <v>40</v>
      </c>
      <c r="C622" t="str">
        <f>_xlfn.XLOOKUP(B622, Sheet1!A:A, Sheet1!B:B)</f>
        <v>frosted pink cookies</v>
      </c>
      <c r="D622">
        <f>_xlfn.XLOOKUP(B622,Sheet1!A:A,Sheet1!C:C)</f>
        <v>15</v>
      </c>
      <c r="E622">
        <f>_xlfn.XLOOKUP(B622,Sheet1!A:A,Sheet1!D:D)</f>
        <v>3</v>
      </c>
      <c r="F622">
        <f>_xlfn.XLOOKUP(Sheet3!B622,Sheet1!A:A,Sheet1!E:E)</f>
        <v>2.5</v>
      </c>
      <c r="G622">
        <f>_xlfn.XLOOKUP(B622,Sheet1!A:A,Sheet1!F:F)</f>
        <v>14</v>
      </c>
      <c r="H622" t="str" cm="1">
        <f t="array" aca="1" ref="H622" ca="1">INDEX(Sheet1!$G$2:$G$3, RANDBETWEEN(1, ROWS(Sheet1!$G$2:$G$3)))</f>
        <v>No</v>
      </c>
    </row>
    <row r="623" spans="1:8" x14ac:dyDescent="0.3">
      <c r="A623" s="2" t="str" cm="1">
        <f t="array" aca="1" ref="A623" ca="1">INDEX(Sheet1!$A$2:$A$46, RANDBETWEEN(1,ROWS(Sheet1!$A$2:$A$46)))</f>
        <v>B027</v>
      </c>
      <c r="B623" s="2" t="s">
        <v>72</v>
      </c>
      <c r="C623" t="str">
        <f>_xlfn.XLOOKUP(B623, Sheet1!A:A, Sheet1!B:B)</f>
        <v>cherry pie</v>
      </c>
      <c r="D623">
        <f>_xlfn.XLOOKUP(B623,Sheet1!A:A,Sheet1!C:C)</f>
        <v>6</v>
      </c>
      <c r="E623">
        <f>_xlfn.XLOOKUP(B623,Sheet1!A:A,Sheet1!D:D)</f>
        <v>4</v>
      </c>
      <c r="F623">
        <f>_xlfn.XLOOKUP(Sheet3!B623,Sheet1!A:A,Sheet1!E:E)</f>
        <v>3</v>
      </c>
      <c r="G623">
        <f>_xlfn.XLOOKUP(B623,Sheet1!A:A,Sheet1!F:F)</f>
        <v>7</v>
      </c>
      <c r="H623" t="str" cm="1">
        <f t="array" aca="1" ref="H623" ca="1">INDEX(Sheet1!$G$2:$G$3, RANDBETWEEN(1, ROWS(Sheet1!$G$2:$G$3)))</f>
        <v>No</v>
      </c>
    </row>
    <row r="624" spans="1:8" x14ac:dyDescent="0.3">
      <c r="A624" s="2" t="str" cm="1">
        <f t="array" aca="1" ref="A624" ca="1">INDEX(Sheet1!$A$2:$A$46, RANDBETWEEN(1,ROWS(Sheet1!$A$2:$A$46)))</f>
        <v>B011</v>
      </c>
      <c r="B624" s="2" t="s">
        <v>19</v>
      </c>
      <c r="C624" t="str">
        <f>_xlfn.XLOOKUP(B624, Sheet1!A:A, Sheet1!B:B)</f>
        <v>blueberry muffins</v>
      </c>
      <c r="D624">
        <f>_xlfn.XLOOKUP(B624,Sheet1!A:A,Sheet1!C:C)</f>
        <v>10</v>
      </c>
      <c r="E624">
        <f>_xlfn.XLOOKUP(B624,Sheet1!A:A,Sheet1!D:D)</f>
        <v>4.5</v>
      </c>
      <c r="F624">
        <f>_xlfn.XLOOKUP(Sheet3!B624,Sheet1!A:A,Sheet1!E:E)</f>
        <v>4</v>
      </c>
      <c r="G624">
        <f>_xlfn.XLOOKUP(B624,Sheet1!A:A,Sheet1!F:F)</f>
        <v>10</v>
      </c>
      <c r="H624" t="str" cm="1">
        <f t="array" aca="1" ref="H624" ca="1">INDEX(Sheet1!$G$2:$G$3, RANDBETWEEN(1, ROWS(Sheet1!$G$2:$G$3)))</f>
        <v>No</v>
      </c>
    </row>
    <row r="625" spans="1:8" x14ac:dyDescent="0.3">
      <c r="A625" s="2" t="str" cm="1">
        <f t="array" aca="1" ref="A625" ca="1">INDEX(Sheet1!$A$2:$A$46, RANDBETWEEN(1,ROWS(Sheet1!$A$2:$A$46)))</f>
        <v>B011</v>
      </c>
      <c r="B625" s="2" t="s">
        <v>69</v>
      </c>
      <c r="C625" t="str">
        <f>_xlfn.XLOOKUP(B625, Sheet1!A:A, Sheet1!B:B)</f>
        <v>coconut creme pie</v>
      </c>
      <c r="D625">
        <f>_xlfn.XLOOKUP(B625,Sheet1!A:A,Sheet1!C:C)</f>
        <v>6</v>
      </c>
      <c r="E625">
        <f>_xlfn.XLOOKUP(B625,Sheet1!A:A,Sheet1!D:D)</f>
        <v>4</v>
      </c>
      <c r="F625">
        <f>_xlfn.XLOOKUP(Sheet3!B625,Sheet1!A:A,Sheet1!E:E)</f>
        <v>3</v>
      </c>
      <c r="G625">
        <f>_xlfn.XLOOKUP(B625,Sheet1!A:A,Sheet1!F:F)</f>
        <v>7</v>
      </c>
      <c r="H625" cm="1">
        <f t="array" aca="1" ref="H625" ca="1">INDEX(Sheet1!$G$2:$G$3, RANDBETWEEN(1, ROWS(Sheet1!$G$2:$G$3)))</f>
        <v>0</v>
      </c>
    </row>
    <row r="626" spans="1:8" x14ac:dyDescent="0.3">
      <c r="A626" s="2" t="str" cm="1">
        <f t="array" aca="1" ref="A626" ca="1">INDEX(Sheet1!$A$2:$A$46, RANDBETWEEN(1,ROWS(Sheet1!$A$2:$A$46)))</f>
        <v>B003</v>
      </c>
      <c r="B626" s="2" t="s">
        <v>57</v>
      </c>
      <c r="C626" t="str">
        <f>_xlfn.XLOOKUP(B626, Sheet1!A:A, Sheet1!B:B)</f>
        <v>vanilla cupcakes</v>
      </c>
      <c r="D626">
        <f>_xlfn.XLOOKUP(B626,Sheet1!A:A,Sheet1!C:C)</f>
        <v>8</v>
      </c>
      <c r="E626">
        <f>_xlfn.XLOOKUP(B626,Sheet1!A:A,Sheet1!D:D)</f>
        <v>6</v>
      </c>
      <c r="F626">
        <f>_xlfn.XLOOKUP(Sheet3!B626,Sheet1!A:A,Sheet1!E:E)</f>
        <v>5.5</v>
      </c>
      <c r="G626">
        <f>_xlfn.XLOOKUP(B626,Sheet1!A:A,Sheet1!F:F)</f>
        <v>20</v>
      </c>
      <c r="H626" cm="1">
        <f t="array" aca="1" ref="H626" ca="1">INDEX(Sheet1!$G$2:$G$3, RANDBETWEEN(1, ROWS(Sheet1!$G$2:$G$3)))</f>
        <v>0</v>
      </c>
    </row>
    <row r="627" spans="1:8" x14ac:dyDescent="0.3">
      <c r="A627" s="2" t="str" cm="1">
        <f t="array" aca="1" ref="A627" ca="1">INDEX(Sheet1!$A$2:$A$46, RANDBETWEEN(1,ROWS(Sheet1!$A$2:$A$46)))</f>
        <v>B004</v>
      </c>
      <c r="B627" s="2" t="s">
        <v>20</v>
      </c>
      <c r="C627" t="str">
        <f>_xlfn.XLOOKUP(B627, Sheet1!A:A, Sheet1!B:B)</f>
        <v>banana nut muffins</v>
      </c>
      <c r="D627">
        <f>_xlfn.XLOOKUP(B627,Sheet1!A:A,Sheet1!C:C)</f>
        <v>10</v>
      </c>
      <c r="E627">
        <f>_xlfn.XLOOKUP(B627,Sheet1!A:A,Sheet1!D:D)</f>
        <v>4.5</v>
      </c>
      <c r="F627">
        <f>_xlfn.XLOOKUP(Sheet3!B627,Sheet1!A:A,Sheet1!E:E)</f>
        <v>4</v>
      </c>
      <c r="G627">
        <f>_xlfn.XLOOKUP(B627,Sheet1!A:A,Sheet1!F:F)</f>
        <v>10</v>
      </c>
      <c r="H627" t="str" cm="1">
        <f t="array" aca="1" ref="H627" ca="1">INDEX(Sheet1!$G$2:$G$3, RANDBETWEEN(1, ROWS(Sheet1!$G$2:$G$3)))</f>
        <v>No</v>
      </c>
    </row>
    <row r="628" spans="1:8" x14ac:dyDescent="0.3">
      <c r="A628" s="2" t="str" cm="1">
        <f t="array" aca="1" ref="A628" ca="1">INDEX(Sheet1!$A$2:$A$46, RANDBETWEEN(1,ROWS(Sheet1!$A$2:$A$46)))</f>
        <v>B012</v>
      </c>
      <c r="B628" s="2" t="s">
        <v>55</v>
      </c>
      <c r="C628" t="str">
        <f>_xlfn.XLOOKUP(B628, Sheet1!A:A, Sheet1!B:B)</f>
        <v>cookies &amp; creme cake</v>
      </c>
      <c r="D628">
        <f>_xlfn.XLOOKUP(B628,Sheet1!A:A,Sheet1!C:C)</f>
        <v>4</v>
      </c>
      <c r="E628">
        <f>_xlfn.XLOOKUP(B628,Sheet1!A:A,Sheet1!D:D)</f>
        <v>8.5</v>
      </c>
      <c r="F628">
        <f>_xlfn.XLOOKUP(Sheet3!B628,Sheet1!A:A,Sheet1!E:E)</f>
        <v>6</v>
      </c>
      <c r="G628">
        <f>_xlfn.XLOOKUP(B628,Sheet1!A:A,Sheet1!F:F)</f>
        <v>7</v>
      </c>
      <c r="H628" t="str" cm="1">
        <f t="array" aca="1" ref="H628" ca="1">INDEX(Sheet1!$G$2:$G$3, RANDBETWEEN(1, ROWS(Sheet1!$G$2:$G$3)))</f>
        <v>No</v>
      </c>
    </row>
    <row r="629" spans="1:8" x14ac:dyDescent="0.3">
      <c r="A629" s="2" t="str" cm="1">
        <f t="array" aca="1" ref="A629" ca="1">INDEX(Sheet1!$A$2:$A$46, RANDBETWEEN(1,ROWS(Sheet1!$A$2:$A$46)))</f>
        <v>B039</v>
      </c>
      <c r="B629" s="2" t="s">
        <v>69</v>
      </c>
      <c r="C629" t="str">
        <f>_xlfn.XLOOKUP(B629, Sheet1!A:A, Sheet1!B:B)</f>
        <v>coconut creme pie</v>
      </c>
      <c r="D629">
        <f>_xlfn.XLOOKUP(B629,Sheet1!A:A,Sheet1!C:C)</f>
        <v>6</v>
      </c>
      <c r="E629">
        <f>_xlfn.XLOOKUP(B629,Sheet1!A:A,Sheet1!D:D)</f>
        <v>4</v>
      </c>
      <c r="F629">
        <f>_xlfn.XLOOKUP(Sheet3!B629,Sheet1!A:A,Sheet1!E:E)</f>
        <v>3</v>
      </c>
      <c r="G629">
        <f>_xlfn.XLOOKUP(B629,Sheet1!A:A,Sheet1!F:F)</f>
        <v>7</v>
      </c>
      <c r="H629" t="str" cm="1">
        <f t="array" aca="1" ref="H629" ca="1">INDEX(Sheet1!$G$2:$G$3, RANDBETWEEN(1, ROWS(Sheet1!$G$2:$G$3)))</f>
        <v>No</v>
      </c>
    </row>
    <row r="630" spans="1:8" x14ac:dyDescent="0.3">
      <c r="A630" s="2" t="str" cm="1">
        <f t="array" aca="1" ref="A630" ca="1">INDEX(Sheet1!$A$2:$A$46, RANDBETWEEN(1,ROWS(Sheet1!$A$2:$A$46)))</f>
        <v>B011</v>
      </c>
      <c r="B630" s="2" t="s">
        <v>24</v>
      </c>
      <c r="C630" t="str">
        <f>_xlfn.XLOOKUP(B630, Sheet1!A:A, Sheet1!B:B)</f>
        <v>tiramisu</v>
      </c>
      <c r="D630">
        <f>_xlfn.XLOOKUP(B630,Sheet1!A:A,Sheet1!C:C)</f>
        <v>8</v>
      </c>
      <c r="E630">
        <f>_xlfn.XLOOKUP(B630,Sheet1!A:A,Sheet1!D:D)</f>
        <v>7.5</v>
      </c>
      <c r="F630">
        <f>_xlfn.XLOOKUP(Sheet3!B630,Sheet1!A:A,Sheet1!E:E)</f>
        <v>5.5</v>
      </c>
      <c r="G630">
        <f>_xlfn.XLOOKUP(B630,Sheet1!A:A,Sheet1!F:F)</f>
        <v>7</v>
      </c>
      <c r="H630" t="str" cm="1">
        <f t="array" aca="1" ref="H630" ca="1">INDEX(Sheet1!$G$2:$G$3, RANDBETWEEN(1, ROWS(Sheet1!$G$2:$G$3)))</f>
        <v>No</v>
      </c>
    </row>
    <row r="631" spans="1:8" x14ac:dyDescent="0.3">
      <c r="A631" s="2" t="str" cm="1">
        <f t="array" aca="1" ref="A631" ca="1">INDEX(Sheet1!$A$2:$A$46, RANDBETWEEN(1,ROWS(Sheet1!$A$2:$A$46)))</f>
        <v>B018</v>
      </c>
      <c r="B631" s="2" t="s">
        <v>41</v>
      </c>
      <c r="C631" t="str">
        <f>_xlfn.XLOOKUP(B631, Sheet1!A:A, Sheet1!B:B)</f>
        <v>frosted blue cookies</v>
      </c>
      <c r="D631">
        <f>_xlfn.XLOOKUP(B631,Sheet1!A:A,Sheet1!C:C)</f>
        <v>15</v>
      </c>
      <c r="E631">
        <f>_xlfn.XLOOKUP(B631,Sheet1!A:A,Sheet1!D:D)</f>
        <v>3</v>
      </c>
      <c r="F631">
        <f>_xlfn.XLOOKUP(Sheet3!B631,Sheet1!A:A,Sheet1!E:E)</f>
        <v>2.5</v>
      </c>
      <c r="G631">
        <f>_xlfn.XLOOKUP(B631,Sheet1!A:A,Sheet1!F:F)</f>
        <v>14</v>
      </c>
      <c r="H631" t="str" cm="1">
        <f t="array" aca="1" ref="H631" ca="1">INDEX(Sheet1!$G$2:$G$3, RANDBETWEEN(1, ROWS(Sheet1!$G$2:$G$3)))</f>
        <v>No</v>
      </c>
    </row>
    <row r="632" spans="1:8" x14ac:dyDescent="0.3">
      <c r="A632" s="2" t="str" cm="1">
        <f t="array" aca="1" ref="A632" ca="1">INDEX(Sheet1!$A$2:$A$46, RANDBETWEEN(1,ROWS(Sheet1!$A$2:$A$46)))</f>
        <v>B020</v>
      </c>
      <c r="B632" s="2" t="s">
        <v>41</v>
      </c>
      <c r="C632" t="str">
        <f>_xlfn.XLOOKUP(B632, Sheet1!A:A, Sheet1!B:B)</f>
        <v>frosted blue cookies</v>
      </c>
      <c r="D632">
        <f>_xlfn.XLOOKUP(B632,Sheet1!A:A,Sheet1!C:C)</f>
        <v>15</v>
      </c>
      <c r="E632">
        <f>_xlfn.XLOOKUP(B632,Sheet1!A:A,Sheet1!D:D)</f>
        <v>3</v>
      </c>
      <c r="F632">
        <f>_xlfn.XLOOKUP(Sheet3!B632,Sheet1!A:A,Sheet1!E:E)</f>
        <v>2.5</v>
      </c>
      <c r="G632">
        <f>_xlfn.XLOOKUP(B632,Sheet1!A:A,Sheet1!F:F)</f>
        <v>14</v>
      </c>
      <c r="H632" t="str" cm="1">
        <f t="array" aca="1" ref="H632" ca="1">INDEX(Sheet1!$G$2:$G$3, RANDBETWEEN(1, ROWS(Sheet1!$G$2:$G$3)))</f>
        <v>No</v>
      </c>
    </row>
    <row r="633" spans="1:8" x14ac:dyDescent="0.3">
      <c r="A633" s="2" t="str" cm="1">
        <f t="array" aca="1" ref="A633" ca="1">INDEX(Sheet1!$A$2:$A$46, RANDBETWEEN(1,ROWS(Sheet1!$A$2:$A$46)))</f>
        <v>B040</v>
      </c>
      <c r="B633" s="2" t="s">
        <v>70</v>
      </c>
      <c r="C633" t="str">
        <f>_xlfn.XLOOKUP(B633, Sheet1!A:A, Sheet1!B:B)</f>
        <v>pumpkin pie</v>
      </c>
      <c r="D633">
        <f>_xlfn.XLOOKUP(B633,Sheet1!A:A,Sheet1!C:C)</f>
        <v>6</v>
      </c>
      <c r="E633">
        <f>_xlfn.XLOOKUP(B633,Sheet1!A:A,Sheet1!D:D)</f>
        <v>4</v>
      </c>
      <c r="F633">
        <f>_xlfn.XLOOKUP(Sheet3!B633,Sheet1!A:A,Sheet1!E:E)</f>
        <v>3</v>
      </c>
      <c r="G633">
        <f>_xlfn.XLOOKUP(B633,Sheet1!A:A,Sheet1!F:F)</f>
        <v>7</v>
      </c>
      <c r="H633" cm="1">
        <f t="array" aca="1" ref="H633" ca="1">INDEX(Sheet1!$G$2:$G$3, RANDBETWEEN(1, ROWS(Sheet1!$G$2:$G$3)))</f>
        <v>0</v>
      </c>
    </row>
    <row r="634" spans="1:8" x14ac:dyDescent="0.3">
      <c r="A634" s="2" t="str" cm="1">
        <f t="array" aca="1" ref="A634" ca="1">INDEX(Sheet1!$A$2:$A$46, RANDBETWEEN(1,ROWS(Sheet1!$A$2:$A$46)))</f>
        <v>B043</v>
      </c>
      <c r="B634" s="2" t="s">
        <v>69</v>
      </c>
      <c r="C634" t="str">
        <f>_xlfn.XLOOKUP(B634, Sheet1!A:A, Sheet1!B:B)</f>
        <v>coconut creme pie</v>
      </c>
      <c r="D634">
        <f>_xlfn.XLOOKUP(B634,Sheet1!A:A,Sheet1!C:C)</f>
        <v>6</v>
      </c>
      <c r="E634">
        <f>_xlfn.XLOOKUP(B634,Sheet1!A:A,Sheet1!D:D)</f>
        <v>4</v>
      </c>
      <c r="F634">
        <f>_xlfn.XLOOKUP(Sheet3!B634,Sheet1!A:A,Sheet1!E:E)</f>
        <v>3</v>
      </c>
      <c r="G634">
        <f>_xlfn.XLOOKUP(B634,Sheet1!A:A,Sheet1!F:F)</f>
        <v>7</v>
      </c>
      <c r="H634" t="str" cm="1">
        <f t="array" aca="1" ref="H634" ca="1">INDEX(Sheet1!$G$2:$G$3, RANDBETWEEN(1, ROWS(Sheet1!$G$2:$G$3)))</f>
        <v>No</v>
      </c>
    </row>
    <row r="635" spans="1:8" x14ac:dyDescent="0.3">
      <c r="A635" s="2" t="str" cm="1">
        <f t="array" aca="1" ref="A635" ca="1">INDEX(Sheet1!$A$2:$A$46, RANDBETWEEN(1,ROWS(Sheet1!$A$2:$A$46)))</f>
        <v>B002</v>
      </c>
      <c r="B635" s="2" t="s">
        <v>90</v>
      </c>
      <c r="C635" t="str">
        <f>_xlfn.XLOOKUP(B635, Sheet1!A:A, Sheet1!B:B)</f>
        <v>mini brownies</v>
      </c>
      <c r="D635">
        <f>_xlfn.XLOOKUP(B635,Sheet1!A:A,Sheet1!C:C)</f>
        <v>12</v>
      </c>
      <c r="E635">
        <f>_xlfn.XLOOKUP(B635,Sheet1!A:A,Sheet1!D:D)</f>
        <v>4.5</v>
      </c>
      <c r="F635">
        <f>_xlfn.XLOOKUP(Sheet3!B635,Sheet1!A:A,Sheet1!E:E)</f>
        <v>4</v>
      </c>
      <c r="G635">
        <f>_xlfn.XLOOKUP(B635,Sheet1!A:A,Sheet1!F:F)</f>
        <v>14</v>
      </c>
      <c r="H635" cm="1">
        <f t="array" aca="1" ref="H635" ca="1">INDEX(Sheet1!$G$2:$G$3, RANDBETWEEN(1, ROWS(Sheet1!$G$2:$G$3)))</f>
        <v>0</v>
      </c>
    </row>
    <row r="636" spans="1:8" x14ac:dyDescent="0.3">
      <c r="A636" s="2" t="str" cm="1">
        <f t="array" aca="1" ref="A636" ca="1">INDEX(Sheet1!$A$2:$A$46, RANDBETWEEN(1,ROWS(Sheet1!$A$2:$A$46)))</f>
        <v>B031</v>
      </c>
      <c r="B636" s="2" t="s">
        <v>71</v>
      </c>
      <c r="C636" t="str">
        <f>_xlfn.XLOOKUP(B636, Sheet1!A:A, Sheet1!B:B)</f>
        <v>blueberry pie</v>
      </c>
      <c r="D636">
        <f>_xlfn.XLOOKUP(B636,Sheet1!A:A,Sheet1!C:C)</f>
        <v>6</v>
      </c>
      <c r="E636">
        <f>_xlfn.XLOOKUP(B636,Sheet1!A:A,Sheet1!D:D)</f>
        <v>4</v>
      </c>
      <c r="F636">
        <f>_xlfn.XLOOKUP(Sheet3!B636,Sheet1!A:A,Sheet1!E:E)</f>
        <v>3</v>
      </c>
      <c r="G636">
        <f>_xlfn.XLOOKUP(B636,Sheet1!A:A,Sheet1!F:F)</f>
        <v>7</v>
      </c>
      <c r="H636" t="str" cm="1">
        <f t="array" aca="1" ref="H636" ca="1">INDEX(Sheet1!$G$2:$G$3, RANDBETWEEN(1, ROWS(Sheet1!$G$2:$G$3)))</f>
        <v>No</v>
      </c>
    </row>
    <row r="637" spans="1:8" x14ac:dyDescent="0.3">
      <c r="A637" s="2" t="str" cm="1">
        <f t="array" aca="1" ref="A637" ca="1">INDEX(Sheet1!$A$2:$A$46, RANDBETWEEN(1,ROWS(Sheet1!$A$2:$A$46)))</f>
        <v>B013</v>
      </c>
      <c r="B637" s="2" t="s">
        <v>20</v>
      </c>
      <c r="C637" t="str">
        <f>_xlfn.XLOOKUP(B637, Sheet1!A:A, Sheet1!B:B)</f>
        <v>banana nut muffins</v>
      </c>
      <c r="D637">
        <f>_xlfn.XLOOKUP(B637,Sheet1!A:A,Sheet1!C:C)</f>
        <v>10</v>
      </c>
      <c r="E637">
        <f>_xlfn.XLOOKUP(B637,Sheet1!A:A,Sheet1!D:D)</f>
        <v>4.5</v>
      </c>
      <c r="F637">
        <f>_xlfn.XLOOKUP(Sheet3!B637,Sheet1!A:A,Sheet1!E:E)</f>
        <v>4</v>
      </c>
      <c r="G637">
        <f>_xlfn.XLOOKUP(B637,Sheet1!A:A,Sheet1!F:F)</f>
        <v>10</v>
      </c>
      <c r="H637" t="str" cm="1">
        <f t="array" aca="1" ref="H637" ca="1">INDEX(Sheet1!$G$2:$G$3, RANDBETWEEN(1, ROWS(Sheet1!$G$2:$G$3)))</f>
        <v>No</v>
      </c>
    </row>
    <row r="638" spans="1:8" x14ac:dyDescent="0.3">
      <c r="A638" s="2" t="str" cm="1">
        <f t="array" aca="1" ref="A638" ca="1">INDEX(Sheet1!$A$2:$A$46, RANDBETWEEN(1,ROWS(Sheet1!$A$2:$A$46)))</f>
        <v>B021</v>
      </c>
      <c r="B638" s="2" t="s">
        <v>59</v>
      </c>
      <c r="C638" t="str">
        <f>_xlfn.XLOOKUP(B638, Sheet1!A:A, Sheet1!B:B)</f>
        <v>iced lemon sliced loaf cake</v>
      </c>
      <c r="D638">
        <f>_xlfn.XLOOKUP(B638,Sheet1!A:A,Sheet1!C:C)</f>
        <v>10</v>
      </c>
      <c r="E638">
        <f>_xlfn.XLOOKUP(B638,Sheet1!A:A,Sheet1!D:D)</f>
        <v>4</v>
      </c>
      <c r="F638">
        <f>_xlfn.XLOOKUP(Sheet3!B638,Sheet1!A:A,Sheet1!E:E)</f>
        <v>3.5</v>
      </c>
      <c r="G638">
        <f>_xlfn.XLOOKUP(B638,Sheet1!A:A,Sheet1!F:F)</f>
        <v>10</v>
      </c>
      <c r="H638" t="str" cm="1">
        <f t="array" aca="1" ref="H638" ca="1">INDEX(Sheet1!$G$2:$G$3, RANDBETWEEN(1, ROWS(Sheet1!$G$2:$G$3)))</f>
        <v>No</v>
      </c>
    </row>
    <row r="639" spans="1:8" x14ac:dyDescent="0.3">
      <c r="A639" s="2" t="str" cm="1">
        <f t="array" aca="1" ref="A639" ca="1">INDEX(Sheet1!$A$2:$A$46, RANDBETWEEN(1,ROWS(Sheet1!$A$2:$A$46)))</f>
        <v>B019</v>
      </c>
      <c r="B639" s="2" t="s">
        <v>89</v>
      </c>
      <c r="C639" t="str">
        <f>_xlfn.XLOOKUP(B639, Sheet1!A:A, Sheet1!B:B)</f>
        <v>blueberry bagels</v>
      </c>
      <c r="D639">
        <f>_xlfn.XLOOKUP(B639,Sheet1!A:A,Sheet1!C:C)</f>
        <v>8</v>
      </c>
      <c r="E639">
        <f>_xlfn.XLOOKUP(B639,Sheet1!A:A,Sheet1!D:D)</f>
        <v>3.5</v>
      </c>
      <c r="F639">
        <f>_xlfn.XLOOKUP(Sheet3!B639,Sheet1!A:A,Sheet1!E:E)</f>
        <v>3</v>
      </c>
      <c r="G639">
        <f>_xlfn.XLOOKUP(B639,Sheet1!A:A,Sheet1!F:F)</f>
        <v>8</v>
      </c>
      <c r="H639" t="str" cm="1">
        <f t="array" aca="1" ref="H639" ca="1">INDEX(Sheet1!$G$2:$G$3, RANDBETWEEN(1, ROWS(Sheet1!$G$2:$G$3)))</f>
        <v>No</v>
      </c>
    </row>
    <row r="640" spans="1:8" x14ac:dyDescent="0.3">
      <c r="A640" s="2" t="str" cm="1">
        <f t="array" aca="1" ref="A640" ca="1">INDEX(Sheet1!$A$2:$A$46, RANDBETWEEN(1,ROWS(Sheet1!$A$2:$A$46)))</f>
        <v>B019</v>
      </c>
      <c r="B640" s="2" t="s">
        <v>64</v>
      </c>
      <c r="C640" t="str">
        <f>_xlfn.XLOOKUP(B640, Sheet1!A:A, Sheet1!B:B)</f>
        <v>marble bread</v>
      </c>
      <c r="D640">
        <f>_xlfn.XLOOKUP(B640,Sheet1!A:A,Sheet1!C:C)</f>
        <v>8</v>
      </c>
      <c r="E640">
        <f>_xlfn.XLOOKUP(B640,Sheet1!A:A,Sheet1!D:D)</f>
        <v>3.5</v>
      </c>
      <c r="F640">
        <f>_xlfn.XLOOKUP(Sheet3!B640,Sheet1!A:A,Sheet1!E:E)</f>
        <v>3</v>
      </c>
      <c r="G640">
        <f>_xlfn.XLOOKUP(B640,Sheet1!A:A,Sheet1!F:F)</f>
        <v>8</v>
      </c>
      <c r="H640" cm="1">
        <f t="array" aca="1" ref="H640" ca="1">INDEX(Sheet1!$G$2:$G$3, RANDBETWEEN(1, ROWS(Sheet1!$G$2:$G$3)))</f>
        <v>0</v>
      </c>
    </row>
    <row r="641" spans="1:8" x14ac:dyDescent="0.3">
      <c r="A641" s="2" t="str" cm="1">
        <f t="array" aca="1" ref="A641" ca="1">INDEX(Sheet1!$A$2:$A$46, RANDBETWEEN(1,ROWS(Sheet1!$A$2:$A$46)))</f>
        <v>B015</v>
      </c>
      <c r="B641" s="2" t="s">
        <v>81</v>
      </c>
      <c r="C641" t="str">
        <f>_xlfn.XLOOKUP(B641, Sheet1!A:A, Sheet1!B:B)</f>
        <v>red velvet square cake</v>
      </c>
      <c r="D641">
        <f>_xlfn.XLOOKUP(B641,Sheet1!A:A,Sheet1!C:C)</f>
        <v>8</v>
      </c>
      <c r="E641">
        <f>_xlfn.XLOOKUP(B641,Sheet1!A:A,Sheet1!D:D)</f>
        <v>2.5</v>
      </c>
      <c r="F641">
        <f>_xlfn.XLOOKUP(Sheet3!B641,Sheet1!A:A,Sheet1!E:E)</f>
        <v>2</v>
      </c>
      <c r="G641">
        <f>_xlfn.XLOOKUP(B641,Sheet1!A:A,Sheet1!F:F)</f>
        <v>5</v>
      </c>
      <c r="H641" t="str" cm="1">
        <f t="array" aca="1" ref="H641" ca="1">INDEX(Sheet1!$G$2:$G$3, RANDBETWEEN(1, ROWS(Sheet1!$G$2:$G$3)))</f>
        <v>No</v>
      </c>
    </row>
    <row r="642" spans="1:8" x14ac:dyDescent="0.3">
      <c r="A642" s="2" t="str" cm="1">
        <f t="array" aca="1" ref="A642" ca="1">INDEX(Sheet1!$A$2:$A$46, RANDBETWEEN(1,ROWS(Sheet1!$A$2:$A$46)))</f>
        <v>B019</v>
      </c>
      <c r="B642" s="2" t="s">
        <v>71</v>
      </c>
      <c r="C642" t="str">
        <f>_xlfn.XLOOKUP(B642, Sheet1!A:A, Sheet1!B:B)</f>
        <v>blueberry pie</v>
      </c>
      <c r="D642">
        <f>_xlfn.XLOOKUP(B642,Sheet1!A:A,Sheet1!C:C)</f>
        <v>6</v>
      </c>
      <c r="E642">
        <f>_xlfn.XLOOKUP(B642,Sheet1!A:A,Sheet1!D:D)</f>
        <v>4</v>
      </c>
      <c r="F642">
        <f>_xlfn.XLOOKUP(Sheet3!B642,Sheet1!A:A,Sheet1!E:E)</f>
        <v>3</v>
      </c>
      <c r="G642">
        <f>_xlfn.XLOOKUP(B642,Sheet1!A:A,Sheet1!F:F)</f>
        <v>7</v>
      </c>
      <c r="H642" t="str" cm="1">
        <f t="array" aca="1" ref="H642" ca="1">INDEX(Sheet1!$G$2:$G$3, RANDBETWEEN(1, ROWS(Sheet1!$G$2:$G$3)))</f>
        <v>No</v>
      </c>
    </row>
    <row r="643" spans="1:8" x14ac:dyDescent="0.3">
      <c r="A643" s="2" t="str" cm="1">
        <f t="array" aca="1" ref="A643" ca="1">INDEX(Sheet1!$A$2:$A$46, RANDBETWEEN(1,ROWS(Sheet1!$A$2:$A$46)))</f>
        <v>B032</v>
      </c>
      <c r="B643" s="2" t="s">
        <v>23</v>
      </c>
      <c r="C643" t="str">
        <f>_xlfn.XLOOKUP(B643, Sheet1!A:A, Sheet1!B:B)</f>
        <v>cheese cake</v>
      </c>
      <c r="D643">
        <f>_xlfn.XLOOKUP(B643,Sheet1!A:A,Sheet1!C:C)</f>
        <v>9</v>
      </c>
      <c r="E643">
        <f>_xlfn.XLOOKUP(B643,Sheet1!A:A,Sheet1!D:D)</f>
        <v>6.5</v>
      </c>
      <c r="F643">
        <f>_xlfn.XLOOKUP(Sheet3!B643,Sheet1!A:A,Sheet1!E:E)</f>
        <v>5.5</v>
      </c>
      <c r="G643">
        <f>_xlfn.XLOOKUP(B643,Sheet1!A:A,Sheet1!F:F)</f>
        <v>9</v>
      </c>
      <c r="H643" t="str" cm="1">
        <f t="array" aca="1" ref="H643" ca="1">INDEX(Sheet1!$G$2:$G$3, RANDBETWEEN(1, ROWS(Sheet1!$G$2:$G$3)))</f>
        <v>No</v>
      </c>
    </row>
    <row r="644" spans="1:8" x14ac:dyDescent="0.3">
      <c r="A644" s="2" t="str" cm="1">
        <f t="array" aca="1" ref="A644" ca="1">INDEX(Sheet1!$A$2:$A$46, RANDBETWEEN(1,ROWS(Sheet1!$A$2:$A$46)))</f>
        <v>B010</v>
      </c>
      <c r="B644" s="2" t="s">
        <v>37</v>
      </c>
      <c r="C644" t="str">
        <f>_xlfn.XLOOKUP(B644, Sheet1!A:A, Sheet1!B:B)</f>
        <v>sugar cookies</v>
      </c>
      <c r="D644">
        <f>_xlfn.XLOOKUP(B644,Sheet1!A:A,Sheet1!C:C)</f>
        <v>12</v>
      </c>
      <c r="E644">
        <f>_xlfn.XLOOKUP(B644,Sheet1!A:A,Sheet1!D:D)</f>
        <v>3.5</v>
      </c>
      <c r="F644">
        <f>_xlfn.XLOOKUP(Sheet3!B644,Sheet1!A:A,Sheet1!E:E)</f>
        <v>3</v>
      </c>
      <c r="G644">
        <f>_xlfn.XLOOKUP(B644,Sheet1!A:A,Sheet1!F:F)</f>
        <v>14</v>
      </c>
      <c r="H644" cm="1">
        <f t="array" aca="1" ref="H644" ca="1">INDEX(Sheet1!$G$2:$G$3, RANDBETWEEN(1, ROWS(Sheet1!$G$2:$G$3)))</f>
        <v>0</v>
      </c>
    </row>
    <row r="645" spans="1:8" x14ac:dyDescent="0.3">
      <c r="A645" s="2" t="str" cm="1">
        <f t="array" aca="1" ref="A645" ca="1">INDEX(Sheet1!$A$2:$A$46, RANDBETWEEN(1,ROWS(Sheet1!$A$2:$A$46)))</f>
        <v>B005</v>
      </c>
      <c r="B645" s="2" t="s">
        <v>60</v>
      </c>
      <c r="C645" t="str">
        <f>_xlfn.XLOOKUP(B645, Sheet1!A:A, Sheet1!B:B)</f>
        <v>banana nut sliced loaf cake</v>
      </c>
      <c r="D645">
        <f>_xlfn.XLOOKUP(B645,Sheet1!A:A,Sheet1!C:C)</f>
        <v>10</v>
      </c>
      <c r="E645">
        <f>_xlfn.XLOOKUP(B645,Sheet1!A:A,Sheet1!D:D)</f>
        <v>4</v>
      </c>
      <c r="F645">
        <f>_xlfn.XLOOKUP(Sheet3!B645,Sheet1!A:A,Sheet1!E:E)</f>
        <v>3.5</v>
      </c>
      <c r="G645">
        <f>_xlfn.XLOOKUP(B645,Sheet1!A:A,Sheet1!F:F)</f>
        <v>10</v>
      </c>
      <c r="H645" cm="1">
        <f t="array" aca="1" ref="H645" ca="1">INDEX(Sheet1!$G$2:$G$3, RANDBETWEEN(1, ROWS(Sheet1!$G$2:$G$3)))</f>
        <v>0</v>
      </c>
    </row>
    <row r="646" spans="1:8" x14ac:dyDescent="0.3">
      <c r="A646" s="2" t="str" cm="1">
        <f t="array" aca="1" ref="A646" ca="1">INDEX(Sheet1!$A$2:$A$46, RANDBETWEEN(1,ROWS(Sheet1!$A$2:$A$46)))</f>
        <v>B045</v>
      </c>
      <c r="B646" s="2" t="s">
        <v>92</v>
      </c>
      <c r="C646" t="str">
        <f>_xlfn.XLOOKUP(B646, Sheet1!A:A, Sheet1!B:B)</f>
        <v>square brownies</v>
      </c>
      <c r="D646">
        <f>_xlfn.XLOOKUP(B646,Sheet1!A:A,Sheet1!C:C)</f>
        <v>6</v>
      </c>
      <c r="E646">
        <f>_xlfn.XLOOKUP(B646,Sheet1!A:A,Sheet1!D:D)</f>
        <v>4.5</v>
      </c>
      <c r="F646">
        <f>_xlfn.XLOOKUP(Sheet3!B646,Sheet1!A:A,Sheet1!E:E)</f>
        <v>4</v>
      </c>
      <c r="G646">
        <f>_xlfn.XLOOKUP(B646,Sheet1!A:A,Sheet1!F:F)</f>
        <v>14</v>
      </c>
      <c r="H646" cm="1">
        <f t="array" aca="1" ref="H646" ca="1">INDEX(Sheet1!$G$2:$G$3, RANDBETWEEN(1, ROWS(Sheet1!$G$2:$G$3)))</f>
        <v>0</v>
      </c>
    </row>
    <row r="647" spans="1:8" x14ac:dyDescent="0.3">
      <c r="A647" s="2" t="str" cm="1">
        <f t="array" aca="1" ref="A647" ca="1">INDEX(Sheet1!$A$2:$A$46, RANDBETWEEN(1,ROWS(Sheet1!$A$2:$A$46)))</f>
        <v>B037</v>
      </c>
      <c r="B647" s="2" t="s">
        <v>83</v>
      </c>
      <c r="C647" t="str">
        <f>_xlfn.XLOOKUP(B647, Sheet1!A:A, Sheet1!B:B)</f>
        <v>pumpkin spice muffins</v>
      </c>
      <c r="D647">
        <f>_xlfn.XLOOKUP(B647,Sheet1!A:A,Sheet1!C:C)</f>
        <v>10</v>
      </c>
      <c r="E647">
        <f>_xlfn.XLOOKUP(B647,Sheet1!A:A,Sheet1!D:D)</f>
        <v>4.5</v>
      </c>
      <c r="F647">
        <f>_xlfn.XLOOKUP(Sheet3!B647,Sheet1!A:A,Sheet1!E:E)</f>
        <v>4</v>
      </c>
      <c r="G647">
        <f>_xlfn.XLOOKUP(B647,Sheet1!A:A,Sheet1!F:F)</f>
        <v>10</v>
      </c>
      <c r="H647" t="str" cm="1">
        <f t="array" aca="1" ref="H647" ca="1">INDEX(Sheet1!$G$2:$G$3, RANDBETWEEN(1, ROWS(Sheet1!$G$2:$G$3)))</f>
        <v>No</v>
      </c>
    </row>
    <row r="648" spans="1:8" x14ac:dyDescent="0.3">
      <c r="A648" s="2" t="str" cm="1">
        <f t="array" aca="1" ref="A648" ca="1">INDEX(Sheet1!$A$2:$A$46, RANDBETWEEN(1,ROWS(Sheet1!$A$2:$A$46)))</f>
        <v>B011</v>
      </c>
      <c r="B648" s="2" t="s">
        <v>90</v>
      </c>
      <c r="C648" t="str">
        <f>_xlfn.XLOOKUP(B648, Sheet1!A:A, Sheet1!B:B)</f>
        <v>mini brownies</v>
      </c>
      <c r="D648">
        <f>_xlfn.XLOOKUP(B648,Sheet1!A:A,Sheet1!C:C)</f>
        <v>12</v>
      </c>
      <c r="E648">
        <f>_xlfn.XLOOKUP(B648,Sheet1!A:A,Sheet1!D:D)</f>
        <v>4.5</v>
      </c>
      <c r="F648">
        <f>_xlfn.XLOOKUP(Sheet3!B648,Sheet1!A:A,Sheet1!E:E)</f>
        <v>4</v>
      </c>
      <c r="G648">
        <f>_xlfn.XLOOKUP(B648,Sheet1!A:A,Sheet1!F:F)</f>
        <v>14</v>
      </c>
      <c r="H648" t="str" cm="1">
        <f t="array" aca="1" ref="H648" ca="1">INDEX(Sheet1!$G$2:$G$3, RANDBETWEEN(1, ROWS(Sheet1!$G$2:$G$3)))</f>
        <v>No</v>
      </c>
    </row>
    <row r="649" spans="1:8" x14ac:dyDescent="0.3">
      <c r="A649" s="2" t="str" cm="1">
        <f t="array" aca="1" ref="A649" ca="1">INDEX(Sheet1!$A$2:$A$46, RANDBETWEEN(1,ROWS(Sheet1!$A$2:$A$46)))</f>
        <v>B032</v>
      </c>
      <c r="B649" s="2" t="s">
        <v>69</v>
      </c>
      <c r="C649" t="str">
        <f>_xlfn.XLOOKUP(B649, Sheet1!A:A, Sheet1!B:B)</f>
        <v>coconut creme pie</v>
      </c>
      <c r="D649">
        <f>_xlfn.XLOOKUP(B649,Sheet1!A:A,Sheet1!C:C)</f>
        <v>6</v>
      </c>
      <c r="E649">
        <f>_xlfn.XLOOKUP(B649,Sheet1!A:A,Sheet1!D:D)</f>
        <v>4</v>
      </c>
      <c r="F649">
        <f>_xlfn.XLOOKUP(Sheet3!B649,Sheet1!A:A,Sheet1!E:E)</f>
        <v>3</v>
      </c>
      <c r="G649">
        <f>_xlfn.XLOOKUP(B649,Sheet1!A:A,Sheet1!F:F)</f>
        <v>7</v>
      </c>
      <c r="H649" t="str" cm="1">
        <f t="array" aca="1" ref="H649" ca="1">INDEX(Sheet1!$G$2:$G$3, RANDBETWEEN(1, ROWS(Sheet1!$G$2:$G$3)))</f>
        <v>No</v>
      </c>
    </row>
    <row r="650" spans="1:8" x14ac:dyDescent="0.3">
      <c r="A650" s="2" t="str" cm="1">
        <f t="array" aca="1" ref="A650" ca="1">INDEX(Sheet1!$A$2:$A$46, RANDBETWEEN(1,ROWS(Sheet1!$A$2:$A$46)))</f>
        <v>B029</v>
      </c>
      <c r="B650" s="2" t="s">
        <v>38</v>
      </c>
      <c r="C650" t="str">
        <f>_xlfn.XLOOKUP(B650, Sheet1!A:A, Sheet1!B:B)</f>
        <v>snickerdoodle cookies</v>
      </c>
      <c r="D650">
        <f>_xlfn.XLOOKUP(B650,Sheet1!A:A,Sheet1!C:C)</f>
        <v>12</v>
      </c>
      <c r="E650">
        <f>_xlfn.XLOOKUP(B650,Sheet1!A:A,Sheet1!D:D)</f>
        <v>3.5</v>
      </c>
      <c r="F650">
        <f>_xlfn.XLOOKUP(Sheet3!B650,Sheet1!A:A,Sheet1!E:E)</f>
        <v>3</v>
      </c>
      <c r="G650">
        <f>_xlfn.XLOOKUP(B650,Sheet1!A:A,Sheet1!F:F)</f>
        <v>14</v>
      </c>
      <c r="H650" cm="1">
        <f t="array" aca="1" ref="H650" ca="1">INDEX(Sheet1!$G$2:$G$3, RANDBETWEEN(1, ROWS(Sheet1!$G$2:$G$3)))</f>
        <v>0</v>
      </c>
    </row>
    <row r="651" spans="1:8" x14ac:dyDescent="0.3">
      <c r="A651" s="2" t="str" cm="1">
        <f t="array" aca="1" ref="A651" ca="1">INDEX(Sheet1!$A$2:$A$46, RANDBETWEEN(1,ROWS(Sheet1!$A$2:$A$46)))</f>
        <v>B036</v>
      </c>
      <c r="B651" s="2" t="s">
        <v>69</v>
      </c>
      <c r="C651" t="str">
        <f>_xlfn.XLOOKUP(B651, Sheet1!A:A, Sheet1!B:B)</f>
        <v>coconut creme pie</v>
      </c>
      <c r="D651">
        <f>_xlfn.XLOOKUP(B651,Sheet1!A:A,Sheet1!C:C)</f>
        <v>6</v>
      </c>
      <c r="E651">
        <f>_xlfn.XLOOKUP(B651,Sheet1!A:A,Sheet1!D:D)</f>
        <v>4</v>
      </c>
      <c r="F651">
        <f>_xlfn.XLOOKUP(Sheet3!B651,Sheet1!A:A,Sheet1!E:E)</f>
        <v>3</v>
      </c>
      <c r="G651">
        <f>_xlfn.XLOOKUP(B651,Sheet1!A:A,Sheet1!F:F)</f>
        <v>7</v>
      </c>
      <c r="H651" t="str" cm="1">
        <f t="array" aca="1" ref="H651" ca="1">INDEX(Sheet1!$G$2:$G$3, RANDBETWEEN(1, ROWS(Sheet1!$G$2:$G$3)))</f>
        <v>No</v>
      </c>
    </row>
    <row r="652" spans="1:8" x14ac:dyDescent="0.3">
      <c r="A652" s="2" t="str" cm="1">
        <f t="array" aca="1" ref="A652" ca="1">INDEX(Sheet1!$A$2:$A$46, RANDBETWEEN(1,ROWS(Sheet1!$A$2:$A$46)))</f>
        <v>B030</v>
      </c>
      <c r="B652" s="2" t="s">
        <v>10</v>
      </c>
      <c r="C652" t="str">
        <f>_xlfn.XLOOKUP(B652, Sheet1!A:A, Sheet1!B:B)</f>
        <v>croissant</v>
      </c>
      <c r="D652">
        <f>_xlfn.XLOOKUP(B652,Sheet1!A:A,Sheet1!C:C)</f>
        <v>10</v>
      </c>
      <c r="E652">
        <f>_xlfn.XLOOKUP(B652,Sheet1!A:A,Sheet1!D:D)</f>
        <v>5.5</v>
      </c>
      <c r="F652">
        <f>_xlfn.XLOOKUP(Sheet3!B652,Sheet1!A:A,Sheet1!E:E)</f>
        <v>4.5</v>
      </c>
      <c r="G652">
        <f>_xlfn.XLOOKUP(B652,Sheet1!A:A,Sheet1!F:F)</f>
        <v>7</v>
      </c>
      <c r="H652" t="str" cm="1">
        <f t="array" aca="1" ref="H652" ca="1">INDEX(Sheet1!$G$2:$G$3, RANDBETWEEN(1, ROWS(Sheet1!$G$2:$G$3)))</f>
        <v>No</v>
      </c>
    </row>
    <row r="653" spans="1:8" x14ac:dyDescent="0.3">
      <c r="A653" s="2" t="str" cm="1">
        <f t="array" aca="1" ref="A653" ca="1">INDEX(Sheet1!$A$2:$A$46, RANDBETWEEN(1,ROWS(Sheet1!$A$2:$A$46)))</f>
        <v>B023</v>
      </c>
      <c r="B653" s="2" t="s">
        <v>20</v>
      </c>
      <c r="C653" t="str">
        <f>_xlfn.XLOOKUP(B653, Sheet1!A:A, Sheet1!B:B)</f>
        <v>banana nut muffins</v>
      </c>
      <c r="D653">
        <f>_xlfn.XLOOKUP(B653,Sheet1!A:A,Sheet1!C:C)</f>
        <v>10</v>
      </c>
      <c r="E653">
        <f>_xlfn.XLOOKUP(B653,Sheet1!A:A,Sheet1!D:D)</f>
        <v>4.5</v>
      </c>
      <c r="F653">
        <f>_xlfn.XLOOKUP(Sheet3!B653,Sheet1!A:A,Sheet1!E:E)</f>
        <v>4</v>
      </c>
      <c r="G653">
        <f>_xlfn.XLOOKUP(B653,Sheet1!A:A,Sheet1!F:F)</f>
        <v>10</v>
      </c>
      <c r="H653" t="str" cm="1">
        <f t="array" aca="1" ref="H653" ca="1">INDEX(Sheet1!$G$2:$G$3, RANDBETWEEN(1, ROWS(Sheet1!$G$2:$G$3)))</f>
        <v>No</v>
      </c>
    </row>
    <row r="654" spans="1:8" x14ac:dyDescent="0.3">
      <c r="A654" s="2" t="str" cm="1">
        <f t="array" aca="1" ref="A654" ca="1">INDEX(Sheet1!$A$2:$A$46, RANDBETWEEN(1,ROWS(Sheet1!$A$2:$A$46)))</f>
        <v>B010</v>
      </c>
      <c r="B654" s="2" t="s">
        <v>58</v>
      </c>
      <c r="C654" t="str">
        <f>_xlfn.XLOOKUP(B654, Sheet1!A:A, Sheet1!B:B)</f>
        <v>cookies &amp; creme cupcakes</v>
      </c>
      <c r="D654">
        <f>_xlfn.XLOOKUP(B654,Sheet1!A:A,Sheet1!C:C)</f>
        <v>15</v>
      </c>
      <c r="E654">
        <f>_xlfn.XLOOKUP(B654,Sheet1!A:A,Sheet1!D:D)</f>
        <v>6</v>
      </c>
      <c r="F654">
        <f>_xlfn.XLOOKUP(Sheet3!B654,Sheet1!A:A,Sheet1!E:E)</f>
        <v>5.5</v>
      </c>
      <c r="G654">
        <f>_xlfn.XLOOKUP(B654,Sheet1!A:A,Sheet1!F:F)</f>
        <v>20</v>
      </c>
      <c r="H654" cm="1">
        <f t="array" aca="1" ref="H654" ca="1">INDEX(Sheet1!$G$2:$G$3, RANDBETWEEN(1, ROWS(Sheet1!$G$2:$G$3)))</f>
        <v>0</v>
      </c>
    </row>
    <row r="655" spans="1:8" x14ac:dyDescent="0.3">
      <c r="A655" s="2" t="str" cm="1">
        <f t="array" aca="1" ref="A655" ca="1">INDEX(Sheet1!$A$2:$A$46, RANDBETWEEN(1,ROWS(Sheet1!$A$2:$A$46)))</f>
        <v>B035</v>
      </c>
      <c r="B655" s="2" t="s">
        <v>37</v>
      </c>
      <c r="C655" t="str">
        <f>_xlfn.XLOOKUP(B655, Sheet1!A:A, Sheet1!B:B)</f>
        <v>sugar cookies</v>
      </c>
      <c r="D655">
        <f>_xlfn.XLOOKUP(B655,Sheet1!A:A,Sheet1!C:C)</f>
        <v>12</v>
      </c>
      <c r="E655">
        <f>_xlfn.XLOOKUP(B655,Sheet1!A:A,Sheet1!D:D)</f>
        <v>3.5</v>
      </c>
      <c r="F655">
        <f>_xlfn.XLOOKUP(Sheet3!B655,Sheet1!A:A,Sheet1!E:E)</f>
        <v>3</v>
      </c>
      <c r="G655">
        <f>_xlfn.XLOOKUP(B655,Sheet1!A:A,Sheet1!F:F)</f>
        <v>14</v>
      </c>
      <c r="H655" t="str" cm="1">
        <f t="array" aca="1" ref="H655" ca="1">INDEX(Sheet1!$G$2:$G$3, RANDBETWEEN(1, ROWS(Sheet1!$G$2:$G$3)))</f>
        <v>No</v>
      </c>
    </row>
    <row r="656" spans="1:8" x14ac:dyDescent="0.3">
      <c r="A656" s="2" t="str" cm="1">
        <f t="array" aca="1" ref="A656" ca="1">INDEX(Sheet1!$A$2:$A$46, RANDBETWEEN(1,ROWS(Sheet1!$A$2:$A$46)))</f>
        <v>B012</v>
      </c>
      <c r="B656" s="2" t="s">
        <v>35</v>
      </c>
      <c r="C656" t="str">
        <f>_xlfn.XLOOKUP(B656, Sheet1!A:A, Sheet1!B:B)</f>
        <v>orange pound</v>
      </c>
      <c r="D656">
        <f>_xlfn.XLOOKUP(B656,Sheet1!A:A,Sheet1!C:C)</f>
        <v>8</v>
      </c>
      <c r="E656">
        <f>_xlfn.XLOOKUP(B656,Sheet1!A:A,Sheet1!D:D)</f>
        <v>3.5</v>
      </c>
      <c r="F656">
        <f>_xlfn.XLOOKUP(Sheet3!B656,Sheet1!A:A,Sheet1!E:E)</f>
        <v>3</v>
      </c>
      <c r="G656">
        <f>_xlfn.XLOOKUP(B656,Sheet1!A:A,Sheet1!F:F)</f>
        <v>14</v>
      </c>
      <c r="H656" t="str" cm="1">
        <f t="array" aca="1" ref="H656" ca="1">INDEX(Sheet1!$G$2:$G$3, RANDBETWEEN(1, ROWS(Sheet1!$G$2:$G$3)))</f>
        <v>No</v>
      </c>
    </row>
    <row r="657" spans="1:8" x14ac:dyDescent="0.3">
      <c r="A657" s="2" t="str" cm="1">
        <f t="array" aca="1" ref="A657" ca="1">INDEX(Sheet1!$A$2:$A$46, RANDBETWEEN(1,ROWS(Sheet1!$A$2:$A$46)))</f>
        <v>B028</v>
      </c>
      <c r="B657" s="2" t="s">
        <v>59</v>
      </c>
      <c r="C657" t="str">
        <f>_xlfn.XLOOKUP(B657, Sheet1!A:A, Sheet1!B:B)</f>
        <v>iced lemon sliced loaf cake</v>
      </c>
      <c r="D657">
        <f>_xlfn.XLOOKUP(B657,Sheet1!A:A,Sheet1!C:C)</f>
        <v>10</v>
      </c>
      <c r="E657">
        <f>_xlfn.XLOOKUP(B657,Sheet1!A:A,Sheet1!D:D)</f>
        <v>4</v>
      </c>
      <c r="F657">
        <f>_xlfn.XLOOKUP(Sheet3!B657,Sheet1!A:A,Sheet1!E:E)</f>
        <v>3.5</v>
      </c>
      <c r="G657">
        <f>_xlfn.XLOOKUP(B657,Sheet1!A:A,Sheet1!F:F)</f>
        <v>10</v>
      </c>
      <c r="H657" t="str" cm="1">
        <f t="array" aca="1" ref="H657" ca="1">INDEX(Sheet1!$G$2:$G$3, RANDBETWEEN(1, ROWS(Sheet1!$G$2:$G$3)))</f>
        <v>No</v>
      </c>
    </row>
    <row r="658" spans="1:8" x14ac:dyDescent="0.3">
      <c r="A658" s="2" t="str" cm="1">
        <f t="array" aca="1" ref="A658" ca="1">INDEX(Sheet1!$A$2:$A$46, RANDBETWEEN(1,ROWS(Sheet1!$A$2:$A$46)))</f>
        <v>B030</v>
      </c>
      <c r="B658" s="2" t="s">
        <v>63</v>
      </c>
      <c r="C658" t="str">
        <f>_xlfn.XLOOKUP(B658, Sheet1!A:A, Sheet1!B:B)</f>
        <v>chocolate sliced loaf cake</v>
      </c>
      <c r="D658">
        <f>_xlfn.XLOOKUP(B658,Sheet1!A:A,Sheet1!C:C)</f>
        <v>10</v>
      </c>
      <c r="E658">
        <f>_xlfn.XLOOKUP(B658,Sheet1!A:A,Sheet1!D:D)</f>
        <v>4</v>
      </c>
      <c r="F658">
        <f>_xlfn.XLOOKUP(Sheet3!B658,Sheet1!A:A,Sheet1!E:E)</f>
        <v>3.5</v>
      </c>
      <c r="G658">
        <f>_xlfn.XLOOKUP(B658,Sheet1!A:A,Sheet1!F:F)</f>
        <v>10</v>
      </c>
      <c r="H658" t="str" cm="1">
        <f t="array" aca="1" ref="H658" ca="1">INDEX(Sheet1!$G$2:$G$3, RANDBETWEEN(1, ROWS(Sheet1!$G$2:$G$3)))</f>
        <v>No</v>
      </c>
    </row>
    <row r="659" spans="1:8" x14ac:dyDescent="0.3">
      <c r="A659" s="2" t="str" cm="1">
        <f t="array" aca="1" ref="A659" ca="1">INDEX(Sheet1!$A$2:$A$46, RANDBETWEEN(1,ROWS(Sheet1!$A$2:$A$46)))</f>
        <v>B027</v>
      </c>
      <c r="B659" s="2" t="s">
        <v>90</v>
      </c>
      <c r="C659" t="str">
        <f>_xlfn.XLOOKUP(B659, Sheet1!A:A, Sheet1!B:B)</f>
        <v>mini brownies</v>
      </c>
      <c r="D659">
        <f>_xlfn.XLOOKUP(B659,Sheet1!A:A,Sheet1!C:C)</f>
        <v>12</v>
      </c>
      <c r="E659">
        <f>_xlfn.XLOOKUP(B659,Sheet1!A:A,Sheet1!D:D)</f>
        <v>4.5</v>
      </c>
      <c r="F659">
        <f>_xlfn.XLOOKUP(Sheet3!B659,Sheet1!A:A,Sheet1!E:E)</f>
        <v>4</v>
      </c>
      <c r="G659">
        <f>_xlfn.XLOOKUP(B659,Sheet1!A:A,Sheet1!F:F)</f>
        <v>14</v>
      </c>
      <c r="H659" t="str" cm="1">
        <f t="array" aca="1" ref="H659" ca="1">INDEX(Sheet1!$G$2:$G$3, RANDBETWEEN(1, ROWS(Sheet1!$G$2:$G$3)))</f>
        <v>No</v>
      </c>
    </row>
    <row r="660" spans="1:8" x14ac:dyDescent="0.3">
      <c r="A660" s="2" t="str" cm="1">
        <f t="array" aca="1" ref="A660" ca="1">INDEX(Sheet1!$A$2:$A$46, RANDBETWEEN(1,ROWS(Sheet1!$A$2:$A$46)))</f>
        <v>B001</v>
      </c>
      <c r="B660" s="2" t="s">
        <v>81</v>
      </c>
      <c r="C660" t="str">
        <f>_xlfn.XLOOKUP(B660, Sheet1!A:A, Sheet1!B:B)</f>
        <v>red velvet square cake</v>
      </c>
      <c r="D660">
        <f>_xlfn.XLOOKUP(B660,Sheet1!A:A,Sheet1!C:C)</f>
        <v>8</v>
      </c>
      <c r="E660">
        <f>_xlfn.XLOOKUP(B660,Sheet1!A:A,Sheet1!D:D)</f>
        <v>2.5</v>
      </c>
      <c r="F660">
        <f>_xlfn.XLOOKUP(Sheet3!B660,Sheet1!A:A,Sheet1!E:E)</f>
        <v>2</v>
      </c>
      <c r="G660">
        <f>_xlfn.XLOOKUP(B660,Sheet1!A:A,Sheet1!F:F)</f>
        <v>5</v>
      </c>
      <c r="H660" cm="1">
        <f t="array" aca="1" ref="H660" ca="1">INDEX(Sheet1!$G$2:$G$3, RANDBETWEEN(1, ROWS(Sheet1!$G$2:$G$3)))</f>
        <v>0</v>
      </c>
    </row>
    <row r="661" spans="1:8" x14ac:dyDescent="0.3">
      <c r="A661" s="2" t="str" cm="1">
        <f t="array" aca="1" ref="A661" ca="1">INDEX(Sheet1!$A$2:$A$46, RANDBETWEEN(1,ROWS(Sheet1!$A$2:$A$46)))</f>
        <v>B035</v>
      </c>
      <c r="B661" s="2" t="s">
        <v>23</v>
      </c>
      <c r="C661" t="str">
        <f>_xlfn.XLOOKUP(B661, Sheet1!A:A, Sheet1!B:B)</f>
        <v>cheese cake</v>
      </c>
      <c r="D661">
        <f>_xlfn.XLOOKUP(B661,Sheet1!A:A,Sheet1!C:C)</f>
        <v>9</v>
      </c>
      <c r="E661">
        <f>_xlfn.XLOOKUP(B661,Sheet1!A:A,Sheet1!D:D)</f>
        <v>6.5</v>
      </c>
      <c r="F661">
        <f>_xlfn.XLOOKUP(Sheet3!B661,Sheet1!A:A,Sheet1!E:E)</f>
        <v>5.5</v>
      </c>
      <c r="G661">
        <f>_xlfn.XLOOKUP(B661,Sheet1!A:A,Sheet1!F:F)</f>
        <v>9</v>
      </c>
      <c r="H661" t="str" cm="1">
        <f t="array" aca="1" ref="H661" ca="1">INDEX(Sheet1!$G$2:$G$3, RANDBETWEEN(1, ROWS(Sheet1!$G$2:$G$3)))</f>
        <v>No</v>
      </c>
    </row>
    <row r="662" spans="1:8" x14ac:dyDescent="0.3">
      <c r="A662" s="2" t="str" cm="1">
        <f t="array" aca="1" ref="A662" ca="1">INDEX(Sheet1!$A$2:$A$46, RANDBETWEEN(1,ROWS(Sheet1!$A$2:$A$46)))</f>
        <v>B041</v>
      </c>
      <c r="B662" s="2" t="s">
        <v>72</v>
      </c>
      <c r="C662" t="str">
        <f>_xlfn.XLOOKUP(B662, Sheet1!A:A, Sheet1!B:B)</f>
        <v>cherry pie</v>
      </c>
      <c r="D662">
        <f>_xlfn.XLOOKUP(B662,Sheet1!A:A,Sheet1!C:C)</f>
        <v>6</v>
      </c>
      <c r="E662">
        <f>_xlfn.XLOOKUP(B662,Sheet1!A:A,Sheet1!D:D)</f>
        <v>4</v>
      </c>
      <c r="F662">
        <f>_xlfn.XLOOKUP(Sheet3!B662,Sheet1!A:A,Sheet1!E:E)</f>
        <v>3</v>
      </c>
      <c r="G662">
        <f>_xlfn.XLOOKUP(B662,Sheet1!A:A,Sheet1!F:F)</f>
        <v>7</v>
      </c>
      <c r="H662" t="str" cm="1">
        <f t="array" aca="1" ref="H662" ca="1">INDEX(Sheet1!$G$2:$G$3, RANDBETWEEN(1, ROWS(Sheet1!$G$2:$G$3)))</f>
        <v>No</v>
      </c>
    </row>
    <row r="663" spans="1:8" x14ac:dyDescent="0.3">
      <c r="A663" s="2" t="str" cm="1">
        <f t="array" aca="1" ref="A663" ca="1">INDEX(Sheet1!$A$2:$A$46, RANDBETWEEN(1,ROWS(Sheet1!$A$2:$A$46)))</f>
        <v>B012</v>
      </c>
      <c r="B663" s="2" t="s">
        <v>59</v>
      </c>
      <c r="C663" t="str">
        <f>_xlfn.XLOOKUP(B663, Sheet1!A:A, Sheet1!B:B)</f>
        <v>iced lemon sliced loaf cake</v>
      </c>
      <c r="D663">
        <f>_xlfn.XLOOKUP(B663,Sheet1!A:A,Sheet1!C:C)</f>
        <v>10</v>
      </c>
      <c r="E663">
        <f>_xlfn.XLOOKUP(B663,Sheet1!A:A,Sheet1!D:D)</f>
        <v>4</v>
      </c>
      <c r="F663">
        <f>_xlfn.XLOOKUP(Sheet3!B663,Sheet1!A:A,Sheet1!E:E)</f>
        <v>3.5</v>
      </c>
      <c r="G663">
        <f>_xlfn.XLOOKUP(B663,Sheet1!A:A,Sheet1!F:F)</f>
        <v>10</v>
      </c>
      <c r="H663" t="str" cm="1">
        <f t="array" aca="1" ref="H663" ca="1">INDEX(Sheet1!$G$2:$G$3, RANDBETWEEN(1, ROWS(Sheet1!$G$2:$G$3)))</f>
        <v>No</v>
      </c>
    </row>
    <row r="664" spans="1:8" x14ac:dyDescent="0.3">
      <c r="A664" s="2" t="str" cm="1">
        <f t="array" aca="1" ref="A664" ca="1">INDEX(Sheet1!$A$2:$A$46, RANDBETWEEN(1,ROWS(Sheet1!$A$2:$A$46)))</f>
        <v>B040</v>
      </c>
      <c r="B664" s="2" t="s">
        <v>81</v>
      </c>
      <c r="C664" t="str">
        <f>_xlfn.XLOOKUP(B664, Sheet1!A:A, Sheet1!B:B)</f>
        <v>red velvet square cake</v>
      </c>
      <c r="D664">
        <f>_xlfn.XLOOKUP(B664,Sheet1!A:A,Sheet1!C:C)</f>
        <v>8</v>
      </c>
      <c r="E664">
        <f>_xlfn.XLOOKUP(B664,Sheet1!A:A,Sheet1!D:D)</f>
        <v>2.5</v>
      </c>
      <c r="F664">
        <f>_xlfn.XLOOKUP(Sheet3!B664,Sheet1!A:A,Sheet1!E:E)</f>
        <v>2</v>
      </c>
      <c r="G664">
        <f>_xlfn.XLOOKUP(B664,Sheet1!A:A,Sheet1!F:F)</f>
        <v>5</v>
      </c>
      <c r="H664" cm="1">
        <f t="array" aca="1" ref="H664" ca="1">INDEX(Sheet1!$G$2:$G$3, RANDBETWEEN(1, ROWS(Sheet1!$G$2:$G$3)))</f>
        <v>0</v>
      </c>
    </row>
    <row r="665" spans="1:8" x14ac:dyDescent="0.3">
      <c r="A665" s="2" t="str" cm="1">
        <f t="array" aca="1" ref="A665" ca="1">INDEX(Sheet1!$A$2:$A$46, RANDBETWEEN(1,ROWS(Sheet1!$A$2:$A$46)))</f>
        <v>B015</v>
      </c>
      <c r="B665" s="2" t="s">
        <v>68</v>
      </c>
      <c r="C665" t="str">
        <f>_xlfn.XLOOKUP(B665, Sheet1!A:A, Sheet1!B:B)</f>
        <v>oreja cookies</v>
      </c>
      <c r="D665">
        <f>_xlfn.XLOOKUP(B665,Sheet1!A:A,Sheet1!C:C)</f>
        <v>15</v>
      </c>
      <c r="E665">
        <f>_xlfn.XLOOKUP(B665,Sheet1!A:A,Sheet1!D:D)</f>
        <v>4</v>
      </c>
      <c r="F665">
        <f>_xlfn.XLOOKUP(Sheet3!B665,Sheet1!A:A,Sheet1!E:E)</f>
        <v>3</v>
      </c>
      <c r="G665">
        <f>_xlfn.XLOOKUP(B665,Sheet1!A:A,Sheet1!F:F)</f>
        <v>14</v>
      </c>
      <c r="H665" t="str" cm="1">
        <f t="array" aca="1" ref="H665" ca="1">INDEX(Sheet1!$G$2:$G$3, RANDBETWEEN(1, ROWS(Sheet1!$G$2:$G$3)))</f>
        <v>No</v>
      </c>
    </row>
    <row r="666" spans="1:8" x14ac:dyDescent="0.3">
      <c r="A666" s="2" t="str" cm="1">
        <f t="array" aca="1" ref="A666" ca="1">INDEX(Sheet1!$A$2:$A$46, RANDBETWEEN(1,ROWS(Sheet1!$A$2:$A$46)))</f>
        <v>B003</v>
      </c>
      <c r="B666" s="2" t="s">
        <v>89</v>
      </c>
      <c r="C666" t="str">
        <f>_xlfn.XLOOKUP(B666, Sheet1!A:A, Sheet1!B:B)</f>
        <v>blueberry bagels</v>
      </c>
      <c r="D666">
        <f>_xlfn.XLOOKUP(B666,Sheet1!A:A,Sheet1!C:C)</f>
        <v>8</v>
      </c>
      <c r="E666">
        <f>_xlfn.XLOOKUP(B666,Sheet1!A:A,Sheet1!D:D)</f>
        <v>3.5</v>
      </c>
      <c r="F666">
        <f>_xlfn.XLOOKUP(Sheet3!B666,Sheet1!A:A,Sheet1!E:E)</f>
        <v>3</v>
      </c>
      <c r="G666">
        <f>_xlfn.XLOOKUP(B666,Sheet1!A:A,Sheet1!F:F)</f>
        <v>8</v>
      </c>
      <c r="H666" cm="1">
        <f t="array" aca="1" ref="H666" ca="1">INDEX(Sheet1!$G$2:$G$3, RANDBETWEEN(1, ROWS(Sheet1!$G$2:$G$3)))</f>
        <v>0</v>
      </c>
    </row>
    <row r="667" spans="1:8" x14ac:dyDescent="0.3">
      <c r="A667" s="2" t="str" cm="1">
        <f t="array" aca="1" ref="A667" ca="1">INDEX(Sheet1!$A$2:$A$46, RANDBETWEEN(1,ROWS(Sheet1!$A$2:$A$46)))</f>
        <v>B006</v>
      </c>
      <c r="B667" s="2" t="s">
        <v>16</v>
      </c>
      <c r="C667" t="str">
        <f>_xlfn.XLOOKUP(B667, Sheet1!A:A, Sheet1!B:B)</f>
        <v>mini croissant</v>
      </c>
      <c r="D667">
        <f>_xlfn.XLOOKUP(B667,Sheet1!A:A,Sheet1!C:C)</f>
        <v>10</v>
      </c>
      <c r="E667">
        <f>_xlfn.XLOOKUP(B667,Sheet1!A:A,Sheet1!D:D)</f>
        <v>5.5</v>
      </c>
      <c r="F667">
        <f>_xlfn.XLOOKUP(Sheet3!B667,Sheet1!A:A,Sheet1!E:E)</f>
        <v>4.5</v>
      </c>
      <c r="G667">
        <f>_xlfn.XLOOKUP(B667,Sheet1!A:A,Sheet1!F:F)</f>
        <v>7</v>
      </c>
      <c r="H667" t="str" cm="1">
        <f t="array" aca="1" ref="H667" ca="1">INDEX(Sheet1!$G$2:$G$3, RANDBETWEEN(1, ROWS(Sheet1!$G$2:$G$3)))</f>
        <v>No</v>
      </c>
    </row>
    <row r="668" spans="1:8" x14ac:dyDescent="0.3">
      <c r="A668" s="2" t="str" cm="1">
        <f t="array" aca="1" ref="A668" ca="1">INDEX(Sheet1!$A$2:$A$46, RANDBETWEEN(1,ROWS(Sheet1!$A$2:$A$46)))</f>
        <v>B011</v>
      </c>
      <c r="B668" s="2" t="s">
        <v>69</v>
      </c>
      <c r="C668" t="str">
        <f>_xlfn.XLOOKUP(B668, Sheet1!A:A, Sheet1!B:B)</f>
        <v>coconut creme pie</v>
      </c>
      <c r="D668">
        <f>_xlfn.XLOOKUP(B668,Sheet1!A:A,Sheet1!C:C)</f>
        <v>6</v>
      </c>
      <c r="E668">
        <f>_xlfn.XLOOKUP(B668,Sheet1!A:A,Sheet1!D:D)</f>
        <v>4</v>
      </c>
      <c r="F668">
        <f>_xlfn.XLOOKUP(Sheet3!B668,Sheet1!A:A,Sheet1!E:E)</f>
        <v>3</v>
      </c>
      <c r="G668">
        <f>_xlfn.XLOOKUP(B668,Sheet1!A:A,Sheet1!F:F)</f>
        <v>7</v>
      </c>
      <c r="H668" t="str" cm="1">
        <f t="array" aca="1" ref="H668" ca="1">INDEX(Sheet1!$G$2:$G$3, RANDBETWEEN(1, ROWS(Sheet1!$G$2:$G$3)))</f>
        <v>No</v>
      </c>
    </row>
    <row r="669" spans="1:8" x14ac:dyDescent="0.3">
      <c r="A669" s="2" t="str" cm="1">
        <f t="array" aca="1" ref="A669" ca="1">INDEX(Sheet1!$A$2:$A$46, RANDBETWEEN(1,ROWS(Sheet1!$A$2:$A$46)))</f>
        <v>B004</v>
      </c>
      <c r="B669" s="2" t="s">
        <v>20</v>
      </c>
      <c r="C669" t="str">
        <f>_xlfn.XLOOKUP(B669, Sheet1!A:A, Sheet1!B:B)</f>
        <v>banana nut muffins</v>
      </c>
      <c r="D669">
        <f>_xlfn.XLOOKUP(B669,Sheet1!A:A,Sheet1!C:C)</f>
        <v>10</v>
      </c>
      <c r="E669">
        <f>_xlfn.XLOOKUP(B669,Sheet1!A:A,Sheet1!D:D)</f>
        <v>4.5</v>
      </c>
      <c r="F669">
        <f>_xlfn.XLOOKUP(Sheet3!B669,Sheet1!A:A,Sheet1!E:E)</f>
        <v>4</v>
      </c>
      <c r="G669">
        <f>_xlfn.XLOOKUP(B669,Sheet1!A:A,Sheet1!F:F)</f>
        <v>10</v>
      </c>
      <c r="H669" t="str" cm="1">
        <f t="array" aca="1" ref="H669" ca="1">INDEX(Sheet1!$G$2:$G$3, RANDBETWEEN(1, ROWS(Sheet1!$G$2:$G$3)))</f>
        <v>No</v>
      </c>
    </row>
    <row r="670" spans="1:8" x14ac:dyDescent="0.3">
      <c r="A670" s="2" t="str" cm="1">
        <f t="array" aca="1" ref="A670" ca="1">INDEX(Sheet1!$A$2:$A$46, RANDBETWEEN(1,ROWS(Sheet1!$A$2:$A$46)))</f>
        <v>B024</v>
      </c>
      <c r="B670" s="2" t="s">
        <v>36</v>
      </c>
      <c r="C670" t="str">
        <f>_xlfn.XLOOKUP(B670, Sheet1!A:A, Sheet1!B:B)</f>
        <v>oatmeal raisin cookies</v>
      </c>
      <c r="D670">
        <f>_xlfn.XLOOKUP(B670,Sheet1!A:A,Sheet1!C:C)</f>
        <v>12</v>
      </c>
      <c r="E670">
        <f>_xlfn.XLOOKUP(B670,Sheet1!A:A,Sheet1!D:D)</f>
        <v>3.5</v>
      </c>
      <c r="F670">
        <f>_xlfn.XLOOKUP(Sheet3!B670,Sheet1!A:A,Sheet1!E:E)</f>
        <v>3</v>
      </c>
      <c r="G670">
        <f>_xlfn.XLOOKUP(B670,Sheet1!A:A,Sheet1!F:F)</f>
        <v>14</v>
      </c>
      <c r="H670" cm="1">
        <f t="array" aca="1" ref="H670" ca="1">INDEX(Sheet1!$G$2:$G$3, RANDBETWEEN(1, ROWS(Sheet1!$G$2:$G$3)))</f>
        <v>0</v>
      </c>
    </row>
    <row r="671" spans="1:8" x14ac:dyDescent="0.3">
      <c r="A671" s="2" t="str" cm="1">
        <f t="array" aca="1" ref="A671" ca="1">INDEX(Sheet1!$A$2:$A$46, RANDBETWEEN(1,ROWS(Sheet1!$A$2:$A$46)))</f>
        <v>B021</v>
      </c>
      <c r="B671" s="2" t="s">
        <v>83</v>
      </c>
      <c r="C671" t="str">
        <f>_xlfn.XLOOKUP(B671, Sheet1!A:A, Sheet1!B:B)</f>
        <v>pumpkin spice muffins</v>
      </c>
      <c r="D671">
        <f>_xlfn.XLOOKUP(B671,Sheet1!A:A,Sheet1!C:C)</f>
        <v>10</v>
      </c>
      <c r="E671">
        <f>_xlfn.XLOOKUP(B671,Sheet1!A:A,Sheet1!D:D)</f>
        <v>4.5</v>
      </c>
      <c r="F671">
        <f>_xlfn.XLOOKUP(Sheet3!B671,Sheet1!A:A,Sheet1!E:E)</f>
        <v>4</v>
      </c>
      <c r="G671">
        <f>_xlfn.XLOOKUP(B671,Sheet1!A:A,Sheet1!F:F)</f>
        <v>10</v>
      </c>
      <c r="H671" t="str" cm="1">
        <f t="array" aca="1" ref="H671" ca="1">INDEX(Sheet1!$G$2:$G$3, RANDBETWEEN(1, ROWS(Sheet1!$G$2:$G$3)))</f>
        <v>No</v>
      </c>
    </row>
    <row r="672" spans="1:8" x14ac:dyDescent="0.3">
      <c r="A672" s="2" t="str" cm="1">
        <f t="array" aca="1" ref="A672" ca="1">INDEX(Sheet1!$A$2:$A$46, RANDBETWEEN(1,ROWS(Sheet1!$A$2:$A$46)))</f>
        <v>B019</v>
      </c>
      <c r="B672" s="2" t="s">
        <v>66</v>
      </c>
      <c r="C672" t="str">
        <f>_xlfn.XLOOKUP(B672, Sheet1!A:A, Sheet1!B:B)</f>
        <v>pumpernickel bread</v>
      </c>
      <c r="D672">
        <f>_xlfn.XLOOKUP(B672,Sheet1!A:A,Sheet1!C:C)</f>
        <v>8</v>
      </c>
      <c r="E672">
        <f>_xlfn.XLOOKUP(B672,Sheet1!A:A,Sheet1!D:D)</f>
        <v>3.5</v>
      </c>
      <c r="F672">
        <f>_xlfn.XLOOKUP(Sheet3!B672,Sheet1!A:A,Sheet1!E:E)</f>
        <v>3</v>
      </c>
      <c r="G672">
        <f>_xlfn.XLOOKUP(B672,Sheet1!A:A,Sheet1!F:F)</f>
        <v>8</v>
      </c>
      <c r="H672" t="str" cm="1">
        <f t="array" aca="1" ref="H672" ca="1">INDEX(Sheet1!$G$2:$G$3, RANDBETWEEN(1, ROWS(Sheet1!$G$2:$G$3)))</f>
        <v>No</v>
      </c>
    </row>
    <row r="673" spans="1:8" x14ac:dyDescent="0.3">
      <c r="A673" s="2" t="str" cm="1">
        <f t="array" aca="1" ref="A673" ca="1">INDEX(Sheet1!$A$2:$A$46, RANDBETWEEN(1,ROWS(Sheet1!$A$2:$A$46)))</f>
        <v>B021</v>
      </c>
      <c r="B673" s="2" t="s">
        <v>71</v>
      </c>
      <c r="C673" t="str">
        <f>_xlfn.XLOOKUP(B673, Sheet1!A:A, Sheet1!B:B)</f>
        <v>blueberry pie</v>
      </c>
      <c r="D673">
        <f>_xlfn.XLOOKUP(B673,Sheet1!A:A,Sheet1!C:C)</f>
        <v>6</v>
      </c>
      <c r="E673">
        <f>_xlfn.XLOOKUP(B673,Sheet1!A:A,Sheet1!D:D)</f>
        <v>4</v>
      </c>
      <c r="F673">
        <f>_xlfn.XLOOKUP(Sheet3!B673,Sheet1!A:A,Sheet1!E:E)</f>
        <v>3</v>
      </c>
      <c r="G673">
        <f>_xlfn.XLOOKUP(B673,Sheet1!A:A,Sheet1!F:F)</f>
        <v>7</v>
      </c>
      <c r="H673" t="str" cm="1">
        <f t="array" aca="1" ref="H673" ca="1">INDEX(Sheet1!$G$2:$G$3, RANDBETWEEN(1, ROWS(Sheet1!$G$2:$G$3)))</f>
        <v>No</v>
      </c>
    </row>
    <row r="674" spans="1:8" x14ac:dyDescent="0.3">
      <c r="A674" s="2" t="str" cm="1">
        <f t="array" aca="1" ref="A674" ca="1">INDEX(Sheet1!$A$2:$A$46, RANDBETWEEN(1,ROWS(Sheet1!$A$2:$A$46)))</f>
        <v>B043</v>
      </c>
      <c r="B674" s="2" t="s">
        <v>78</v>
      </c>
      <c r="C674" t="str">
        <f>_xlfn.XLOOKUP(B674, Sheet1!A:A, Sheet1!B:B)</f>
        <v>caramel pie</v>
      </c>
      <c r="D674">
        <f>_xlfn.XLOOKUP(B674,Sheet1!A:A,Sheet1!C:C)</f>
        <v>6</v>
      </c>
      <c r="E674">
        <f>_xlfn.XLOOKUP(B674,Sheet1!A:A,Sheet1!D:D)</f>
        <v>4</v>
      </c>
      <c r="F674">
        <f>_xlfn.XLOOKUP(Sheet3!B674,Sheet1!A:A,Sheet1!E:E)</f>
        <v>3</v>
      </c>
      <c r="G674">
        <f>_xlfn.XLOOKUP(B674,Sheet1!A:A,Sheet1!F:F)</f>
        <v>7</v>
      </c>
      <c r="H674" t="str" cm="1">
        <f t="array" aca="1" ref="H674" ca="1">INDEX(Sheet1!$G$2:$G$3, RANDBETWEEN(1, ROWS(Sheet1!$G$2:$G$3)))</f>
        <v>No</v>
      </c>
    </row>
    <row r="675" spans="1:8" x14ac:dyDescent="0.3">
      <c r="A675" s="2" t="str" cm="1">
        <f t="array" aca="1" ref="A675" ca="1">INDEX(Sheet1!$A$2:$A$46, RANDBETWEEN(1,ROWS(Sheet1!$A$2:$A$46)))</f>
        <v>B013</v>
      </c>
      <c r="B675" s="2" t="s">
        <v>22</v>
      </c>
      <c r="C675" t="str">
        <f>_xlfn.XLOOKUP(B675, Sheet1!A:A, Sheet1!B:B)</f>
        <v>chocolate chip cookies</v>
      </c>
      <c r="D675">
        <f>_xlfn.XLOOKUP(B675,Sheet1!A:A,Sheet1!C:C)</f>
        <v>12</v>
      </c>
      <c r="E675">
        <f>_xlfn.XLOOKUP(B675,Sheet1!A:A,Sheet1!D:D)</f>
        <v>3.5</v>
      </c>
      <c r="F675">
        <f>_xlfn.XLOOKUP(Sheet3!B675,Sheet1!A:A,Sheet1!E:E)</f>
        <v>3</v>
      </c>
      <c r="G675">
        <f>_xlfn.XLOOKUP(B675,Sheet1!A:A,Sheet1!F:F)</f>
        <v>14</v>
      </c>
      <c r="H675" t="str" cm="1">
        <f t="array" aca="1" ref="H675" ca="1">INDEX(Sheet1!$G$2:$G$3, RANDBETWEEN(1, ROWS(Sheet1!$G$2:$G$3)))</f>
        <v>No</v>
      </c>
    </row>
    <row r="676" spans="1:8" x14ac:dyDescent="0.3">
      <c r="A676" s="2" t="str" cm="1">
        <f t="array" aca="1" ref="A676" ca="1">INDEX(Sheet1!$A$2:$A$46, RANDBETWEEN(1,ROWS(Sheet1!$A$2:$A$46)))</f>
        <v>B013</v>
      </c>
      <c r="B676" s="2" t="s">
        <v>84</v>
      </c>
      <c r="C676" t="str">
        <f>_xlfn.XLOOKUP(B676, Sheet1!A:A, Sheet1!B:B)</f>
        <v>plain bagels</v>
      </c>
      <c r="D676">
        <f>_xlfn.XLOOKUP(B676,Sheet1!A:A,Sheet1!C:C)</f>
        <v>8</v>
      </c>
      <c r="E676">
        <f>_xlfn.XLOOKUP(B676,Sheet1!A:A,Sheet1!D:D)</f>
        <v>3.5</v>
      </c>
      <c r="F676">
        <f>_xlfn.XLOOKUP(Sheet3!B676,Sheet1!A:A,Sheet1!E:E)</f>
        <v>3</v>
      </c>
      <c r="G676">
        <f>_xlfn.XLOOKUP(B676,Sheet1!A:A,Sheet1!F:F)</f>
        <v>8</v>
      </c>
      <c r="H676" cm="1">
        <f t="array" aca="1" ref="H676" ca="1">INDEX(Sheet1!$G$2:$G$3, RANDBETWEEN(1, ROWS(Sheet1!$G$2:$G$3)))</f>
        <v>0</v>
      </c>
    </row>
    <row r="677" spans="1:8" x14ac:dyDescent="0.3">
      <c r="A677" s="2" t="str" cm="1">
        <f t="array" aca="1" ref="A677" ca="1">INDEX(Sheet1!$A$2:$A$46, RANDBETWEEN(1,ROWS(Sheet1!$A$2:$A$46)))</f>
        <v>B001</v>
      </c>
      <c r="B677" s="2" t="s">
        <v>58</v>
      </c>
      <c r="C677" t="str">
        <f>_xlfn.XLOOKUP(B677, Sheet1!A:A, Sheet1!B:B)</f>
        <v>cookies &amp; creme cupcakes</v>
      </c>
      <c r="D677">
        <f>_xlfn.XLOOKUP(B677,Sheet1!A:A,Sheet1!C:C)</f>
        <v>15</v>
      </c>
      <c r="E677">
        <f>_xlfn.XLOOKUP(B677,Sheet1!A:A,Sheet1!D:D)</f>
        <v>6</v>
      </c>
      <c r="F677">
        <f>_xlfn.XLOOKUP(Sheet3!B677,Sheet1!A:A,Sheet1!E:E)</f>
        <v>5.5</v>
      </c>
      <c r="G677">
        <f>_xlfn.XLOOKUP(B677,Sheet1!A:A,Sheet1!F:F)</f>
        <v>20</v>
      </c>
      <c r="H677" cm="1">
        <f t="array" aca="1" ref="H677" ca="1">INDEX(Sheet1!$G$2:$G$3, RANDBETWEEN(1, ROWS(Sheet1!$G$2:$G$3)))</f>
        <v>0</v>
      </c>
    </row>
    <row r="678" spans="1:8" x14ac:dyDescent="0.3">
      <c r="A678" s="2" t="str" cm="1">
        <f t="array" aca="1" ref="A678" ca="1">INDEX(Sheet1!$A$2:$A$46, RANDBETWEEN(1,ROWS(Sheet1!$A$2:$A$46)))</f>
        <v>B033</v>
      </c>
      <c r="B678" s="2" t="s">
        <v>36</v>
      </c>
      <c r="C678" t="str">
        <f>_xlfn.XLOOKUP(B678, Sheet1!A:A, Sheet1!B:B)</f>
        <v>oatmeal raisin cookies</v>
      </c>
      <c r="D678">
        <f>_xlfn.XLOOKUP(B678,Sheet1!A:A,Sheet1!C:C)</f>
        <v>12</v>
      </c>
      <c r="E678">
        <f>_xlfn.XLOOKUP(B678,Sheet1!A:A,Sheet1!D:D)</f>
        <v>3.5</v>
      </c>
      <c r="F678">
        <f>_xlfn.XLOOKUP(Sheet3!B678,Sheet1!A:A,Sheet1!E:E)</f>
        <v>3</v>
      </c>
      <c r="G678">
        <f>_xlfn.XLOOKUP(B678,Sheet1!A:A,Sheet1!F:F)</f>
        <v>14</v>
      </c>
      <c r="H678" cm="1">
        <f t="array" aca="1" ref="H678" ca="1">INDEX(Sheet1!$G$2:$G$3, RANDBETWEEN(1, ROWS(Sheet1!$G$2:$G$3)))</f>
        <v>0</v>
      </c>
    </row>
    <row r="679" spans="1:8" x14ac:dyDescent="0.3">
      <c r="A679" s="2" t="str" cm="1">
        <f t="array" aca="1" ref="A679" ca="1">INDEX(Sheet1!$A$2:$A$46, RANDBETWEEN(1,ROWS(Sheet1!$A$2:$A$46)))</f>
        <v>B012</v>
      </c>
      <c r="B679" s="2" t="s">
        <v>78</v>
      </c>
      <c r="C679" t="str">
        <f>_xlfn.XLOOKUP(B679, Sheet1!A:A, Sheet1!B:B)</f>
        <v>caramel pie</v>
      </c>
      <c r="D679">
        <f>_xlfn.XLOOKUP(B679,Sheet1!A:A,Sheet1!C:C)</f>
        <v>6</v>
      </c>
      <c r="E679">
        <f>_xlfn.XLOOKUP(B679,Sheet1!A:A,Sheet1!D:D)</f>
        <v>4</v>
      </c>
      <c r="F679">
        <f>_xlfn.XLOOKUP(Sheet3!B679,Sheet1!A:A,Sheet1!E:E)</f>
        <v>3</v>
      </c>
      <c r="G679">
        <f>_xlfn.XLOOKUP(B679,Sheet1!A:A,Sheet1!F:F)</f>
        <v>7</v>
      </c>
      <c r="H679" cm="1">
        <f t="array" aca="1" ref="H679" ca="1">INDEX(Sheet1!$G$2:$G$3, RANDBETWEEN(1, ROWS(Sheet1!$G$2:$G$3)))</f>
        <v>0</v>
      </c>
    </row>
    <row r="680" spans="1:8" x14ac:dyDescent="0.3">
      <c r="A680" s="2" t="str" cm="1">
        <f t="array" aca="1" ref="A680" ca="1">INDEX(Sheet1!$A$2:$A$46, RANDBETWEEN(1,ROWS(Sheet1!$A$2:$A$46)))</f>
        <v>B033</v>
      </c>
      <c r="B680" s="2" t="s">
        <v>70</v>
      </c>
      <c r="C680" t="str">
        <f>_xlfn.XLOOKUP(B680, Sheet1!A:A, Sheet1!B:B)</f>
        <v>pumpkin pie</v>
      </c>
      <c r="D680">
        <f>_xlfn.XLOOKUP(B680,Sheet1!A:A,Sheet1!C:C)</f>
        <v>6</v>
      </c>
      <c r="E680">
        <f>_xlfn.XLOOKUP(B680,Sheet1!A:A,Sheet1!D:D)</f>
        <v>4</v>
      </c>
      <c r="F680">
        <f>_xlfn.XLOOKUP(Sheet3!B680,Sheet1!A:A,Sheet1!E:E)</f>
        <v>3</v>
      </c>
      <c r="G680">
        <f>_xlfn.XLOOKUP(B680,Sheet1!A:A,Sheet1!F:F)</f>
        <v>7</v>
      </c>
      <c r="H680" t="str" cm="1">
        <f t="array" aca="1" ref="H680" ca="1">INDEX(Sheet1!$G$2:$G$3, RANDBETWEEN(1, ROWS(Sheet1!$G$2:$G$3)))</f>
        <v>No</v>
      </c>
    </row>
    <row r="681" spans="1:8" x14ac:dyDescent="0.3">
      <c r="A681" s="2" t="str" cm="1">
        <f t="array" aca="1" ref="A681" ca="1">INDEX(Sheet1!$A$2:$A$46, RANDBETWEEN(1,ROWS(Sheet1!$A$2:$A$46)))</f>
        <v>B040</v>
      </c>
      <c r="B681" s="2" t="s">
        <v>34</v>
      </c>
      <c r="C681" t="str">
        <f>_xlfn.XLOOKUP(B681, Sheet1!A:A, Sheet1!B:B)</f>
        <v>almond croissant</v>
      </c>
      <c r="D681">
        <f>_xlfn.XLOOKUP(B681,Sheet1!A:A,Sheet1!C:C)</f>
        <v>6</v>
      </c>
      <c r="E681">
        <f>_xlfn.XLOOKUP(B681,Sheet1!A:A,Sheet1!D:D)</f>
        <v>3.5</v>
      </c>
      <c r="F681">
        <f>_xlfn.XLOOKUP(Sheet3!B681,Sheet1!A:A,Sheet1!E:E)</f>
        <v>3</v>
      </c>
      <c r="G681">
        <f>_xlfn.XLOOKUP(B681,Sheet1!A:A,Sheet1!F:F)</f>
        <v>10</v>
      </c>
      <c r="H681" t="str" cm="1">
        <f t="array" aca="1" ref="H681" ca="1">INDEX(Sheet1!$G$2:$G$3, RANDBETWEEN(1, ROWS(Sheet1!$G$2:$G$3)))</f>
        <v>No</v>
      </c>
    </row>
    <row r="682" spans="1:8" x14ac:dyDescent="0.3">
      <c r="A682" s="2" t="str" cm="1">
        <f t="array" aca="1" ref="A682" ca="1">INDEX(Sheet1!$A$2:$A$46, RANDBETWEEN(1,ROWS(Sheet1!$A$2:$A$46)))</f>
        <v>B002</v>
      </c>
      <c r="B682" s="2" t="s">
        <v>84</v>
      </c>
      <c r="C682" t="str">
        <f>_xlfn.XLOOKUP(B682, Sheet1!A:A, Sheet1!B:B)</f>
        <v>plain bagels</v>
      </c>
      <c r="D682">
        <f>_xlfn.XLOOKUP(B682,Sheet1!A:A,Sheet1!C:C)</f>
        <v>8</v>
      </c>
      <c r="E682">
        <f>_xlfn.XLOOKUP(B682,Sheet1!A:A,Sheet1!D:D)</f>
        <v>3.5</v>
      </c>
      <c r="F682">
        <f>_xlfn.XLOOKUP(Sheet3!B682,Sheet1!A:A,Sheet1!E:E)</f>
        <v>3</v>
      </c>
      <c r="G682">
        <f>_xlfn.XLOOKUP(B682,Sheet1!A:A,Sheet1!F:F)</f>
        <v>8</v>
      </c>
      <c r="H682" cm="1">
        <f t="array" aca="1" ref="H682" ca="1">INDEX(Sheet1!$G$2:$G$3, RANDBETWEEN(1, ROWS(Sheet1!$G$2:$G$3)))</f>
        <v>0</v>
      </c>
    </row>
    <row r="683" spans="1:8" x14ac:dyDescent="0.3">
      <c r="A683" s="2" t="str" cm="1">
        <f t="array" aca="1" ref="A683" ca="1">INDEX(Sheet1!$A$2:$A$46, RANDBETWEEN(1,ROWS(Sheet1!$A$2:$A$46)))</f>
        <v>B014</v>
      </c>
      <c r="B683" s="2" t="s">
        <v>21</v>
      </c>
      <c r="C683" t="str">
        <f>_xlfn.XLOOKUP(B683, Sheet1!A:A, Sheet1!B:B)</f>
        <v>butter cake</v>
      </c>
      <c r="D683">
        <f>_xlfn.XLOOKUP(B683,Sheet1!A:A,Sheet1!C:C)</f>
        <v>8</v>
      </c>
      <c r="E683">
        <f>_xlfn.XLOOKUP(B683,Sheet1!A:A,Sheet1!D:D)</f>
        <v>4</v>
      </c>
      <c r="F683">
        <f>_xlfn.XLOOKUP(Sheet3!B683,Sheet1!A:A,Sheet1!E:E)</f>
        <v>3</v>
      </c>
      <c r="G683">
        <f>_xlfn.XLOOKUP(B683,Sheet1!A:A,Sheet1!F:F)</f>
        <v>14</v>
      </c>
      <c r="H683" cm="1">
        <f t="array" aca="1" ref="H683" ca="1">INDEX(Sheet1!$G$2:$G$3, RANDBETWEEN(1, ROWS(Sheet1!$G$2:$G$3)))</f>
        <v>0</v>
      </c>
    </row>
    <row r="684" spans="1:8" x14ac:dyDescent="0.3">
      <c r="A684" s="2" t="str" cm="1">
        <f t="array" aca="1" ref="A684" ca="1">INDEX(Sheet1!$A$2:$A$46, RANDBETWEEN(1,ROWS(Sheet1!$A$2:$A$46)))</f>
        <v>B026</v>
      </c>
      <c r="B684" s="2" t="s">
        <v>38</v>
      </c>
      <c r="C684" t="str">
        <f>_xlfn.XLOOKUP(B684, Sheet1!A:A, Sheet1!B:B)</f>
        <v>snickerdoodle cookies</v>
      </c>
      <c r="D684">
        <f>_xlfn.XLOOKUP(B684,Sheet1!A:A,Sheet1!C:C)</f>
        <v>12</v>
      </c>
      <c r="E684">
        <f>_xlfn.XLOOKUP(B684,Sheet1!A:A,Sheet1!D:D)</f>
        <v>3.5</v>
      </c>
      <c r="F684">
        <f>_xlfn.XLOOKUP(Sheet3!B684,Sheet1!A:A,Sheet1!E:E)</f>
        <v>3</v>
      </c>
      <c r="G684">
        <f>_xlfn.XLOOKUP(B684,Sheet1!A:A,Sheet1!F:F)</f>
        <v>14</v>
      </c>
      <c r="H684" t="str" cm="1">
        <f t="array" aca="1" ref="H684" ca="1">INDEX(Sheet1!$G$2:$G$3, RANDBETWEEN(1, ROWS(Sheet1!$G$2:$G$3)))</f>
        <v>No</v>
      </c>
    </row>
    <row r="685" spans="1:8" x14ac:dyDescent="0.3">
      <c r="A685" s="2" t="str" cm="1">
        <f t="array" aca="1" ref="A685" ca="1">INDEX(Sheet1!$A$2:$A$46, RANDBETWEEN(1,ROWS(Sheet1!$A$2:$A$46)))</f>
        <v>B009</v>
      </c>
      <c r="B685" s="2" t="s">
        <v>10</v>
      </c>
      <c r="C685" t="str">
        <f>_xlfn.XLOOKUP(B685, Sheet1!A:A, Sheet1!B:B)</f>
        <v>croissant</v>
      </c>
      <c r="D685">
        <f>_xlfn.XLOOKUP(B685,Sheet1!A:A,Sheet1!C:C)</f>
        <v>10</v>
      </c>
      <c r="E685">
        <f>_xlfn.XLOOKUP(B685,Sheet1!A:A,Sheet1!D:D)</f>
        <v>5.5</v>
      </c>
      <c r="F685">
        <f>_xlfn.XLOOKUP(Sheet3!B685,Sheet1!A:A,Sheet1!E:E)</f>
        <v>4.5</v>
      </c>
      <c r="G685">
        <f>_xlfn.XLOOKUP(B685,Sheet1!A:A,Sheet1!F:F)</f>
        <v>7</v>
      </c>
      <c r="H685" t="str" cm="1">
        <f t="array" aca="1" ref="H685" ca="1">INDEX(Sheet1!$G$2:$G$3, RANDBETWEEN(1, ROWS(Sheet1!$G$2:$G$3)))</f>
        <v>No</v>
      </c>
    </row>
    <row r="686" spans="1:8" x14ac:dyDescent="0.3">
      <c r="A686" s="2" t="str" cm="1">
        <f t="array" aca="1" ref="A686" ca="1">INDEX(Sheet1!$A$2:$A$46, RANDBETWEEN(1,ROWS(Sheet1!$A$2:$A$46)))</f>
        <v>B027</v>
      </c>
      <c r="B686" s="2" t="s">
        <v>21</v>
      </c>
      <c r="C686" t="str">
        <f>_xlfn.XLOOKUP(B686, Sheet1!A:A, Sheet1!B:B)</f>
        <v>butter cake</v>
      </c>
      <c r="D686">
        <f>_xlfn.XLOOKUP(B686,Sheet1!A:A,Sheet1!C:C)</f>
        <v>8</v>
      </c>
      <c r="E686">
        <f>_xlfn.XLOOKUP(B686,Sheet1!A:A,Sheet1!D:D)</f>
        <v>4</v>
      </c>
      <c r="F686">
        <f>_xlfn.XLOOKUP(Sheet3!B686,Sheet1!A:A,Sheet1!E:E)</f>
        <v>3</v>
      </c>
      <c r="G686">
        <f>_xlfn.XLOOKUP(B686,Sheet1!A:A,Sheet1!F:F)</f>
        <v>14</v>
      </c>
      <c r="H686" cm="1">
        <f t="array" aca="1" ref="H686" ca="1">INDEX(Sheet1!$G$2:$G$3, RANDBETWEEN(1, ROWS(Sheet1!$G$2:$G$3)))</f>
        <v>0</v>
      </c>
    </row>
    <row r="687" spans="1:8" x14ac:dyDescent="0.3">
      <c r="A687" s="2" t="str" cm="1">
        <f t="array" aca="1" ref="A687" ca="1">INDEX(Sheet1!$A$2:$A$46, RANDBETWEEN(1,ROWS(Sheet1!$A$2:$A$46)))</f>
        <v>B022</v>
      </c>
      <c r="B687" s="2" t="s">
        <v>24</v>
      </c>
      <c r="C687" t="str">
        <f>_xlfn.XLOOKUP(B687, Sheet1!A:A, Sheet1!B:B)</f>
        <v>tiramisu</v>
      </c>
      <c r="D687">
        <f>_xlfn.XLOOKUP(B687,Sheet1!A:A,Sheet1!C:C)</f>
        <v>8</v>
      </c>
      <c r="E687">
        <f>_xlfn.XLOOKUP(B687,Sheet1!A:A,Sheet1!D:D)</f>
        <v>7.5</v>
      </c>
      <c r="F687">
        <f>_xlfn.XLOOKUP(Sheet3!B687,Sheet1!A:A,Sheet1!E:E)</f>
        <v>5.5</v>
      </c>
      <c r="G687">
        <f>_xlfn.XLOOKUP(B687,Sheet1!A:A,Sheet1!F:F)</f>
        <v>7</v>
      </c>
      <c r="H687" t="str" cm="1">
        <f t="array" aca="1" ref="H687" ca="1">INDEX(Sheet1!$G$2:$G$3, RANDBETWEEN(1, ROWS(Sheet1!$G$2:$G$3)))</f>
        <v>No</v>
      </c>
    </row>
    <row r="688" spans="1:8" x14ac:dyDescent="0.3">
      <c r="A688" s="2" t="str" cm="1">
        <f t="array" aca="1" ref="A688" ca="1">INDEX(Sheet1!$A$2:$A$46, RANDBETWEEN(1,ROWS(Sheet1!$A$2:$A$46)))</f>
        <v>B004</v>
      </c>
      <c r="B688" s="2" t="s">
        <v>64</v>
      </c>
      <c r="C688" t="str">
        <f>_xlfn.XLOOKUP(B688, Sheet1!A:A, Sheet1!B:B)</f>
        <v>marble bread</v>
      </c>
      <c r="D688">
        <f>_xlfn.XLOOKUP(B688,Sheet1!A:A,Sheet1!C:C)</f>
        <v>8</v>
      </c>
      <c r="E688">
        <f>_xlfn.XLOOKUP(B688,Sheet1!A:A,Sheet1!D:D)</f>
        <v>3.5</v>
      </c>
      <c r="F688">
        <f>_xlfn.XLOOKUP(Sheet3!B688,Sheet1!A:A,Sheet1!E:E)</f>
        <v>3</v>
      </c>
      <c r="G688">
        <f>_xlfn.XLOOKUP(B688,Sheet1!A:A,Sheet1!F:F)</f>
        <v>8</v>
      </c>
      <c r="H688" cm="1">
        <f t="array" aca="1" ref="H688" ca="1">INDEX(Sheet1!$G$2:$G$3, RANDBETWEEN(1, ROWS(Sheet1!$G$2:$G$3)))</f>
        <v>0</v>
      </c>
    </row>
    <row r="689" spans="1:8" x14ac:dyDescent="0.3">
      <c r="A689" s="2" t="str" cm="1">
        <f t="array" aca="1" ref="A689" ca="1">INDEX(Sheet1!$A$2:$A$46, RANDBETWEEN(1,ROWS(Sheet1!$A$2:$A$46)))</f>
        <v>B036</v>
      </c>
      <c r="B689" s="2" t="s">
        <v>24</v>
      </c>
      <c r="C689" t="str">
        <f>_xlfn.XLOOKUP(B689, Sheet1!A:A, Sheet1!B:B)</f>
        <v>tiramisu</v>
      </c>
      <c r="D689">
        <f>_xlfn.XLOOKUP(B689,Sheet1!A:A,Sheet1!C:C)</f>
        <v>8</v>
      </c>
      <c r="E689">
        <f>_xlfn.XLOOKUP(B689,Sheet1!A:A,Sheet1!D:D)</f>
        <v>7.5</v>
      </c>
      <c r="F689">
        <f>_xlfn.XLOOKUP(Sheet3!B689,Sheet1!A:A,Sheet1!E:E)</f>
        <v>5.5</v>
      </c>
      <c r="G689">
        <f>_xlfn.XLOOKUP(B689,Sheet1!A:A,Sheet1!F:F)</f>
        <v>7</v>
      </c>
      <c r="H689" t="str" cm="1">
        <f t="array" aca="1" ref="H689" ca="1">INDEX(Sheet1!$G$2:$G$3, RANDBETWEEN(1, ROWS(Sheet1!$G$2:$G$3)))</f>
        <v>No</v>
      </c>
    </row>
    <row r="690" spans="1:8" x14ac:dyDescent="0.3">
      <c r="A690" s="2" t="str" cm="1">
        <f t="array" aca="1" ref="A690" ca="1">INDEX(Sheet1!$A$2:$A$46, RANDBETWEEN(1,ROWS(Sheet1!$A$2:$A$46)))</f>
        <v>B032</v>
      </c>
      <c r="B690" s="2" t="s">
        <v>22</v>
      </c>
      <c r="C690" t="str">
        <f>_xlfn.XLOOKUP(B690, Sheet1!A:A, Sheet1!B:B)</f>
        <v>chocolate chip cookies</v>
      </c>
      <c r="D690">
        <f>_xlfn.XLOOKUP(B690,Sheet1!A:A,Sheet1!C:C)</f>
        <v>12</v>
      </c>
      <c r="E690">
        <f>_xlfn.XLOOKUP(B690,Sheet1!A:A,Sheet1!D:D)</f>
        <v>3.5</v>
      </c>
      <c r="F690">
        <f>_xlfn.XLOOKUP(Sheet3!B690,Sheet1!A:A,Sheet1!E:E)</f>
        <v>3</v>
      </c>
      <c r="G690">
        <f>_xlfn.XLOOKUP(B690,Sheet1!A:A,Sheet1!F:F)</f>
        <v>14</v>
      </c>
      <c r="H690" t="str" cm="1">
        <f t="array" aca="1" ref="H690" ca="1">INDEX(Sheet1!$G$2:$G$3, RANDBETWEEN(1, ROWS(Sheet1!$G$2:$G$3)))</f>
        <v>No</v>
      </c>
    </row>
    <row r="691" spans="1:8" x14ac:dyDescent="0.3">
      <c r="A691" s="2" t="str" cm="1">
        <f t="array" aca="1" ref="A691" ca="1">INDEX(Sheet1!$A$2:$A$46, RANDBETWEEN(1,ROWS(Sheet1!$A$2:$A$46)))</f>
        <v>B002</v>
      </c>
      <c r="B691" s="2" t="s">
        <v>78</v>
      </c>
      <c r="C691" t="str">
        <f>_xlfn.XLOOKUP(B691, Sheet1!A:A, Sheet1!B:B)</f>
        <v>caramel pie</v>
      </c>
      <c r="D691">
        <f>_xlfn.XLOOKUP(B691,Sheet1!A:A,Sheet1!C:C)</f>
        <v>6</v>
      </c>
      <c r="E691">
        <f>_xlfn.XLOOKUP(B691,Sheet1!A:A,Sheet1!D:D)</f>
        <v>4</v>
      </c>
      <c r="F691">
        <f>_xlfn.XLOOKUP(Sheet3!B691,Sheet1!A:A,Sheet1!E:E)</f>
        <v>3</v>
      </c>
      <c r="G691">
        <f>_xlfn.XLOOKUP(B691,Sheet1!A:A,Sheet1!F:F)</f>
        <v>7</v>
      </c>
      <c r="H691" t="str" cm="1">
        <f t="array" aca="1" ref="H691" ca="1">INDEX(Sheet1!$G$2:$G$3, RANDBETWEEN(1, ROWS(Sheet1!$G$2:$G$3)))</f>
        <v>No</v>
      </c>
    </row>
    <row r="692" spans="1:8" x14ac:dyDescent="0.3">
      <c r="A692" s="2" t="str" cm="1">
        <f t="array" aca="1" ref="A692" ca="1">INDEX(Sheet1!$A$2:$A$46, RANDBETWEEN(1,ROWS(Sheet1!$A$2:$A$46)))</f>
        <v>B004</v>
      </c>
      <c r="B692" s="2" t="s">
        <v>41</v>
      </c>
      <c r="C692" t="str">
        <f>_xlfn.XLOOKUP(B692, Sheet1!A:A, Sheet1!B:B)</f>
        <v>frosted blue cookies</v>
      </c>
      <c r="D692">
        <f>_xlfn.XLOOKUP(B692,Sheet1!A:A,Sheet1!C:C)</f>
        <v>15</v>
      </c>
      <c r="E692">
        <f>_xlfn.XLOOKUP(B692,Sheet1!A:A,Sheet1!D:D)</f>
        <v>3</v>
      </c>
      <c r="F692">
        <f>_xlfn.XLOOKUP(Sheet3!B692,Sheet1!A:A,Sheet1!E:E)</f>
        <v>2.5</v>
      </c>
      <c r="G692">
        <f>_xlfn.XLOOKUP(B692,Sheet1!A:A,Sheet1!F:F)</f>
        <v>14</v>
      </c>
      <c r="H692" t="str" cm="1">
        <f t="array" aca="1" ref="H692" ca="1">INDEX(Sheet1!$G$2:$G$3, RANDBETWEEN(1, ROWS(Sheet1!$G$2:$G$3)))</f>
        <v>No</v>
      </c>
    </row>
    <row r="693" spans="1:8" x14ac:dyDescent="0.3">
      <c r="A693" s="2" t="str" cm="1">
        <f t="array" aca="1" ref="A693" ca="1">INDEX(Sheet1!$A$2:$A$46, RANDBETWEEN(1,ROWS(Sheet1!$A$2:$A$46)))</f>
        <v>B022</v>
      </c>
      <c r="B693" s="2" t="s">
        <v>55</v>
      </c>
      <c r="C693" t="str">
        <f>_xlfn.XLOOKUP(B693, Sheet1!A:A, Sheet1!B:B)</f>
        <v>cookies &amp; creme cake</v>
      </c>
      <c r="D693">
        <f>_xlfn.XLOOKUP(B693,Sheet1!A:A,Sheet1!C:C)</f>
        <v>4</v>
      </c>
      <c r="E693">
        <f>_xlfn.XLOOKUP(B693,Sheet1!A:A,Sheet1!D:D)</f>
        <v>8.5</v>
      </c>
      <c r="F693">
        <f>_xlfn.XLOOKUP(Sheet3!B693,Sheet1!A:A,Sheet1!E:E)</f>
        <v>6</v>
      </c>
      <c r="G693">
        <f>_xlfn.XLOOKUP(B693,Sheet1!A:A,Sheet1!F:F)</f>
        <v>7</v>
      </c>
      <c r="H693" cm="1">
        <f t="array" aca="1" ref="H693" ca="1">INDEX(Sheet1!$G$2:$G$3, RANDBETWEEN(1, ROWS(Sheet1!$G$2:$G$3)))</f>
        <v>0</v>
      </c>
    </row>
    <row r="694" spans="1:8" x14ac:dyDescent="0.3">
      <c r="A694" s="2" t="str" cm="1">
        <f t="array" aca="1" ref="A694" ca="1">INDEX(Sheet1!$A$2:$A$46, RANDBETWEEN(1,ROWS(Sheet1!$A$2:$A$46)))</f>
        <v>B045</v>
      </c>
      <c r="B694" s="2" t="s">
        <v>79</v>
      </c>
      <c r="C694" t="str">
        <f>_xlfn.XLOOKUP(B694, Sheet1!A:A, Sheet1!B:B)</f>
        <v>chocolate square cake</v>
      </c>
      <c r="D694">
        <f>_xlfn.XLOOKUP(B694,Sheet1!A:A,Sheet1!C:C)</f>
        <v>8</v>
      </c>
      <c r="E694">
        <f>_xlfn.XLOOKUP(B694,Sheet1!A:A,Sheet1!D:D)</f>
        <v>2.5</v>
      </c>
      <c r="F694">
        <f>_xlfn.XLOOKUP(Sheet3!B694,Sheet1!A:A,Sheet1!E:E)</f>
        <v>2</v>
      </c>
      <c r="G694">
        <f>_xlfn.XLOOKUP(B694,Sheet1!A:A,Sheet1!F:F)</f>
        <v>5</v>
      </c>
      <c r="H694" t="str" cm="1">
        <f t="array" aca="1" ref="H694" ca="1">INDEX(Sheet1!$G$2:$G$3, RANDBETWEEN(1, ROWS(Sheet1!$G$2:$G$3)))</f>
        <v>No</v>
      </c>
    </row>
    <row r="695" spans="1:8" x14ac:dyDescent="0.3">
      <c r="A695" s="2" t="str" cm="1">
        <f t="array" aca="1" ref="A695" ca="1">INDEX(Sheet1!$A$2:$A$46, RANDBETWEEN(1,ROWS(Sheet1!$A$2:$A$46)))</f>
        <v>B013</v>
      </c>
      <c r="B695" s="2" t="s">
        <v>38</v>
      </c>
      <c r="C695" t="str">
        <f>_xlfn.XLOOKUP(B695, Sheet1!A:A, Sheet1!B:B)</f>
        <v>snickerdoodle cookies</v>
      </c>
      <c r="D695">
        <f>_xlfn.XLOOKUP(B695,Sheet1!A:A,Sheet1!C:C)</f>
        <v>12</v>
      </c>
      <c r="E695">
        <f>_xlfn.XLOOKUP(B695,Sheet1!A:A,Sheet1!D:D)</f>
        <v>3.5</v>
      </c>
      <c r="F695">
        <f>_xlfn.XLOOKUP(Sheet3!B695,Sheet1!A:A,Sheet1!E:E)</f>
        <v>3</v>
      </c>
      <c r="G695">
        <f>_xlfn.XLOOKUP(B695,Sheet1!A:A,Sheet1!F:F)</f>
        <v>14</v>
      </c>
      <c r="H695" cm="1">
        <f t="array" aca="1" ref="H695" ca="1">INDEX(Sheet1!$G$2:$G$3, RANDBETWEEN(1, ROWS(Sheet1!$G$2:$G$3)))</f>
        <v>0</v>
      </c>
    </row>
    <row r="696" spans="1:8" x14ac:dyDescent="0.3">
      <c r="A696" s="2" t="str" cm="1">
        <f t="array" aca="1" ref="A696" ca="1">INDEX(Sheet1!$A$2:$A$46, RANDBETWEEN(1,ROWS(Sheet1!$A$2:$A$46)))</f>
        <v>B036</v>
      </c>
      <c r="B696" s="2" t="s">
        <v>89</v>
      </c>
      <c r="C696" t="str">
        <f>_xlfn.XLOOKUP(B696, Sheet1!A:A, Sheet1!B:B)</f>
        <v>blueberry bagels</v>
      </c>
      <c r="D696">
        <f>_xlfn.XLOOKUP(B696,Sheet1!A:A,Sheet1!C:C)</f>
        <v>8</v>
      </c>
      <c r="E696">
        <f>_xlfn.XLOOKUP(B696,Sheet1!A:A,Sheet1!D:D)</f>
        <v>3.5</v>
      </c>
      <c r="F696">
        <f>_xlfn.XLOOKUP(Sheet3!B696,Sheet1!A:A,Sheet1!E:E)</f>
        <v>3</v>
      </c>
      <c r="G696">
        <f>_xlfn.XLOOKUP(B696,Sheet1!A:A,Sheet1!F:F)</f>
        <v>8</v>
      </c>
      <c r="H696" t="str" cm="1">
        <f t="array" aca="1" ref="H696" ca="1">INDEX(Sheet1!$G$2:$G$3, RANDBETWEEN(1, ROWS(Sheet1!$G$2:$G$3)))</f>
        <v>No</v>
      </c>
    </row>
    <row r="697" spans="1:8" x14ac:dyDescent="0.3">
      <c r="A697" s="2" t="str" cm="1">
        <f t="array" aca="1" ref="A697" ca="1">INDEX(Sheet1!$A$2:$A$46, RANDBETWEEN(1,ROWS(Sheet1!$A$2:$A$46)))</f>
        <v>B005</v>
      </c>
      <c r="B697" s="2" t="s">
        <v>71</v>
      </c>
      <c r="C697" t="str">
        <f>_xlfn.XLOOKUP(B697, Sheet1!A:A, Sheet1!B:B)</f>
        <v>blueberry pie</v>
      </c>
      <c r="D697">
        <f>_xlfn.XLOOKUP(B697,Sheet1!A:A,Sheet1!C:C)</f>
        <v>6</v>
      </c>
      <c r="E697">
        <f>_xlfn.XLOOKUP(B697,Sheet1!A:A,Sheet1!D:D)</f>
        <v>4</v>
      </c>
      <c r="F697">
        <f>_xlfn.XLOOKUP(Sheet3!B697,Sheet1!A:A,Sheet1!E:E)</f>
        <v>3</v>
      </c>
      <c r="G697">
        <f>_xlfn.XLOOKUP(B697,Sheet1!A:A,Sheet1!F:F)</f>
        <v>7</v>
      </c>
      <c r="H697" t="str" cm="1">
        <f t="array" aca="1" ref="H697" ca="1">INDEX(Sheet1!$G$2:$G$3, RANDBETWEEN(1, ROWS(Sheet1!$G$2:$G$3)))</f>
        <v>No</v>
      </c>
    </row>
    <row r="698" spans="1:8" x14ac:dyDescent="0.3">
      <c r="A698" s="2" t="str" cm="1">
        <f t="array" aca="1" ref="A698" ca="1">INDEX(Sheet1!$A$2:$A$46, RANDBETWEEN(1,ROWS(Sheet1!$A$2:$A$46)))</f>
        <v>B008</v>
      </c>
      <c r="B698" s="2" t="s">
        <v>59</v>
      </c>
      <c r="C698" t="str">
        <f>_xlfn.XLOOKUP(B698, Sheet1!A:A, Sheet1!B:B)</f>
        <v>iced lemon sliced loaf cake</v>
      </c>
      <c r="D698">
        <f>_xlfn.XLOOKUP(B698,Sheet1!A:A,Sheet1!C:C)</f>
        <v>10</v>
      </c>
      <c r="E698">
        <f>_xlfn.XLOOKUP(B698,Sheet1!A:A,Sheet1!D:D)</f>
        <v>4</v>
      </c>
      <c r="F698">
        <f>_xlfn.XLOOKUP(Sheet3!B698,Sheet1!A:A,Sheet1!E:E)</f>
        <v>3.5</v>
      </c>
      <c r="G698">
        <f>_xlfn.XLOOKUP(B698,Sheet1!A:A,Sheet1!F:F)</f>
        <v>10</v>
      </c>
      <c r="H698" cm="1">
        <f t="array" aca="1" ref="H698" ca="1">INDEX(Sheet1!$G$2:$G$3, RANDBETWEEN(1, ROWS(Sheet1!$G$2:$G$3)))</f>
        <v>0</v>
      </c>
    </row>
    <row r="699" spans="1:8" x14ac:dyDescent="0.3">
      <c r="A699" s="2" t="str" cm="1">
        <f t="array" aca="1" ref="A699" ca="1">INDEX(Sheet1!$A$2:$A$46, RANDBETWEEN(1,ROWS(Sheet1!$A$2:$A$46)))</f>
        <v>B032</v>
      </c>
      <c r="B699" s="2" t="s">
        <v>39</v>
      </c>
      <c r="C699" t="str">
        <f>_xlfn.XLOOKUP(B699, Sheet1!A:A, Sheet1!B:B)</f>
        <v>macadamia nut cookies</v>
      </c>
      <c r="D699">
        <f>_xlfn.XLOOKUP(B699,Sheet1!A:A,Sheet1!C:C)</f>
        <v>12</v>
      </c>
      <c r="E699">
        <f>_xlfn.XLOOKUP(B699,Sheet1!A:A,Sheet1!D:D)</f>
        <v>3.5</v>
      </c>
      <c r="F699">
        <f>_xlfn.XLOOKUP(Sheet3!B699,Sheet1!A:A,Sheet1!E:E)</f>
        <v>3</v>
      </c>
      <c r="G699">
        <f>_xlfn.XLOOKUP(B699,Sheet1!A:A,Sheet1!F:F)</f>
        <v>14</v>
      </c>
      <c r="H699" cm="1">
        <f t="array" aca="1" ref="H699" ca="1">INDEX(Sheet1!$G$2:$G$3, RANDBETWEEN(1, ROWS(Sheet1!$G$2:$G$3)))</f>
        <v>0</v>
      </c>
    </row>
    <row r="700" spans="1:8" x14ac:dyDescent="0.3">
      <c r="A700" s="2" t="str" cm="1">
        <f t="array" aca="1" ref="A700" ca="1">INDEX(Sheet1!$A$2:$A$46, RANDBETWEEN(1,ROWS(Sheet1!$A$2:$A$46)))</f>
        <v>B039</v>
      </c>
      <c r="B700" s="2" t="s">
        <v>34</v>
      </c>
      <c r="C700" t="str">
        <f>_xlfn.XLOOKUP(B700, Sheet1!A:A, Sheet1!B:B)</f>
        <v>almond croissant</v>
      </c>
      <c r="D700">
        <f>_xlfn.XLOOKUP(B700,Sheet1!A:A,Sheet1!C:C)</f>
        <v>6</v>
      </c>
      <c r="E700">
        <f>_xlfn.XLOOKUP(B700,Sheet1!A:A,Sheet1!D:D)</f>
        <v>3.5</v>
      </c>
      <c r="F700">
        <f>_xlfn.XLOOKUP(Sheet3!B700,Sheet1!A:A,Sheet1!E:E)</f>
        <v>3</v>
      </c>
      <c r="G700">
        <f>_xlfn.XLOOKUP(B700,Sheet1!A:A,Sheet1!F:F)</f>
        <v>10</v>
      </c>
      <c r="H700" cm="1">
        <f t="array" aca="1" ref="H700" ca="1">INDEX(Sheet1!$G$2:$G$3, RANDBETWEEN(1, ROWS(Sheet1!$G$2:$G$3)))</f>
        <v>0</v>
      </c>
    </row>
    <row r="701" spans="1:8" x14ac:dyDescent="0.3">
      <c r="A701" s="2" t="str" cm="1">
        <f t="array" aca="1" ref="A701" ca="1">INDEX(Sheet1!$A$2:$A$46, RANDBETWEEN(1,ROWS(Sheet1!$A$2:$A$46)))</f>
        <v>B001</v>
      </c>
      <c r="B701" s="2" t="s">
        <v>63</v>
      </c>
      <c r="C701" t="str">
        <f>_xlfn.XLOOKUP(B701, Sheet1!A:A, Sheet1!B:B)</f>
        <v>chocolate sliced loaf cake</v>
      </c>
      <c r="D701">
        <f>_xlfn.XLOOKUP(B701,Sheet1!A:A,Sheet1!C:C)</f>
        <v>10</v>
      </c>
      <c r="E701">
        <f>_xlfn.XLOOKUP(B701,Sheet1!A:A,Sheet1!D:D)</f>
        <v>4</v>
      </c>
      <c r="F701">
        <f>_xlfn.XLOOKUP(Sheet3!B701,Sheet1!A:A,Sheet1!E:E)</f>
        <v>3.5</v>
      </c>
      <c r="G701">
        <f>_xlfn.XLOOKUP(B701,Sheet1!A:A,Sheet1!F:F)</f>
        <v>10</v>
      </c>
      <c r="H701" t="str" cm="1">
        <f t="array" aca="1" ref="H701" ca="1">INDEX(Sheet1!$G$2:$G$3, RANDBETWEEN(1, ROWS(Sheet1!$G$2:$G$3)))</f>
        <v>No</v>
      </c>
    </row>
    <row r="702" spans="1:8" x14ac:dyDescent="0.3">
      <c r="A702" s="2" t="str" cm="1">
        <f t="array" aca="1" ref="A702" ca="1">INDEX(Sheet1!$A$2:$A$46, RANDBETWEEN(1,ROWS(Sheet1!$A$2:$A$46)))</f>
        <v>B029</v>
      </c>
      <c r="B702" s="2" t="s">
        <v>34</v>
      </c>
      <c r="C702" t="str">
        <f>_xlfn.XLOOKUP(B702, Sheet1!A:A, Sheet1!B:B)</f>
        <v>almond croissant</v>
      </c>
      <c r="D702">
        <f>_xlfn.XLOOKUP(B702,Sheet1!A:A,Sheet1!C:C)</f>
        <v>6</v>
      </c>
      <c r="E702">
        <f>_xlfn.XLOOKUP(B702,Sheet1!A:A,Sheet1!D:D)</f>
        <v>3.5</v>
      </c>
      <c r="F702">
        <f>_xlfn.XLOOKUP(Sheet3!B702,Sheet1!A:A,Sheet1!E:E)</f>
        <v>3</v>
      </c>
      <c r="G702">
        <f>_xlfn.XLOOKUP(B702,Sheet1!A:A,Sheet1!F:F)</f>
        <v>10</v>
      </c>
      <c r="H702" t="str" cm="1">
        <f t="array" aca="1" ref="H702" ca="1">INDEX(Sheet1!$G$2:$G$3, RANDBETWEEN(1, ROWS(Sheet1!$G$2:$G$3)))</f>
        <v>No</v>
      </c>
    </row>
    <row r="703" spans="1:8" x14ac:dyDescent="0.3">
      <c r="A703" s="2" t="str" cm="1">
        <f t="array" aca="1" ref="A703" ca="1">INDEX(Sheet1!$A$2:$A$46, RANDBETWEEN(1,ROWS(Sheet1!$A$2:$A$46)))</f>
        <v>B031</v>
      </c>
      <c r="B703" s="2" t="s">
        <v>59</v>
      </c>
      <c r="C703" t="str">
        <f>_xlfn.XLOOKUP(B703, Sheet1!A:A, Sheet1!B:B)</f>
        <v>iced lemon sliced loaf cake</v>
      </c>
      <c r="D703">
        <f>_xlfn.XLOOKUP(B703,Sheet1!A:A,Sheet1!C:C)</f>
        <v>10</v>
      </c>
      <c r="E703">
        <f>_xlfn.XLOOKUP(B703,Sheet1!A:A,Sheet1!D:D)</f>
        <v>4</v>
      </c>
      <c r="F703">
        <f>_xlfn.XLOOKUP(Sheet3!B703,Sheet1!A:A,Sheet1!E:E)</f>
        <v>3.5</v>
      </c>
      <c r="G703">
        <f>_xlfn.XLOOKUP(B703,Sheet1!A:A,Sheet1!F:F)</f>
        <v>10</v>
      </c>
      <c r="H703" cm="1">
        <f t="array" aca="1" ref="H703" ca="1">INDEX(Sheet1!$G$2:$G$3, RANDBETWEEN(1, ROWS(Sheet1!$G$2:$G$3)))</f>
        <v>0</v>
      </c>
    </row>
    <row r="704" spans="1:8" x14ac:dyDescent="0.3">
      <c r="A704" s="2" t="str" cm="1">
        <f t="array" aca="1" ref="A704" ca="1">INDEX(Sheet1!$A$2:$A$46, RANDBETWEEN(1,ROWS(Sheet1!$A$2:$A$46)))</f>
        <v>B005</v>
      </c>
      <c r="B704" s="2" t="s">
        <v>71</v>
      </c>
      <c r="C704" t="str">
        <f>_xlfn.XLOOKUP(B704, Sheet1!A:A, Sheet1!B:B)</f>
        <v>blueberry pie</v>
      </c>
      <c r="D704">
        <f>_xlfn.XLOOKUP(B704,Sheet1!A:A,Sheet1!C:C)</f>
        <v>6</v>
      </c>
      <c r="E704">
        <f>_xlfn.XLOOKUP(B704,Sheet1!A:A,Sheet1!D:D)</f>
        <v>4</v>
      </c>
      <c r="F704">
        <f>_xlfn.XLOOKUP(Sheet3!B704,Sheet1!A:A,Sheet1!E:E)</f>
        <v>3</v>
      </c>
      <c r="G704">
        <f>_xlfn.XLOOKUP(B704,Sheet1!A:A,Sheet1!F:F)</f>
        <v>7</v>
      </c>
      <c r="H704" t="str" cm="1">
        <f t="array" aca="1" ref="H704" ca="1">INDEX(Sheet1!$G$2:$G$3, RANDBETWEEN(1, ROWS(Sheet1!$G$2:$G$3)))</f>
        <v>No</v>
      </c>
    </row>
    <row r="705" spans="1:8" x14ac:dyDescent="0.3">
      <c r="A705" s="2" t="str" cm="1">
        <f t="array" aca="1" ref="A705" ca="1">INDEX(Sheet1!$A$2:$A$46, RANDBETWEEN(1,ROWS(Sheet1!$A$2:$A$46)))</f>
        <v>B019</v>
      </c>
      <c r="B705" s="2" t="s">
        <v>21</v>
      </c>
      <c r="C705" t="str">
        <f>_xlfn.XLOOKUP(B705, Sheet1!A:A, Sheet1!B:B)</f>
        <v>butter cake</v>
      </c>
      <c r="D705">
        <f>_xlfn.XLOOKUP(B705,Sheet1!A:A,Sheet1!C:C)</f>
        <v>8</v>
      </c>
      <c r="E705">
        <f>_xlfn.XLOOKUP(B705,Sheet1!A:A,Sheet1!D:D)</f>
        <v>4</v>
      </c>
      <c r="F705">
        <f>_xlfn.XLOOKUP(Sheet3!B705,Sheet1!A:A,Sheet1!E:E)</f>
        <v>3</v>
      </c>
      <c r="G705">
        <f>_xlfn.XLOOKUP(B705,Sheet1!A:A,Sheet1!F:F)</f>
        <v>14</v>
      </c>
      <c r="H705" t="str" cm="1">
        <f t="array" aca="1" ref="H705" ca="1">INDEX(Sheet1!$G$2:$G$3, RANDBETWEEN(1, ROWS(Sheet1!$G$2:$G$3)))</f>
        <v>No</v>
      </c>
    </row>
    <row r="706" spans="1:8" x14ac:dyDescent="0.3">
      <c r="A706" s="2" t="str" cm="1">
        <f t="array" aca="1" ref="A706" ca="1">INDEX(Sheet1!$A$2:$A$46, RANDBETWEEN(1,ROWS(Sheet1!$A$2:$A$46)))</f>
        <v>B004</v>
      </c>
      <c r="B706" s="2" t="s">
        <v>21</v>
      </c>
      <c r="C706" t="str">
        <f>_xlfn.XLOOKUP(B706, Sheet1!A:A, Sheet1!B:B)</f>
        <v>butter cake</v>
      </c>
      <c r="D706">
        <f>_xlfn.XLOOKUP(B706,Sheet1!A:A,Sheet1!C:C)</f>
        <v>8</v>
      </c>
      <c r="E706">
        <f>_xlfn.XLOOKUP(B706,Sheet1!A:A,Sheet1!D:D)</f>
        <v>4</v>
      </c>
      <c r="F706">
        <f>_xlfn.XLOOKUP(Sheet3!B706,Sheet1!A:A,Sheet1!E:E)</f>
        <v>3</v>
      </c>
      <c r="G706">
        <f>_xlfn.XLOOKUP(B706,Sheet1!A:A,Sheet1!F:F)</f>
        <v>14</v>
      </c>
      <c r="H706" cm="1">
        <f t="array" aca="1" ref="H706" ca="1">INDEX(Sheet1!$G$2:$G$3, RANDBETWEEN(1, ROWS(Sheet1!$G$2:$G$3)))</f>
        <v>0</v>
      </c>
    </row>
    <row r="707" spans="1:8" x14ac:dyDescent="0.3">
      <c r="A707" s="2" t="str" cm="1">
        <f t="array" aca="1" ref="A707" ca="1">INDEX(Sheet1!$A$2:$A$46, RANDBETWEEN(1,ROWS(Sheet1!$A$2:$A$46)))</f>
        <v>B013</v>
      </c>
      <c r="B707" s="2" t="s">
        <v>66</v>
      </c>
      <c r="C707" t="str">
        <f>_xlfn.XLOOKUP(B707, Sheet1!A:A, Sheet1!B:B)</f>
        <v>pumpernickel bread</v>
      </c>
      <c r="D707">
        <f>_xlfn.XLOOKUP(B707,Sheet1!A:A,Sheet1!C:C)</f>
        <v>8</v>
      </c>
      <c r="E707">
        <f>_xlfn.XLOOKUP(B707,Sheet1!A:A,Sheet1!D:D)</f>
        <v>3.5</v>
      </c>
      <c r="F707">
        <f>_xlfn.XLOOKUP(Sheet3!B707,Sheet1!A:A,Sheet1!E:E)</f>
        <v>3</v>
      </c>
      <c r="G707">
        <f>_xlfn.XLOOKUP(B707,Sheet1!A:A,Sheet1!F:F)</f>
        <v>8</v>
      </c>
      <c r="H707" t="str" cm="1">
        <f t="array" aca="1" ref="H707" ca="1">INDEX(Sheet1!$G$2:$G$3, RANDBETWEEN(1, ROWS(Sheet1!$G$2:$G$3)))</f>
        <v>No</v>
      </c>
    </row>
    <row r="708" spans="1:8" x14ac:dyDescent="0.3">
      <c r="A708" s="2" t="str" cm="1">
        <f t="array" aca="1" ref="A708" ca="1">INDEX(Sheet1!$A$2:$A$46, RANDBETWEEN(1,ROWS(Sheet1!$A$2:$A$46)))</f>
        <v>B042</v>
      </c>
      <c r="B708" s="2" t="s">
        <v>80</v>
      </c>
      <c r="C708" t="str">
        <f>_xlfn.XLOOKUP(B708, Sheet1!A:A, Sheet1!B:B)</f>
        <v>carrot square cake</v>
      </c>
      <c r="D708">
        <f>_xlfn.XLOOKUP(B708,Sheet1!A:A,Sheet1!C:C)</f>
        <v>8</v>
      </c>
      <c r="E708">
        <f>_xlfn.XLOOKUP(B708,Sheet1!A:A,Sheet1!D:D)</f>
        <v>2.5</v>
      </c>
      <c r="F708">
        <f>_xlfn.XLOOKUP(Sheet3!B708,Sheet1!A:A,Sheet1!E:E)</f>
        <v>2</v>
      </c>
      <c r="G708">
        <f>_xlfn.XLOOKUP(B708,Sheet1!A:A,Sheet1!F:F)</f>
        <v>5</v>
      </c>
      <c r="H708" cm="1">
        <f t="array" aca="1" ref="H708" ca="1">INDEX(Sheet1!$G$2:$G$3, RANDBETWEEN(1, ROWS(Sheet1!$G$2:$G$3)))</f>
        <v>0</v>
      </c>
    </row>
    <row r="709" spans="1:8" x14ac:dyDescent="0.3">
      <c r="A709" s="2" t="str" cm="1">
        <f t="array" aca="1" ref="A709" ca="1">INDEX(Sheet1!$A$2:$A$46, RANDBETWEEN(1,ROWS(Sheet1!$A$2:$A$46)))</f>
        <v>B019</v>
      </c>
      <c r="B709" s="2" t="s">
        <v>70</v>
      </c>
      <c r="C709" t="str">
        <f>_xlfn.XLOOKUP(B709, Sheet1!A:A, Sheet1!B:B)</f>
        <v>pumpkin pie</v>
      </c>
      <c r="D709">
        <f>_xlfn.XLOOKUP(B709,Sheet1!A:A,Sheet1!C:C)</f>
        <v>6</v>
      </c>
      <c r="E709">
        <f>_xlfn.XLOOKUP(B709,Sheet1!A:A,Sheet1!D:D)</f>
        <v>4</v>
      </c>
      <c r="F709">
        <f>_xlfn.XLOOKUP(Sheet3!B709,Sheet1!A:A,Sheet1!E:E)</f>
        <v>3</v>
      </c>
      <c r="G709">
        <f>_xlfn.XLOOKUP(B709,Sheet1!A:A,Sheet1!F:F)</f>
        <v>7</v>
      </c>
      <c r="H709" cm="1">
        <f t="array" aca="1" ref="H709" ca="1">INDEX(Sheet1!$G$2:$G$3, RANDBETWEEN(1, ROWS(Sheet1!$G$2:$G$3)))</f>
        <v>0</v>
      </c>
    </row>
    <row r="710" spans="1:8" x14ac:dyDescent="0.3">
      <c r="A710" s="2" t="str" cm="1">
        <f t="array" aca="1" ref="A710" ca="1">INDEX(Sheet1!$A$2:$A$46, RANDBETWEEN(1,ROWS(Sheet1!$A$2:$A$46)))</f>
        <v>B019</v>
      </c>
      <c r="B710" s="2" t="s">
        <v>64</v>
      </c>
      <c r="C710" t="str">
        <f>_xlfn.XLOOKUP(B710, Sheet1!A:A, Sheet1!B:B)</f>
        <v>marble bread</v>
      </c>
      <c r="D710">
        <f>_xlfn.XLOOKUP(B710,Sheet1!A:A,Sheet1!C:C)</f>
        <v>8</v>
      </c>
      <c r="E710">
        <f>_xlfn.XLOOKUP(B710,Sheet1!A:A,Sheet1!D:D)</f>
        <v>3.5</v>
      </c>
      <c r="F710">
        <f>_xlfn.XLOOKUP(Sheet3!B710,Sheet1!A:A,Sheet1!E:E)</f>
        <v>3</v>
      </c>
      <c r="G710">
        <f>_xlfn.XLOOKUP(B710,Sheet1!A:A,Sheet1!F:F)</f>
        <v>8</v>
      </c>
      <c r="H710" t="str" cm="1">
        <f t="array" aca="1" ref="H710" ca="1">INDEX(Sheet1!$G$2:$G$3, RANDBETWEEN(1, ROWS(Sheet1!$G$2:$G$3)))</f>
        <v>No</v>
      </c>
    </row>
    <row r="711" spans="1:8" x14ac:dyDescent="0.3">
      <c r="A711" s="2" t="str" cm="1">
        <f t="array" aca="1" ref="A711" ca="1">INDEX(Sheet1!$A$2:$A$46, RANDBETWEEN(1,ROWS(Sheet1!$A$2:$A$46)))</f>
        <v>B035</v>
      </c>
      <c r="B711" s="2" t="s">
        <v>61</v>
      </c>
      <c r="C711" t="str">
        <f>_xlfn.XLOOKUP(B711, Sheet1!A:A, Sheet1!B:B)</f>
        <v>marble sliced loaf cake</v>
      </c>
      <c r="D711">
        <f>_xlfn.XLOOKUP(B711,Sheet1!A:A,Sheet1!C:C)</f>
        <v>10</v>
      </c>
      <c r="E711">
        <f>_xlfn.XLOOKUP(B711,Sheet1!A:A,Sheet1!D:D)</f>
        <v>4</v>
      </c>
      <c r="F711">
        <f>_xlfn.XLOOKUP(Sheet3!B711,Sheet1!A:A,Sheet1!E:E)</f>
        <v>3.5</v>
      </c>
      <c r="G711">
        <f>_xlfn.XLOOKUP(B711,Sheet1!A:A,Sheet1!F:F)</f>
        <v>10</v>
      </c>
      <c r="H711" t="str" cm="1">
        <f t="array" aca="1" ref="H711" ca="1">INDEX(Sheet1!$G$2:$G$3, RANDBETWEEN(1, ROWS(Sheet1!$G$2:$G$3)))</f>
        <v>No</v>
      </c>
    </row>
    <row r="712" spans="1:8" x14ac:dyDescent="0.3">
      <c r="A712" s="2" t="str" cm="1">
        <f t="array" aca="1" ref="A712" ca="1">INDEX(Sheet1!$A$2:$A$46, RANDBETWEEN(1,ROWS(Sheet1!$A$2:$A$46)))</f>
        <v>B013</v>
      </c>
      <c r="B712" s="2" t="s">
        <v>35</v>
      </c>
      <c r="C712" t="str">
        <f>_xlfn.XLOOKUP(B712, Sheet1!A:A, Sheet1!B:B)</f>
        <v>orange pound</v>
      </c>
      <c r="D712">
        <f>_xlfn.XLOOKUP(B712,Sheet1!A:A,Sheet1!C:C)</f>
        <v>8</v>
      </c>
      <c r="E712">
        <f>_xlfn.XLOOKUP(B712,Sheet1!A:A,Sheet1!D:D)</f>
        <v>3.5</v>
      </c>
      <c r="F712">
        <f>_xlfn.XLOOKUP(Sheet3!B712,Sheet1!A:A,Sheet1!E:E)</f>
        <v>3</v>
      </c>
      <c r="G712">
        <f>_xlfn.XLOOKUP(B712,Sheet1!A:A,Sheet1!F:F)</f>
        <v>14</v>
      </c>
      <c r="H712" cm="1">
        <f t="array" aca="1" ref="H712" ca="1">INDEX(Sheet1!$G$2:$G$3, RANDBETWEEN(1, ROWS(Sheet1!$G$2:$G$3)))</f>
        <v>0</v>
      </c>
    </row>
    <row r="713" spans="1:8" x14ac:dyDescent="0.3">
      <c r="A713" s="2" t="str" cm="1">
        <f t="array" aca="1" ref="A713" ca="1">INDEX(Sheet1!$A$2:$A$46, RANDBETWEEN(1,ROWS(Sheet1!$A$2:$A$46)))</f>
        <v>B038</v>
      </c>
      <c r="B713" s="2" t="s">
        <v>38</v>
      </c>
      <c r="C713" t="str">
        <f>_xlfn.XLOOKUP(B713, Sheet1!A:A, Sheet1!B:B)</f>
        <v>snickerdoodle cookies</v>
      </c>
      <c r="D713">
        <f>_xlfn.XLOOKUP(B713,Sheet1!A:A,Sheet1!C:C)</f>
        <v>12</v>
      </c>
      <c r="E713">
        <f>_xlfn.XLOOKUP(B713,Sheet1!A:A,Sheet1!D:D)</f>
        <v>3.5</v>
      </c>
      <c r="F713">
        <f>_xlfn.XLOOKUP(Sheet3!B713,Sheet1!A:A,Sheet1!E:E)</f>
        <v>3</v>
      </c>
      <c r="G713">
        <f>_xlfn.XLOOKUP(B713,Sheet1!A:A,Sheet1!F:F)</f>
        <v>14</v>
      </c>
      <c r="H713" cm="1">
        <f t="array" aca="1" ref="H713" ca="1">INDEX(Sheet1!$G$2:$G$3, RANDBETWEEN(1, ROWS(Sheet1!$G$2:$G$3)))</f>
        <v>0</v>
      </c>
    </row>
    <row r="714" spans="1:8" x14ac:dyDescent="0.3">
      <c r="A714" s="2" t="str" cm="1">
        <f t="array" aca="1" ref="A714" ca="1">INDEX(Sheet1!$A$2:$A$46, RANDBETWEEN(1,ROWS(Sheet1!$A$2:$A$46)))</f>
        <v>B011</v>
      </c>
      <c r="B714" s="2" t="s">
        <v>70</v>
      </c>
      <c r="C714" t="str">
        <f>_xlfn.XLOOKUP(B714, Sheet1!A:A, Sheet1!B:B)</f>
        <v>pumpkin pie</v>
      </c>
      <c r="D714">
        <f>_xlfn.XLOOKUP(B714,Sheet1!A:A,Sheet1!C:C)</f>
        <v>6</v>
      </c>
      <c r="E714">
        <f>_xlfn.XLOOKUP(B714,Sheet1!A:A,Sheet1!D:D)</f>
        <v>4</v>
      </c>
      <c r="F714">
        <f>_xlfn.XLOOKUP(Sheet3!B714,Sheet1!A:A,Sheet1!E:E)</f>
        <v>3</v>
      </c>
      <c r="G714">
        <f>_xlfn.XLOOKUP(B714,Sheet1!A:A,Sheet1!F:F)</f>
        <v>7</v>
      </c>
      <c r="H714" t="str" cm="1">
        <f t="array" aca="1" ref="H714" ca="1">INDEX(Sheet1!$G$2:$G$3, RANDBETWEEN(1, ROWS(Sheet1!$G$2:$G$3)))</f>
        <v>No</v>
      </c>
    </row>
    <row r="715" spans="1:8" x14ac:dyDescent="0.3">
      <c r="A715" s="2" t="str" cm="1">
        <f t="array" aca="1" ref="A715" ca="1">INDEX(Sheet1!$A$2:$A$46, RANDBETWEEN(1,ROWS(Sheet1!$A$2:$A$46)))</f>
        <v>B008</v>
      </c>
      <c r="B715" s="2" t="s">
        <v>92</v>
      </c>
      <c r="C715" t="str">
        <f>_xlfn.XLOOKUP(B715, Sheet1!A:A, Sheet1!B:B)</f>
        <v>square brownies</v>
      </c>
      <c r="D715">
        <f>_xlfn.XLOOKUP(B715,Sheet1!A:A,Sheet1!C:C)</f>
        <v>6</v>
      </c>
      <c r="E715">
        <f>_xlfn.XLOOKUP(B715,Sheet1!A:A,Sheet1!D:D)</f>
        <v>4.5</v>
      </c>
      <c r="F715">
        <f>_xlfn.XLOOKUP(Sheet3!B715,Sheet1!A:A,Sheet1!E:E)</f>
        <v>4</v>
      </c>
      <c r="G715">
        <f>_xlfn.XLOOKUP(B715,Sheet1!A:A,Sheet1!F:F)</f>
        <v>14</v>
      </c>
      <c r="H715" t="str" cm="1">
        <f t="array" aca="1" ref="H715" ca="1">INDEX(Sheet1!$G$2:$G$3, RANDBETWEEN(1, ROWS(Sheet1!$G$2:$G$3)))</f>
        <v>No</v>
      </c>
    </row>
    <row r="716" spans="1:8" x14ac:dyDescent="0.3">
      <c r="A716" s="2" t="str" cm="1">
        <f t="array" aca="1" ref="A716" ca="1">INDEX(Sheet1!$A$2:$A$46, RANDBETWEEN(1,ROWS(Sheet1!$A$2:$A$46)))</f>
        <v>B010</v>
      </c>
      <c r="B716" s="2" t="s">
        <v>69</v>
      </c>
      <c r="C716" t="str">
        <f>_xlfn.XLOOKUP(B716, Sheet1!A:A, Sheet1!B:B)</f>
        <v>coconut creme pie</v>
      </c>
      <c r="D716">
        <f>_xlfn.XLOOKUP(B716,Sheet1!A:A,Sheet1!C:C)</f>
        <v>6</v>
      </c>
      <c r="E716">
        <f>_xlfn.XLOOKUP(B716,Sheet1!A:A,Sheet1!D:D)</f>
        <v>4</v>
      </c>
      <c r="F716">
        <f>_xlfn.XLOOKUP(Sheet3!B716,Sheet1!A:A,Sheet1!E:E)</f>
        <v>3</v>
      </c>
      <c r="G716">
        <f>_xlfn.XLOOKUP(B716,Sheet1!A:A,Sheet1!F:F)</f>
        <v>7</v>
      </c>
      <c r="H716" t="str" cm="1">
        <f t="array" aca="1" ref="H716" ca="1">INDEX(Sheet1!$G$2:$G$3, RANDBETWEEN(1, ROWS(Sheet1!$G$2:$G$3)))</f>
        <v>No</v>
      </c>
    </row>
    <row r="717" spans="1:8" x14ac:dyDescent="0.3">
      <c r="A717" s="2" t="str" cm="1">
        <f t="array" aca="1" ref="A717" ca="1">INDEX(Sheet1!$A$2:$A$46, RANDBETWEEN(1,ROWS(Sheet1!$A$2:$A$46)))</f>
        <v>B010</v>
      </c>
      <c r="B717" s="2" t="s">
        <v>71</v>
      </c>
      <c r="C717" t="str">
        <f>_xlfn.XLOOKUP(B717, Sheet1!A:A, Sheet1!B:B)</f>
        <v>blueberry pie</v>
      </c>
      <c r="D717">
        <f>_xlfn.XLOOKUP(B717,Sheet1!A:A,Sheet1!C:C)</f>
        <v>6</v>
      </c>
      <c r="E717">
        <f>_xlfn.XLOOKUP(B717,Sheet1!A:A,Sheet1!D:D)</f>
        <v>4</v>
      </c>
      <c r="F717">
        <f>_xlfn.XLOOKUP(Sheet3!B717,Sheet1!A:A,Sheet1!E:E)</f>
        <v>3</v>
      </c>
      <c r="G717">
        <f>_xlfn.XLOOKUP(B717,Sheet1!A:A,Sheet1!F:F)</f>
        <v>7</v>
      </c>
      <c r="H717" t="str" cm="1">
        <f t="array" aca="1" ref="H717" ca="1">INDEX(Sheet1!$G$2:$G$3, RANDBETWEEN(1, ROWS(Sheet1!$G$2:$G$3)))</f>
        <v>No</v>
      </c>
    </row>
    <row r="718" spans="1:8" x14ac:dyDescent="0.3">
      <c r="A718" s="2" t="str" cm="1">
        <f t="array" aca="1" ref="A718" ca="1">INDEX(Sheet1!$A$2:$A$46, RANDBETWEEN(1,ROWS(Sheet1!$A$2:$A$46)))</f>
        <v>B029</v>
      </c>
      <c r="B718" s="2" t="s">
        <v>79</v>
      </c>
      <c r="C718" t="str">
        <f>_xlfn.XLOOKUP(B718, Sheet1!A:A, Sheet1!B:B)</f>
        <v>chocolate square cake</v>
      </c>
      <c r="D718">
        <f>_xlfn.XLOOKUP(B718,Sheet1!A:A,Sheet1!C:C)</f>
        <v>8</v>
      </c>
      <c r="E718">
        <f>_xlfn.XLOOKUP(B718,Sheet1!A:A,Sheet1!D:D)</f>
        <v>2.5</v>
      </c>
      <c r="F718">
        <f>_xlfn.XLOOKUP(Sheet3!B718,Sheet1!A:A,Sheet1!E:E)</f>
        <v>2</v>
      </c>
      <c r="G718">
        <f>_xlfn.XLOOKUP(B718,Sheet1!A:A,Sheet1!F:F)</f>
        <v>5</v>
      </c>
      <c r="H718" cm="1">
        <f t="array" aca="1" ref="H718" ca="1">INDEX(Sheet1!$G$2:$G$3, RANDBETWEEN(1, ROWS(Sheet1!$G$2:$G$3)))</f>
        <v>0</v>
      </c>
    </row>
    <row r="719" spans="1:8" x14ac:dyDescent="0.3">
      <c r="A719" s="2" t="str" cm="1">
        <f t="array" aca="1" ref="A719" ca="1">INDEX(Sheet1!$A$2:$A$46, RANDBETWEEN(1,ROWS(Sheet1!$A$2:$A$46)))</f>
        <v>B027</v>
      </c>
      <c r="B719" s="2" t="s">
        <v>35</v>
      </c>
      <c r="C719" t="str">
        <f>_xlfn.XLOOKUP(B719, Sheet1!A:A, Sheet1!B:B)</f>
        <v>orange pound</v>
      </c>
      <c r="D719">
        <f>_xlfn.XLOOKUP(B719,Sheet1!A:A,Sheet1!C:C)</f>
        <v>8</v>
      </c>
      <c r="E719">
        <f>_xlfn.XLOOKUP(B719,Sheet1!A:A,Sheet1!D:D)</f>
        <v>3.5</v>
      </c>
      <c r="F719">
        <f>_xlfn.XLOOKUP(Sheet3!B719,Sheet1!A:A,Sheet1!E:E)</f>
        <v>3</v>
      </c>
      <c r="G719">
        <f>_xlfn.XLOOKUP(B719,Sheet1!A:A,Sheet1!F:F)</f>
        <v>14</v>
      </c>
      <c r="H719" t="str" cm="1">
        <f t="array" aca="1" ref="H719" ca="1">INDEX(Sheet1!$G$2:$G$3, RANDBETWEEN(1, ROWS(Sheet1!$G$2:$G$3)))</f>
        <v>No</v>
      </c>
    </row>
    <row r="720" spans="1:8" x14ac:dyDescent="0.3">
      <c r="A720" s="2" t="str" cm="1">
        <f t="array" aca="1" ref="A720" ca="1">INDEX(Sheet1!$A$2:$A$46, RANDBETWEEN(1,ROWS(Sheet1!$A$2:$A$46)))</f>
        <v>B007</v>
      </c>
      <c r="B720" s="2" t="s">
        <v>90</v>
      </c>
      <c r="C720" t="str">
        <f>_xlfn.XLOOKUP(B720, Sheet1!A:A, Sheet1!B:B)</f>
        <v>mini brownies</v>
      </c>
      <c r="D720">
        <f>_xlfn.XLOOKUP(B720,Sheet1!A:A,Sheet1!C:C)</f>
        <v>12</v>
      </c>
      <c r="E720">
        <f>_xlfn.XLOOKUP(B720,Sheet1!A:A,Sheet1!D:D)</f>
        <v>4.5</v>
      </c>
      <c r="F720">
        <f>_xlfn.XLOOKUP(Sheet3!B720,Sheet1!A:A,Sheet1!E:E)</f>
        <v>4</v>
      </c>
      <c r="G720">
        <f>_xlfn.XLOOKUP(B720,Sheet1!A:A,Sheet1!F:F)</f>
        <v>14</v>
      </c>
      <c r="H720" cm="1">
        <f t="array" aca="1" ref="H720" ca="1">INDEX(Sheet1!$G$2:$G$3, RANDBETWEEN(1, ROWS(Sheet1!$G$2:$G$3)))</f>
        <v>0</v>
      </c>
    </row>
    <row r="721" spans="1:8" x14ac:dyDescent="0.3">
      <c r="A721" s="2" t="str" cm="1">
        <f t="array" aca="1" ref="A721" ca="1">INDEX(Sheet1!$A$2:$A$46, RANDBETWEEN(1,ROWS(Sheet1!$A$2:$A$46)))</f>
        <v>B021</v>
      </c>
      <c r="B721" s="2" t="s">
        <v>72</v>
      </c>
      <c r="C721" t="str">
        <f>_xlfn.XLOOKUP(B721, Sheet1!A:A, Sheet1!B:B)</f>
        <v>cherry pie</v>
      </c>
      <c r="D721">
        <f>_xlfn.XLOOKUP(B721,Sheet1!A:A,Sheet1!C:C)</f>
        <v>6</v>
      </c>
      <c r="E721">
        <f>_xlfn.XLOOKUP(B721,Sheet1!A:A,Sheet1!D:D)</f>
        <v>4</v>
      </c>
      <c r="F721">
        <f>_xlfn.XLOOKUP(Sheet3!B721,Sheet1!A:A,Sheet1!E:E)</f>
        <v>3</v>
      </c>
      <c r="G721">
        <f>_xlfn.XLOOKUP(B721,Sheet1!A:A,Sheet1!F:F)</f>
        <v>7</v>
      </c>
      <c r="H721" cm="1">
        <f t="array" aca="1" ref="H721" ca="1">INDEX(Sheet1!$G$2:$G$3, RANDBETWEEN(1, ROWS(Sheet1!$G$2:$G$3)))</f>
        <v>0</v>
      </c>
    </row>
    <row r="722" spans="1:8" x14ac:dyDescent="0.3">
      <c r="A722" s="2" t="str" cm="1">
        <f t="array" aca="1" ref="A722" ca="1">INDEX(Sheet1!$A$2:$A$46, RANDBETWEEN(1,ROWS(Sheet1!$A$2:$A$46)))</f>
        <v>B035</v>
      </c>
      <c r="B722" s="2" t="s">
        <v>20</v>
      </c>
      <c r="C722" t="str">
        <f>_xlfn.XLOOKUP(B722, Sheet1!A:A, Sheet1!B:B)</f>
        <v>banana nut muffins</v>
      </c>
      <c r="D722">
        <f>_xlfn.XLOOKUP(B722,Sheet1!A:A,Sheet1!C:C)</f>
        <v>10</v>
      </c>
      <c r="E722">
        <f>_xlfn.XLOOKUP(B722,Sheet1!A:A,Sheet1!D:D)</f>
        <v>4.5</v>
      </c>
      <c r="F722">
        <f>_xlfn.XLOOKUP(Sheet3!B722,Sheet1!A:A,Sheet1!E:E)</f>
        <v>4</v>
      </c>
      <c r="G722">
        <f>_xlfn.XLOOKUP(B722,Sheet1!A:A,Sheet1!F:F)</f>
        <v>10</v>
      </c>
      <c r="H722" cm="1">
        <f t="array" aca="1" ref="H722" ca="1">INDEX(Sheet1!$G$2:$G$3, RANDBETWEEN(1, ROWS(Sheet1!$G$2:$G$3)))</f>
        <v>0</v>
      </c>
    </row>
    <row r="723" spans="1:8" x14ac:dyDescent="0.3">
      <c r="A723" s="2" t="str" cm="1">
        <f t="array" aca="1" ref="A723" ca="1">INDEX(Sheet1!$A$2:$A$46, RANDBETWEEN(1,ROWS(Sheet1!$A$2:$A$46)))</f>
        <v>B005</v>
      </c>
      <c r="B723" s="2" t="s">
        <v>67</v>
      </c>
      <c r="C723" t="str">
        <f>_xlfn.XLOOKUP(B723, Sheet1!A:A, Sheet1!B:B)</f>
        <v>seeded bread</v>
      </c>
      <c r="D723">
        <f>_xlfn.XLOOKUP(B723,Sheet1!A:A,Sheet1!C:C)</f>
        <v>8</v>
      </c>
      <c r="E723">
        <f>_xlfn.XLOOKUP(B723,Sheet1!A:A,Sheet1!D:D)</f>
        <v>3.5</v>
      </c>
      <c r="F723">
        <f>_xlfn.XLOOKUP(Sheet3!B723,Sheet1!A:A,Sheet1!E:E)</f>
        <v>3</v>
      </c>
      <c r="G723">
        <f>_xlfn.XLOOKUP(B723,Sheet1!A:A,Sheet1!F:F)</f>
        <v>8</v>
      </c>
      <c r="H723" t="str" cm="1">
        <f t="array" aca="1" ref="H723" ca="1">INDEX(Sheet1!$G$2:$G$3, RANDBETWEEN(1, ROWS(Sheet1!$G$2:$G$3)))</f>
        <v>No</v>
      </c>
    </row>
    <row r="724" spans="1:8" x14ac:dyDescent="0.3">
      <c r="A724" s="2" t="str" cm="1">
        <f t="array" aca="1" ref="A724" ca="1">INDEX(Sheet1!$A$2:$A$46, RANDBETWEEN(1,ROWS(Sheet1!$A$2:$A$46)))</f>
        <v>B024</v>
      </c>
      <c r="B724" s="2" t="s">
        <v>70</v>
      </c>
      <c r="C724" t="str">
        <f>_xlfn.XLOOKUP(B724, Sheet1!A:A, Sheet1!B:B)</f>
        <v>pumpkin pie</v>
      </c>
      <c r="D724">
        <f>_xlfn.XLOOKUP(B724,Sheet1!A:A,Sheet1!C:C)</f>
        <v>6</v>
      </c>
      <c r="E724">
        <f>_xlfn.XLOOKUP(B724,Sheet1!A:A,Sheet1!D:D)</f>
        <v>4</v>
      </c>
      <c r="F724">
        <f>_xlfn.XLOOKUP(Sheet3!B724,Sheet1!A:A,Sheet1!E:E)</f>
        <v>3</v>
      </c>
      <c r="G724">
        <f>_xlfn.XLOOKUP(B724,Sheet1!A:A,Sheet1!F:F)</f>
        <v>7</v>
      </c>
      <c r="H724" t="str" cm="1">
        <f t="array" aca="1" ref="H724" ca="1">INDEX(Sheet1!$G$2:$G$3, RANDBETWEEN(1, ROWS(Sheet1!$G$2:$G$3)))</f>
        <v>No</v>
      </c>
    </row>
    <row r="725" spans="1:8" x14ac:dyDescent="0.3">
      <c r="A725" s="2" t="str" cm="1">
        <f t="array" aca="1" ref="A725" ca="1">INDEX(Sheet1!$A$2:$A$46, RANDBETWEEN(1,ROWS(Sheet1!$A$2:$A$46)))</f>
        <v>B006</v>
      </c>
      <c r="B725" s="2" t="s">
        <v>59</v>
      </c>
      <c r="C725" t="str">
        <f>_xlfn.XLOOKUP(B725, Sheet1!A:A, Sheet1!B:B)</f>
        <v>iced lemon sliced loaf cake</v>
      </c>
      <c r="D725">
        <f>_xlfn.XLOOKUP(B725,Sheet1!A:A,Sheet1!C:C)</f>
        <v>10</v>
      </c>
      <c r="E725">
        <f>_xlfn.XLOOKUP(B725,Sheet1!A:A,Sheet1!D:D)</f>
        <v>4</v>
      </c>
      <c r="F725">
        <f>_xlfn.XLOOKUP(Sheet3!B725,Sheet1!A:A,Sheet1!E:E)</f>
        <v>3.5</v>
      </c>
      <c r="G725">
        <f>_xlfn.XLOOKUP(B725,Sheet1!A:A,Sheet1!F:F)</f>
        <v>10</v>
      </c>
      <c r="H725" cm="1">
        <f t="array" aca="1" ref="H725" ca="1">INDEX(Sheet1!$G$2:$G$3, RANDBETWEEN(1, ROWS(Sheet1!$G$2:$G$3)))</f>
        <v>0</v>
      </c>
    </row>
    <row r="726" spans="1:8" x14ac:dyDescent="0.3">
      <c r="A726" s="2" t="str" cm="1">
        <f t="array" aca="1" ref="A726" ca="1">INDEX(Sheet1!$A$2:$A$46, RANDBETWEEN(1,ROWS(Sheet1!$A$2:$A$46)))</f>
        <v>B014</v>
      </c>
      <c r="B726" s="2" t="s">
        <v>19</v>
      </c>
      <c r="C726" t="str">
        <f>_xlfn.XLOOKUP(B726, Sheet1!A:A, Sheet1!B:B)</f>
        <v>blueberry muffins</v>
      </c>
      <c r="D726">
        <f>_xlfn.XLOOKUP(B726,Sheet1!A:A,Sheet1!C:C)</f>
        <v>10</v>
      </c>
      <c r="E726">
        <f>_xlfn.XLOOKUP(B726,Sheet1!A:A,Sheet1!D:D)</f>
        <v>4.5</v>
      </c>
      <c r="F726">
        <f>_xlfn.XLOOKUP(Sheet3!B726,Sheet1!A:A,Sheet1!E:E)</f>
        <v>4</v>
      </c>
      <c r="G726">
        <f>_xlfn.XLOOKUP(B726,Sheet1!A:A,Sheet1!F:F)</f>
        <v>10</v>
      </c>
      <c r="H726" cm="1">
        <f t="array" aca="1" ref="H726" ca="1">INDEX(Sheet1!$G$2:$G$3, RANDBETWEEN(1, ROWS(Sheet1!$G$2:$G$3)))</f>
        <v>0</v>
      </c>
    </row>
    <row r="727" spans="1:8" x14ac:dyDescent="0.3">
      <c r="A727" s="2" t="str" cm="1">
        <f t="array" aca="1" ref="A727" ca="1">INDEX(Sheet1!$A$2:$A$46, RANDBETWEEN(1,ROWS(Sheet1!$A$2:$A$46)))</f>
        <v>B009</v>
      </c>
      <c r="B727" s="2" t="s">
        <v>83</v>
      </c>
      <c r="C727" t="str">
        <f>_xlfn.XLOOKUP(B727, Sheet1!A:A, Sheet1!B:B)</f>
        <v>pumpkin spice muffins</v>
      </c>
      <c r="D727">
        <f>_xlfn.XLOOKUP(B727,Sheet1!A:A,Sheet1!C:C)</f>
        <v>10</v>
      </c>
      <c r="E727">
        <f>_xlfn.XLOOKUP(B727,Sheet1!A:A,Sheet1!D:D)</f>
        <v>4.5</v>
      </c>
      <c r="F727">
        <f>_xlfn.XLOOKUP(Sheet3!B727,Sheet1!A:A,Sheet1!E:E)</f>
        <v>4</v>
      </c>
      <c r="G727">
        <f>_xlfn.XLOOKUP(B727,Sheet1!A:A,Sheet1!F:F)</f>
        <v>10</v>
      </c>
      <c r="H727" t="str" cm="1">
        <f t="array" aca="1" ref="H727" ca="1">INDEX(Sheet1!$G$2:$G$3, RANDBETWEEN(1, ROWS(Sheet1!$G$2:$G$3)))</f>
        <v>No</v>
      </c>
    </row>
    <row r="728" spans="1:8" x14ac:dyDescent="0.3">
      <c r="A728" s="2" t="str" cm="1">
        <f t="array" aca="1" ref="A728" ca="1">INDEX(Sheet1!$A$2:$A$46, RANDBETWEEN(1,ROWS(Sheet1!$A$2:$A$46)))</f>
        <v>B004</v>
      </c>
      <c r="B728" s="2" t="s">
        <v>16</v>
      </c>
      <c r="C728" t="str">
        <f>_xlfn.XLOOKUP(B728, Sheet1!A:A, Sheet1!B:B)</f>
        <v>mini croissant</v>
      </c>
      <c r="D728">
        <f>_xlfn.XLOOKUP(B728,Sheet1!A:A,Sheet1!C:C)</f>
        <v>10</v>
      </c>
      <c r="E728">
        <f>_xlfn.XLOOKUP(B728,Sheet1!A:A,Sheet1!D:D)</f>
        <v>5.5</v>
      </c>
      <c r="F728">
        <f>_xlfn.XLOOKUP(Sheet3!B728,Sheet1!A:A,Sheet1!E:E)</f>
        <v>4.5</v>
      </c>
      <c r="G728">
        <f>_xlfn.XLOOKUP(B728,Sheet1!A:A,Sheet1!F:F)</f>
        <v>7</v>
      </c>
      <c r="H728" t="str" cm="1">
        <f t="array" aca="1" ref="H728" ca="1">INDEX(Sheet1!$G$2:$G$3, RANDBETWEEN(1, ROWS(Sheet1!$G$2:$G$3)))</f>
        <v>No</v>
      </c>
    </row>
    <row r="729" spans="1:8" x14ac:dyDescent="0.3">
      <c r="A729" s="2" t="str" cm="1">
        <f t="array" aca="1" ref="A729" ca="1">INDEX(Sheet1!$A$2:$A$46, RANDBETWEEN(1,ROWS(Sheet1!$A$2:$A$46)))</f>
        <v>B022</v>
      </c>
      <c r="B729" s="2" t="s">
        <v>56</v>
      </c>
      <c r="C729" t="str">
        <f>_xlfn.XLOOKUP(B729, Sheet1!A:A, Sheet1!B:B)</f>
        <v>assorted cupcakes </v>
      </c>
      <c r="D729">
        <f>_xlfn.XLOOKUP(B729,Sheet1!A:A,Sheet1!C:C)</f>
        <v>8</v>
      </c>
      <c r="E729">
        <f>_xlfn.XLOOKUP(B729,Sheet1!A:A,Sheet1!D:D)</f>
        <v>6</v>
      </c>
      <c r="F729">
        <f>_xlfn.XLOOKUP(Sheet3!B729,Sheet1!A:A,Sheet1!E:E)</f>
        <v>5.5</v>
      </c>
      <c r="G729">
        <f>_xlfn.XLOOKUP(B729,Sheet1!A:A,Sheet1!F:F)</f>
        <v>20</v>
      </c>
      <c r="H729" cm="1">
        <f t="array" aca="1" ref="H729" ca="1">INDEX(Sheet1!$G$2:$G$3, RANDBETWEEN(1, ROWS(Sheet1!$G$2:$G$3)))</f>
        <v>0</v>
      </c>
    </row>
    <row r="730" spans="1:8" x14ac:dyDescent="0.3">
      <c r="A730" s="2" t="str" cm="1">
        <f t="array" aca="1" ref="A730" ca="1">INDEX(Sheet1!$A$2:$A$46, RANDBETWEEN(1,ROWS(Sheet1!$A$2:$A$46)))</f>
        <v>B015</v>
      </c>
      <c r="B730" s="2" t="s">
        <v>84</v>
      </c>
      <c r="C730" t="str">
        <f>_xlfn.XLOOKUP(B730, Sheet1!A:A, Sheet1!B:B)</f>
        <v>plain bagels</v>
      </c>
      <c r="D730">
        <f>_xlfn.XLOOKUP(B730,Sheet1!A:A,Sheet1!C:C)</f>
        <v>8</v>
      </c>
      <c r="E730">
        <f>_xlfn.XLOOKUP(B730,Sheet1!A:A,Sheet1!D:D)</f>
        <v>3.5</v>
      </c>
      <c r="F730">
        <f>_xlfn.XLOOKUP(Sheet3!B730,Sheet1!A:A,Sheet1!E:E)</f>
        <v>3</v>
      </c>
      <c r="G730">
        <f>_xlfn.XLOOKUP(B730,Sheet1!A:A,Sheet1!F:F)</f>
        <v>8</v>
      </c>
      <c r="H730" cm="1">
        <f t="array" aca="1" ref="H730" ca="1">INDEX(Sheet1!$G$2:$G$3, RANDBETWEEN(1, ROWS(Sheet1!$G$2:$G$3)))</f>
        <v>0</v>
      </c>
    </row>
    <row r="731" spans="1:8" x14ac:dyDescent="0.3">
      <c r="A731" s="2" t="str" cm="1">
        <f t="array" aca="1" ref="A731" ca="1">INDEX(Sheet1!$A$2:$A$46, RANDBETWEEN(1,ROWS(Sheet1!$A$2:$A$46)))</f>
        <v>B027</v>
      </c>
      <c r="B731" s="2" t="s">
        <v>62</v>
      </c>
      <c r="C731" t="str">
        <f>_xlfn.XLOOKUP(B731, Sheet1!A:A, Sheet1!B:B)</f>
        <v>vanilla sliced loaf cake</v>
      </c>
      <c r="D731">
        <f>_xlfn.XLOOKUP(B731,Sheet1!A:A,Sheet1!C:C)</f>
        <v>10</v>
      </c>
      <c r="E731">
        <f>_xlfn.XLOOKUP(B731,Sheet1!A:A,Sheet1!D:D)</f>
        <v>4</v>
      </c>
      <c r="F731">
        <f>_xlfn.XLOOKUP(Sheet3!B731,Sheet1!A:A,Sheet1!E:E)</f>
        <v>3.5</v>
      </c>
      <c r="G731">
        <f>_xlfn.XLOOKUP(B731,Sheet1!A:A,Sheet1!F:F)</f>
        <v>10</v>
      </c>
      <c r="H731" t="str" cm="1">
        <f t="array" aca="1" ref="H731" ca="1">INDEX(Sheet1!$G$2:$G$3, RANDBETWEEN(1, ROWS(Sheet1!$G$2:$G$3)))</f>
        <v>No</v>
      </c>
    </row>
    <row r="732" spans="1:8" x14ac:dyDescent="0.3">
      <c r="A732" s="2" t="str" cm="1">
        <f t="array" aca="1" ref="A732" ca="1">INDEX(Sheet1!$A$2:$A$46, RANDBETWEEN(1,ROWS(Sheet1!$A$2:$A$46)))</f>
        <v>B011</v>
      </c>
      <c r="B732" s="2" t="s">
        <v>83</v>
      </c>
      <c r="C732" t="str">
        <f>_xlfn.XLOOKUP(B732, Sheet1!A:A, Sheet1!B:B)</f>
        <v>pumpkin spice muffins</v>
      </c>
      <c r="D732">
        <f>_xlfn.XLOOKUP(B732,Sheet1!A:A,Sheet1!C:C)</f>
        <v>10</v>
      </c>
      <c r="E732">
        <f>_xlfn.XLOOKUP(B732,Sheet1!A:A,Sheet1!D:D)</f>
        <v>4.5</v>
      </c>
      <c r="F732">
        <f>_xlfn.XLOOKUP(Sheet3!B732,Sheet1!A:A,Sheet1!E:E)</f>
        <v>4</v>
      </c>
      <c r="G732">
        <f>_xlfn.XLOOKUP(B732,Sheet1!A:A,Sheet1!F:F)</f>
        <v>10</v>
      </c>
      <c r="H732" cm="1">
        <f t="array" aca="1" ref="H732" ca="1">INDEX(Sheet1!$G$2:$G$3, RANDBETWEEN(1, ROWS(Sheet1!$G$2:$G$3)))</f>
        <v>0</v>
      </c>
    </row>
    <row r="733" spans="1:8" x14ac:dyDescent="0.3">
      <c r="A733" s="2" t="str" cm="1">
        <f t="array" aca="1" ref="A733" ca="1">INDEX(Sheet1!$A$2:$A$46, RANDBETWEEN(1,ROWS(Sheet1!$A$2:$A$46)))</f>
        <v>B045</v>
      </c>
      <c r="B733" s="2" t="s">
        <v>89</v>
      </c>
      <c r="C733" t="str">
        <f>_xlfn.XLOOKUP(B733, Sheet1!A:A, Sheet1!B:B)</f>
        <v>blueberry bagels</v>
      </c>
      <c r="D733">
        <f>_xlfn.XLOOKUP(B733,Sheet1!A:A,Sheet1!C:C)</f>
        <v>8</v>
      </c>
      <c r="E733">
        <f>_xlfn.XLOOKUP(B733,Sheet1!A:A,Sheet1!D:D)</f>
        <v>3.5</v>
      </c>
      <c r="F733">
        <f>_xlfn.XLOOKUP(Sheet3!B733,Sheet1!A:A,Sheet1!E:E)</f>
        <v>3</v>
      </c>
      <c r="G733">
        <f>_xlfn.XLOOKUP(B733,Sheet1!A:A,Sheet1!F:F)</f>
        <v>8</v>
      </c>
      <c r="H733" cm="1">
        <f t="array" aca="1" ref="H733" ca="1">INDEX(Sheet1!$G$2:$G$3, RANDBETWEEN(1, ROWS(Sheet1!$G$2:$G$3)))</f>
        <v>0</v>
      </c>
    </row>
    <row r="734" spans="1:8" x14ac:dyDescent="0.3">
      <c r="A734" s="2" t="str" cm="1">
        <f t="array" aca="1" ref="A734" ca="1">INDEX(Sheet1!$A$2:$A$46, RANDBETWEEN(1,ROWS(Sheet1!$A$2:$A$46)))</f>
        <v>B021</v>
      </c>
      <c r="B734" s="2" t="s">
        <v>70</v>
      </c>
      <c r="C734" t="str">
        <f>_xlfn.XLOOKUP(B734, Sheet1!A:A, Sheet1!B:B)</f>
        <v>pumpkin pie</v>
      </c>
      <c r="D734">
        <f>_xlfn.XLOOKUP(B734,Sheet1!A:A,Sheet1!C:C)</f>
        <v>6</v>
      </c>
      <c r="E734">
        <f>_xlfn.XLOOKUP(B734,Sheet1!A:A,Sheet1!D:D)</f>
        <v>4</v>
      </c>
      <c r="F734">
        <f>_xlfn.XLOOKUP(Sheet3!B734,Sheet1!A:A,Sheet1!E:E)</f>
        <v>3</v>
      </c>
      <c r="G734">
        <f>_xlfn.XLOOKUP(B734,Sheet1!A:A,Sheet1!F:F)</f>
        <v>7</v>
      </c>
      <c r="H734" t="str" cm="1">
        <f t="array" aca="1" ref="H734" ca="1">INDEX(Sheet1!$G$2:$G$3, RANDBETWEEN(1, ROWS(Sheet1!$G$2:$G$3)))</f>
        <v>No</v>
      </c>
    </row>
    <row r="735" spans="1:8" x14ac:dyDescent="0.3">
      <c r="A735" s="2" t="str" cm="1">
        <f t="array" aca="1" ref="A735" ca="1">INDEX(Sheet1!$A$2:$A$46, RANDBETWEEN(1,ROWS(Sheet1!$A$2:$A$46)))</f>
        <v>B026</v>
      </c>
      <c r="B735" s="2" t="s">
        <v>68</v>
      </c>
      <c r="C735" t="str">
        <f>_xlfn.XLOOKUP(B735, Sheet1!A:A, Sheet1!B:B)</f>
        <v>oreja cookies</v>
      </c>
      <c r="D735">
        <f>_xlfn.XLOOKUP(B735,Sheet1!A:A,Sheet1!C:C)</f>
        <v>15</v>
      </c>
      <c r="E735">
        <f>_xlfn.XLOOKUP(B735,Sheet1!A:A,Sheet1!D:D)</f>
        <v>4</v>
      </c>
      <c r="F735">
        <f>_xlfn.XLOOKUP(Sheet3!B735,Sheet1!A:A,Sheet1!E:E)</f>
        <v>3</v>
      </c>
      <c r="G735">
        <f>_xlfn.XLOOKUP(B735,Sheet1!A:A,Sheet1!F:F)</f>
        <v>14</v>
      </c>
      <c r="H735" t="str" cm="1">
        <f t="array" aca="1" ref="H735" ca="1">INDEX(Sheet1!$G$2:$G$3, RANDBETWEEN(1, ROWS(Sheet1!$G$2:$G$3)))</f>
        <v>No</v>
      </c>
    </row>
    <row r="736" spans="1:8" x14ac:dyDescent="0.3">
      <c r="A736" s="2" t="str" cm="1">
        <f t="array" aca="1" ref="A736" ca="1">INDEX(Sheet1!$A$2:$A$46, RANDBETWEEN(1,ROWS(Sheet1!$A$2:$A$46)))</f>
        <v>B001</v>
      </c>
      <c r="B736" s="2" t="s">
        <v>10</v>
      </c>
      <c r="C736" t="str">
        <f>_xlfn.XLOOKUP(B736, Sheet1!A:A, Sheet1!B:B)</f>
        <v>croissant</v>
      </c>
      <c r="D736">
        <f>_xlfn.XLOOKUP(B736,Sheet1!A:A,Sheet1!C:C)</f>
        <v>10</v>
      </c>
      <c r="E736">
        <f>_xlfn.XLOOKUP(B736,Sheet1!A:A,Sheet1!D:D)</f>
        <v>5.5</v>
      </c>
      <c r="F736">
        <f>_xlfn.XLOOKUP(Sheet3!B736,Sheet1!A:A,Sheet1!E:E)</f>
        <v>4.5</v>
      </c>
      <c r="G736">
        <f>_xlfn.XLOOKUP(B736,Sheet1!A:A,Sheet1!F:F)</f>
        <v>7</v>
      </c>
      <c r="H736" cm="1">
        <f t="array" aca="1" ref="H736" ca="1">INDEX(Sheet1!$G$2:$G$3, RANDBETWEEN(1, ROWS(Sheet1!$G$2:$G$3)))</f>
        <v>0</v>
      </c>
    </row>
    <row r="737" spans="1:8" x14ac:dyDescent="0.3">
      <c r="A737" s="2" t="str" cm="1">
        <f t="array" aca="1" ref="A737" ca="1">INDEX(Sheet1!$A$2:$A$46, RANDBETWEEN(1,ROWS(Sheet1!$A$2:$A$46)))</f>
        <v>B036</v>
      </c>
      <c r="B737" s="2" t="s">
        <v>36</v>
      </c>
      <c r="C737" t="str">
        <f>_xlfn.XLOOKUP(B737, Sheet1!A:A, Sheet1!B:B)</f>
        <v>oatmeal raisin cookies</v>
      </c>
      <c r="D737">
        <f>_xlfn.XLOOKUP(B737,Sheet1!A:A,Sheet1!C:C)</f>
        <v>12</v>
      </c>
      <c r="E737">
        <f>_xlfn.XLOOKUP(B737,Sheet1!A:A,Sheet1!D:D)</f>
        <v>3.5</v>
      </c>
      <c r="F737">
        <f>_xlfn.XLOOKUP(Sheet3!B737,Sheet1!A:A,Sheet1!E:E)</f>
        <v>3</v>
      </c>
      <c r="G737">
        <f>_xlfn.XLOOKUP(B737,Sheet1!A:A,Sheet1!F:F)</f>
        <v>14</v>
      </c>
      <c r="H737" t="str" cm="1">
        <f t="array" aca="1" ref="H737" ca="1">INDEX(Sheet1!$G$2:$G$3, RANDBETWEEN(1, ROWS(Sheet1!$G$2:$G$3)))</f>
        <v>No</v>
      </c>
    </row>
    <row r="738" spans="1:8" x14ac:dyDescent="0.3">
      <c r="A738" s="2" t="str" cm="1">
        <f t="array" aca="1" ref="A738" ca="1">INDEX(Sheet1!$A$2:$A$46, RANDBETWEEN(1,ROWS(Sheet1!$A$2:$A$46)))</f>
        <v>B013</v>
      </c>
      <c r="B738" s="2" t="s">
        <v>62</v>
      </c>
      <c r="C738" t="str">
        <f>_xlfn.XLOOKUP(B738, Sheet1!A:A, Sheet1!B:B)</f>
        <v>vanilla sliced loaf cake</v>
      </c>
      <c r="D738">
        <f>_xlfn.XLOOKUP(B738,Sheet1!A:A,Sheet1!C:C)</f>
        <v>10</v>
      </c>
      <c r="E738">
        <f>_xlfn.XLOOKUP(B738,Sheet1!A:A,Sheet1!D:D)</f>
        <v>4</v>
      </c>
      <c r="F738">
        <f>_xlfn.XLOOKUP(Sheet3!B738,Sheet1!A:A,Sheet1!E:E)</f>
        <v>3.5</v>
      </c>
      <c r="G738">
        <f>_xlfn.XLOOKUP(B738,Sheet1!A:A,Sheet1!F:F)</f>
        <v>10</v>
      </c>
      <c r="H738" t="str" cm="1">
        <f t="array" aca="1" ref="H738" ca="1">INDEX(Sheet1!$G$2:$G$3, RANDBETWEEN(1, ROWS(Sheet1!$G$2:$G$3)))</f>
        <v>No</v>
      </c>
    </row>
    <row r="739" spans="1:8" x14ac:dyDescent="0.3">
      <c r="A739" s="2" t="str" cm="1">
        <f t="array" aca="1" ref="A739" ca="1">INDEX(Sheet1!$A$2:$A$46, RANDBETWEEN(1,ROWS(Sheet1!$A$2:$A$46)))</f>
        <v>B038</v>
      </c>
      <c r="B739" s="2" t="s">
        <v>92</v>
      </c>
      <c r="C739" t="str">
        <f>_xlfn.XLOOKUP(B739, Sheet1!A:A, Sheet1!B:B)</f>
        <v>square brownies</v>
      </c>
      <c r="D739">
        <f>_xlfn.XLOOKUP(B739,Sheet1!A:A,Sheet1!C:C)</f>
        <v>6</v>
      </c>
      <c r="E739">
        <f>_xlfn.XLOOKUP(B739,Sheet1!A:A,Sheet1!D:D)</f>
        <v>4.5</v>
      </c>
      <c r="F739">
        <f>_xlfn.XLOOKUP(Sheet3!B739,Sheet1!A:A,Sheet1!E:E)</f>
        <v>4</v>
      </c>
      <c r="G739">
        <f>_xlfn.XLOOKUP(B739,Sheet1!A:A,Sheet1!F:F)</f>
        <v>14</v>
      </c>
      <c r="H739" cm="1">
        <f t="array" aca="1" ref="H739" ca="1">INDEX(Sheet1!$G$2:$G$3, RANDBETWEEN(1, ROWS(Sheet1!$G$2:$G$3)))</f>
        <v>0</v>
      </c>
    </row>
    <row r="740" spans="1:8" x14ac:dyDescent="0.3">
      <c r="A740" s="2" t="str" cm="1">
        <f t="array" aca="1" ref="A740" ca="1">INDEX(Sheet1!$A$2:$A$46, RANDBETWEEN(1,ROWS(Sheet1!$A$2:$A$46)))</f>
        <v>B040</v>
      </c>
      <c r="B740" s="2" t="s">
        <v>83</v>
      </c>
      <c r="C740" t="str">
        <f>_xlfn.XLOOKUP(B740, Sheet1!A:A, Sheet1!B:B)</f>
        <v>pumpkin spice muffins</v>
      </c>
      <c r="D740">
        <f>_xlfn.XLOOKUP(B740,Sheet1!A:A,Sheet1!C:C)</f>
        <v>10</v>
      </c>
      <c r="E740">
        <f>_xlfn.XLOOKUP(B740,Sheet1!A:A,Sheet1!D:D)</f>
        <v>4.5</v>
      </c>
      <c r="F740">
        <f>_xlfn.XLOOKUP(Sheet3!B740,Sheet1!A:A,Sheet1!E:E)</f>
        <v>4</v>
      </c>
      <c r="G740">
        <f>_xlfn.XLOOKUP(B740,Sheet1!A:A,Sheet1!F:F)</f>
        <v>10</v>
      </c>
      <c r="H740" cm="1">
        <f t="array" aca="1" ref="H740" ca="1">INDEX(Sheet1!$G$2:$G$3, RANDBETWEEN(1, ROWS(Sheet1!$G$2:$G$3)))</f>
        <v>0</v>
      </c>
    </row>
    <row r="741" spans="1:8" x14ac:dyDescent="0.3">
      <c r="A741" s="2" t="str" cm="1">
        <f t="array" aca="1" ref="A741" ca="1">INDEX(Sheet1!$A$2:$A$46, RANDBETWEEN(1,ROWS(Sheet1!$A$2:$A$46)))</f>
        <v>B043</v>
      </c>
      <c r="B741" s="2" t="s">
        <v>66</v>
      </c>
      <c r="C741" t="str">
        <f>_xlfn.XLOOKUP(B741, Sheet1!A:A, Sheet1!B:B)</f>
        <v>pumpernickel bread</v>
      </c>
      <c r="D741">
        <f>_xlfn.XLOOKUP(B741,Sheet1!A:A,Sheet1!C:C)</f>
        <v>8</v>
      </c>
      <c r="E741">
        <f>_xlfn.XLOOKUP(B741,Sheet1!A:A,Sheet1!D:D)</f>
        <v>3.5</v>
      </c>
      <c r="F741">
        <f>_xlfn.XLOOKUP(Sheet3!B741,Sheet1!A:A,Sheet1!E:E)</f>
        <v>3</v>
      </c>
      <c r="G741">
        <f>_xlfn.XLOOKUP(B741,Sheet1!A:A,Sheet1!F:F)</f>
        <v>8</v>
      </c>
      <c r="H741" cm="1">
        <f t="array" aca="1" ref="H741" ca="1">INDEX(Sheet1!$G$2:$G$3, RANDBETWEEN(1, ROWS(Sheet1!$G$2:$G$3)))</f>
        <v>0</v>
      </c>
    </row>
    <row r="742" spans="1:8" x14ac:dyDescent="0.3">
      <c r="A742" s="2" t="str" cm="1">
        <f t="array" aca="1" ref="A742" ca="1">INDEX(Sheet1!$A$2:$A$46, RANDBETWEEN(1,ROWS(Sheet1!$A$2:$A$46)))</f>
        <v>B007</v>
      </c>
      <c r="B742" s="2" t="s">
        <v>92</v>
      </c>
      <c r="C742" t="str">
        <f>_xlfn.XLOOKUP(B742, Sheet1!A:A, Sheet1!B:B)</f>
        <v>square brownies</v>
      </c>
      <c r="D742">
        <f>_xlfn.XLOOKUP(B742,Sheet1!A:A,Sheet1!C:C)</f>
        <v>6</v>
      </c>
      <c r="E742">
        <f>_xlfn.XLOOKUP(B742,Sheet1!A:A,Sheet1!D:D)</f>
        <v>4.5</v>
      </c>
      <c r="F742">
        <f>_xlfn.XLOOKUP(Sheet3!B742,Sheet1!A:A,Sheet1!E:E)</f>
        <v>4</v>
      </c>
      <c r="G742">
        <f>_xlfn.XLOOKUP(B742,Sheet1!A:A,Sheet1!F:F)</f>
        <v>14</v>
      </c>
      <c r="H742" cm="1">
        <f t="array" aca="1" ref="H742" ca="1">INDEX(Sheet1!$G$2:$G$3, RANDBETWEEN(1, ROWS(Sheet1!$G$2:$G$3)))</f>
        <v>0</v>
      </c>
    </row>
    <row r="743" spans="1:8" x14ac:dyDescent="0.3">
      <c r="A743" s="2" t="str" cm="1">
        <f t="array" aca="1" ref="A743" ca="1">INDEX(Sheet1!$A$2:$A$46, RANDBETWEEN(1,ROWS(Sheet1!$A$2:$A$46)))</f>
        <v>B010</v>
      </c>
      <c r="B743" s="2" t="s">
        <v>72</v>
      </c>
      <c r="C743" t="str">
        <f>_xlfn.XLOOKUP(B743, Sheet1!A:A, Sheet1!B:B)</f>
        <v>cherry pie</v>
      </c>
      <c r="D743">
        <f>_xlfn.XLOOKUP(B743,Sheet1!A:A,Sheet1!C:C)</f>
        <v>6</v>
      </c>
      <c r="E743">
        <f>_xlfn.XLOOKUP(B743,Sheet1!A:A,Sheet1!D:D)</f>
        <v>4</v>
      </c>
      <c r="F743">
        <f>_xlfn.XLOOKUP(Sheet3!B743,Sheet1!A:A,Sheet1!E:E)</f>
        <v>3</v>
      </c>
      <c r="G743">
        <f>_xlfn.XLOOKUP(B743,Sheet1!A:A,Sheet1!F:F)</f>
        <v>7</v>
      </c>
      <c r="H743" cm="1">
        <f t="array" aca="1" ref="H743" ca="1">INDEX(Sheet1!$G$2:$G$3, RANDBETWEEN(1, ROWS(Sheet1!$G$2:$G$3)))</f>
        <v>0</v>
      </c>
    </row>
    <row r="744" spans="1:8" x14ac:dyDescent="0.3">
      <c r="A744" s="2" t="str" cm="1">
        <f t="array" aca="1" ref="A744" ca="1">INDEX(Sheet1!$A$2:$A$46, RANDBETWEEN(1,ROWS(Sheet1!$A$2:$A$46)))</f>
        <v>B018</v>
      </c>
      <c r="B744" s="2" t="s">
        <v>90</v>
      </c>
      <c r="C744" t="str">
        <f>_xlfn.XLOOKUP(B744, Sheet1!A:A, Sheet1!B:B)</f>
        <v>mini brownies</v>
      </c>
      <c r="D744">
        <f>_xlfn.XLOOKUP(B744,Sheet1!A:A,Sheet1!C:C)</f>
        <v>12</v>
      </c>
      <c r="E744">
        <f>_xlfn.XLOOKUP(B744,Sheet1!A:A,Sheet1!D:D)</f>
        <v>4.5</v>
      </c>
      <c r="F744">
        <f>_xlfn.XLOOKUP(Sheet3!B744,Sheet1!A:A,Sheet1!E:E)</f>
        <v>4</v>
      </c>
      <c r="G744">
        <f>_xlfn.XLOOKUP(B744,Sheet1!A:A,Sheet1!F:F)</f>
        <v>14</v>
      </c>
      <c r="H744" t="str" cm="1">
        <f t="array" aca="1" ref="H744" ca="1">INDEX(Sheet1!$G$2:$G$3, RANDBETWEEN(1, ROWS(Sheet1!$G$2:$G$3)))</f>
        <v>No</v>
      </c>
    </row>
    <row r="745" spans="1:8" x14ac:dyDescent="0.3">
      <c r="A745" s="2" t="str" cm="1">
        <f t="array" aca="1" ref="A745" ca="1">INDEX(Sheet1!$A$2:$A$46, RANDBETWEEN(1,ROWS(Sheet1!$A$2:$A$46)))</f>
        <v>B014</v>
      </c>
      <c r="B745" s="2" t="s">
        <v>67</v>
      </c>
      <c r="C745" t="str">
        <f>_xlfn.XLOOKUP(B745, Sheet1!A:A, Sheet1!B:B)</f>
        <v>seeded bread</v>
      </c>
      <c r="D745">
        <f>_xlfn.XLOOKUP(B745,Sheet1!A:A,Sheet1!C:C)</f>
        <v>8</v>
      </c>
      <c r="E745">
        <f>_xlfn.XLOOKUP(B745,Sheet1!A:A,Sheet1!D:D)</f>
        <v>3.5</v>
      </c>
      <c r="F745">
        <f>_xlfn.XLOOKUP(Sheet3!B745,Sheet1!A:A,Sheet1!E:E)</f>
        <v>3</v>
      </c>
      <c r="G745">
        <f>_xlfn.XLOOKUP(B745,Sheet1!A:A,Sheet1!F:F)</f>
        <v>8</v>
      </c>
      <c r="H745" cm="1">
        <f t="array" aca="1" ref="H745" ca="1">INDEX(Sheet1!$G$2:$G$3, RANDBETWEEN(1, ROWS(Sheet1!$G$2:$G$3)))</f>
        <v>0</v>
      </c>
    </row>
    <row r="746" spans="1:8" x14ac:dyDescent="0.3">
      <c r="A746" s="2" t="str" cm="1">
        <f t="array" aca="1" ref="A746" ca="1">INDEX(Sheet1!$A$2:$A$46, RANDBETWEEN(1,ROWS(Sheet1!$A$2:$A$46)))</f>
        <v>B034</v>
      </c>
      <c r="B746" s="2" t="s">
        <v>78</v>
      </c>
      <c r="C746" t="str">
        <f>_xlfn.XLOOKUP(B746, Sheet1!A:A, Sheet1!B:B)</f>
        <v>caramel pie</v>
      </c>
      <c r="D746">
        <f>_xlfn.XLOOKUP(B746,Sheet1!A:A,Sheet1!C:C)</f>
        <v>6</v>
      </c>
      <c r="E746">
        <f>_xlfn.XLOOKUP(B746,Sheet1!A:A,Sheet1!D:D)</f>
        <v>4</v>
      </c>
      <c r="F746">
        <f>_xlfn.XLOOKUP(Sheet3!B746,Sheet1!A:A,Sheet1!E:E)</f>
        <v>3</v>
      </c>
      <c r="G746">
        <f>_xlfn.XLOOKUP(B746,Sheet1!A:A,Sheet1!F:F)</f>
        <v>7</v>
      </c>
      <c r="H746" t="str" cm="1">
        <f t="array" aca="1" ref="H746" ca="1">INDEX(Sheet1!$G$2:$G$3, RANDBETWEEN(1, ROWS(Sheet1!$G$2:$G$3)))</f>
        <v>No</v>
      </c>
    </row>
    <row r="747" spans="1:8" x14ac:dyDescent="0.3">
      <c r="A747" s="2" t="str" cm="1">
        <f t="array" aca="1" ref="A747" ca="1">INDEX(Sheet1!$A$2:$A$46, RANDBETWEEN(1,ROWS(Sheet1!$A$2:$A$46)))</f>
        <v>B011</v>
      </c>
      <c r="B747" s="2" t="s">
        <v>23</v>
      </c>
      <c r="C747" t="str">
        <f>_xlfn.XLOOKUP(B747, Sheet1!A:A, Sheet1!B:B)</f>
        <v>cheese cake</v>
      </c>
      <c r="D747">
        <f>_xlfn.XLOOKUP(B747,Sheet1!A:A,Sheet1!C:C)</f>
        <v>9</v>
      </c>
      <c r="E747">
        <f>_xlfn.XLOOKUP(B747,Sheet1!A:A,Sheet1!D:D)</f>
        <v>6.5</v>
      </c>
      <c r="F747">
        <f>_xlfn.XLOOKUP(Sheet3!B747,Sheet1!A:A,Sheet1!E:E)</f>
        <v>5.5</v>
      </c>
      <c r="G747">
        <f>_xlfn.XLOOKUP(B747,Sheet1!A:A,Sheet1!F:F)</f>
        <v>9</v>
      </c>
      <c r="H747" t="str" cm="1">
        <f t="array" aca="1" ref="H747" ca="1">INDEX(Sheet1!$G$2:$G$3, RANDBETWEEN(1, ROWS(Sheet1!$G$2:$G$3)))</f>
        <v>No</v>
      </c>
    </row>
    <row r="748" spans="1:8" x14ac:dyDescent="0.3">
      <c r="A748" s="2" t="str" cm="1">
        <f t="array" aca="1" ref="A748" ca="1">INDEX(Sheet1!$A$2:$A$46, RANDBETWEEN(1,ROWS(Sheet1!$A$2:$A$46)))</f>
        <v>B045</v>
      </c>
      <c r="B748" s="2" t="s">
        <v>34</v>
      </c>
      <c r="C748" t="str">
        <f>_xlfn.XLOOKUP(B748, Sheet1!A:A, Sheet1!B:B)</f>
        <v>almond croissant</v>
      </c>
      <c r="D748">
        <f>_xlfn.XLOOKUP(B748,Sheet1!A:A,Sheet1!C:C)</f>
        <v>6</v>
      </c>
      <c r="E748">
        <f>_xlfn.XLOOKUP(B748,Sheet1!A:A,Sheet1!D:D)</f>
        <v>3.5</v>
      </c>
      <c r="F748">
        <f>_xlfn.XLOOKUP(Sheet3!B748,Sheet1!A:A,Sheet1!E:E)</f>
        <v>3</v>
      </c>
      <c r="G748">
        <f>_xlfn.XLOOKUP(B748,Sheet1!A:A,Sheet1!F:F)</f>
        <v>10</v>
      </c>
      <c r="H748" cm="1">
        <f t="array" aca="1" ref="H748" ca="1">INDEX(Sheet1!$G$2:$G$3, RANDBETWEEN(1, ROWS(Sheet1!$G$2:$G$3)))</f>
        <v>0</v>
      </c>
    </row>
    <row r="749" spans="1:8" x14ac:dyDescent="0.3">
      <c r="A749" s="2" t="str" cm="1">
        <f t="array" aca="1" ref="A749" ca="1">INDEX(Sheet1!$A$2:$A$46, RANDBETWEEN(1,ROWS(Sheet1!$A$2:$A$46)))</f>
        <v>B031</v>
      </c>
      <c r="B749" s="2" t="s">
        <v>88</v>
      </c>
      <c r="C749" t="str">
        <f>_xlfn.XLOOKUP(B749, Sheet1!A:A, Sheet1!B:B)</f>
        <v>everything bagels</v>
      </c>
      <c r="D749">
        <f>_xlfn.XLOOKUP(B749,Sheet1!A:A,Sheet1!C:C)</f>
        <v>8</v>
      </c>
      <c r="E749">
        <f>_xlfn.XLOOKUP(B749,Sheet1!A:A,Sheet1!D:D)</f>
        <v>3.5</v>
      </c>
      <c r="F749">
        <f>_xlfn.XLOOKUP(Sheet3!B749,Sheet1!A:A,Sheet1!E:E)</f>
        <v>3</v>
      </c>
      <c r="G749">
        <f>_xlfn.XLOOKUP(B749,Sheet1!A:A,Sheet1!F:F)</f>
        <v>8</v>
      </c>
      <c r="H749" t="str" cm="1">
        <f t="array" aca="1" ref="H749" ca="1">INDEX(Sheet1!$G$2:$G$3, RANDBETWEEN(1, ROWS(Sheet1!$G$2:$G$3)))</f>
        <v>No</v>
      </c>
    </row>
    <row r="750" spans="1:8" x14ac:dyDescent="0.3">
      <c r="A750" s="2" t="str" cm="1">
        <f t="array" aca="1" ref="A750" ca="1">INDEX(Sheet1!$A$2:$A$46, RANDBETWEEN(1,ROWS(Sheet1!$A$2:$A$46)))</f>
        <v>B013</v>
      </c>
      <c r="B750" s="2" t="s">
        <v>60</v>
      </c>
      <c r="C750" t="str">
        <f>_xlfn.XLOOKUP(B750, Sheet1!A:A, Sheet1!B:B)</f>
        <v>banana nut sliced loaf cake</v>
      </c>
      <c r="D750">
        <f>_xlfn.XLOOKUP(B750,Sheet1!A:A,Sheet1!C:C)</f>
        <v>10</v>
      </c>
      <c r="E750">
        <f>_xlfn.XLOOKUP(B750,Sheet1!A:A,Sheet1!D:D)</f>
        <v>4</v>
      </c>
      <c r="F750">
        <f>_xlfn.XLOOKUP(Sheet3!B750,Sheet1!A:A,Sheet1!E:E)</f>
        <v>3.5</v>
      </c>
      <c r="G750">
        <f>_xlfn.XLOOKUP(B750,Sheet1!A:A,Sheet1!F:F)</f>
        <v>10</v>
      </c>
      <c r="H750" t="str" cm="1">
        <f t="array" aca="1" ref="H750" ca="1">INDEX(Sheet1!$G$2:$G$3, RANDBETWEEN(1, ROWS(Sheet1!$G$2:$G$3)))</f>
        <v>No</v>
      </c>
    </row>
    <row r="751" spans="1:8" x14ac:dyDescent="0.3">
      <c r="A751" s="2" t="str" cm="1">
        <f t="array" aca="1" ref="A751" ca="1">INDEX(Sheet1!$A$2:$A$46, RANDBETWEEN(1,ROWS(Sheet1!$A$2:$A$46)))</f>
        <v>B001</v>
      </c>
      <c r="B751" s="2" t="s">
        <v>82</v>
      </c>
      <c r="C751" t="str">
        <f>_xlfn.XLOOKUP(B751, Sheet1!A:A, Sheet1!B:B)</f>
        <v>white square cake</v>
      </c>
      <c r="D751">
        <f>_xlfn.XLOOKUP(B751,Sheet1!A:A,Sheet1!C:C)</f>
        <v>8</v>
      </c>
      <c r="E751">
        <f>_xlfn.XLOOKUP(B751,Sheet1!A:A,Sheet1!D:D)</f>
        <v>2.5</v>
      </c>
      <c r="F751">
        <f>_xlfn.XLOOKUP(Sheet3!B751,Sheet1!A:A,Sheet1!E:E)</f>
        <v>2</v>
      </c>
      <c r="G751">
        <f>_xlfn.XLOOKUP(B751,Sheet1!A:A,Sheet1!F:F)</f>
        <v>5</v>
      </c>
      <c r="H751" t="str" cm="1">
        <f t="array" aca="1" ref="H751" ca="1">INDEX(Sheet1!$G$2:$G$3, RANDBETWEEN(1, ROWS(Sheet1!$G$2:$G$3)))</f>
        <v>No</v>
      </c>
    </row>
    <row r="752" spans="1:8" x14ac:dyDescent="0.3">
      <c r="A752" s="2" t="str" cm="1">
        <f t="array" aca="1" ref="A752" ca="1">INDEX(Sheet1!$A$2:$A$46, RANDBETWEEN(1,ROWS(Sheet1!$A$2:$A$46)))</f>
        <v>B010</v>
      </c>
      <c r="B752" s="2" t="s">
        <v>82</v>
      </c>
      <c r="C752" t="str">
        <f>_xlfn.XLOOKUP(B752, Sheet1!A:A, Sheet1!B:B)</f>
        <v>white square cake</v>
      </c>
      <c r="D752">
        <f>_xlfn.XLOOKUP(B752,Sheet1!A:A,Sheet1!C:C)</f>
        <v>8</v>
      </c>
      <c r="E752">
        <f>_xlfn.XLOOKUP(B752,Sheet1!A:A,Sheet1!D:D)</f>
        <v>2.5</v>
      </c>
      <c r="F752">
        <f>_xlfn.XLOOKUP(Sheet3!B752,Sheet1!A:A,Sheet1!E:E)</f>
        <v>2</v>
      </c>
      <c r="G752">
        <f>_xlfn.XLOOKUP(B752,Sheet1!A:A,Sheet1!F:F)</f>
        <v>5</v>
      </c>
      <c r="H752" cm="1">
        <f t="array" aca="1" ref="H752" ca="1">INDEX(Sheet1!$G$2:$G$3, RANDBETWEEN(1, ROWS(Sheet1!$G$2:$G$3)))</f>
        <v>0</v>
      </c>
    </row>
    <row r="753" spans="1:8" x14ac:dyDescent="0.3">
      <c r="A753" s="2" t="str" cm="1">
        <f t="array" aca="1" ref="A753" ca="1">INDEX(Sheet1!$A$2:$A$46, RANDBETWEEN(1,ROWS(Sheet1!$A$2:$A$46)))</f>
        <v>B014</v>
      </c>
      <c r="B753" s="2" t="s">
        <v>40</v>
      </c>
      <c r="C753" t="str">
        <f>_xlfn.XLOOKUP(B753, Sheet1!A:A, Sheet1!B:B)</f>
        <v>frosted pink cookies</v>
      </c>
      <c r="D753">
        <f>_xlfn.XLOOKUP(B753,Sheet1!A:A,Sheet1!C:C)</f>
        <v>15</v>
      </c>
      <c r="E753">
        <f>_xlfn.XLOOKUP(B753,Sheet1!A:A,Sheet1!D:D)</f>
        <v>3</v>
      </c>
      <c r="F753">
        <f>_xlfn.XLOOKUP(Sheet3!B753,Sheet1!A:A,Sheet1!E:E)</f>
        <v>2.5</v>
      </c>
      <c r="G753">
        <f>_xlfn.XLOOKUP(B753,Sheet1!A:A,Sheet1!F:F)</f>
        <v>14</v>
      </c>
      <c r="H753" cm="1">
        <f t="array" aca="1" ref="H753" ca="1">INDEX(Sheet1!$G$2:$G$3, RANDBETWEEN(1, ROWS(Sheet1!$G$2:$G$3)))</f>
        <v>0</v>
      </c>
    </row>
    <row r="754" spans="1:8" x14ac:dyDescent="0.3">
      <c r="A754" s="2" t="str" cm="1">
        <f t="array" aca="1" ref="A754" ca="1">INDEX(Sheet1!$A$2:$A$46, RANDBETWEEN(1,ROWS(Sheet1!$A$2:$A$46)))</f>
        <v>B004</v>
      </c>
      <c r="B754" s="2" t="s">
        <v>82</v>
      </c>
      <c r="C754" t="str">
        <f>_xlfn.XLOOKUP(B754, Sheet1!A:A, Sheet1!B:B)</f>
        <v>white square cake</v>
      </c>
      <c r="D754">
        <f>_xlfn.XLOOKUP(B754,Sheet1!A:A,Sheet1!C:C)</f>
        <v>8</v>
      </c>
      <c r="E754">
        <f>_xlfn.XLOOKUP(B754,Sheet1!A:A,Sheet1!D:D)</f>
        <v>2.5</v>
      </c>
      <c r="F754">
        <f>_xlfn.XLOOKUP(Sheet3!B754,Sheet1!A:A,Sheet1!E:E)</f>
        <v>2</v>
      </c>
      <c r="G754">
        <f>_xlfn.XLOOKUP(B754,Sheet1!A:A,Sheet1!F:F)</f>
        <v>5</v>
      </c>
      <c r="H754" cm="1">
        <f t="array" aca="1" ref="H754" ca="1">INDEX(Sheet1!$G$2:$G$3, RANDBETWEEN(1, ROWS(Sheet1!$G$2:$G$3)))</f>
        <v>0</v>
      </c>
    </row>
    <row r="755" spans="1:8" x14ac:dyDescent="0.3">
      <c r="A755" s="2" t="str" cm="1">
        <f t="array" aca="1" ref="A755" ca="1">INDEX(Sheet1!$A$2:$A$46, RANDBETWEEN(1,ROWS(Sheet1!$A$2:$A$46)))</f>
        <v>B018</v>
      </c>
      <c r="B755" s="2" t="s">
        <v>79</v>
      </c>
      <c r="C755" t="str">
        <f>_xlfn.XLOOKUP(B755, Sheet1!A:A, Sheet1!B:B)</f>
        <v>chocolate square cake</v>
      </c>
      <c r="D755">
        <f>_xlfn.XLOOKUP(B755,Sheet1!A:A,Sheet1!C:C)</f>
        <v>8</v>
      </c>
      <c r="E755">
        <f>_xlfn.XLOOKUP(B755,Sheet1!A:A,Sheet1!D:D)</f>
        <v>2.5</v>
      </c>
      <c r="F755">
        <f>_xlfn.XLOOKUP(Sheet3!B755,Sheet1!A:A,Sheet1!E:E)</f>
        <v>2</v>
      </c>
      <c r="G755">
        <f>_xlfn.XLOOKUP(B755,Sheet1!A:A,Sheet1!F:F)</f>
        <v>5</v>
      </c>
      <c r="H755" t="str" cm="1">
        <f t="array" aca="1" ref="H755" ca="1">INDEX(Sheet1!$G$2:$G$3, RANDBETWEEN(1, ROWS(Sheet1!$G$2:$G$3)))</f>
        <v>No</v>
      </c>
    </row>
    <row r="756" spans="1:8" x14ac:dyDescent="0.3">
      <c r="A756" s="2" t="str" cm="1">
        <f t="array" aca="1" ref="A756" ca="1">INDEX(Sheet1!$A$2:$A$46, RANDBETWEEN(1,ROWS(Sheet1!$A$2:$A$46)))</f>
        <v>B001</v>
      </c>
      <c r="B756" s="2" t="s">
        <v>83</v>
      </c>
      <c r="C756" t="str">
        <f>_xlfn.XLOOKUP(B756, Sheet1!A:A, Sheet1!B:B)</f>
        <v>pumpkin spice muffins</v>
      </c>
      <c r="D756">
        <f>_xlfn.XLOOKUP(B756,Sheet1!A:A,Sheet1!C:C)</f>
        <v>10</v>
      </c>
      <c r="E756">
        <f>_xlfn.XLOOKUP(B756,Sheet1!A:A,Sheet1!D:D)</f>
        <v>4.5</v>
      </c>
      <c r="F756">
        <f>_xlfn.XLOOKUP(Sheet3!B756,Sheet1!A:A,Sheet1!E:E)</f>
        <v>4</v>
      </c>
      <c r="G756">
        <f>_xlfn.XLOOKUP(B756,Sheet1!A:A,Sheet1!F:F)</f>
        <v>10</v>
      </c>
      <c r="H756" t="str" cm="1">
        <f t="array" aca="1" ref="H756" ca="1">INDEX(Sheet1!$G$2:$G$3, RANDBETWEEN(1, ROWS(Sheet1!$G$2:$G$3)))</f>
        <v>No</v>
      </c>
    </row>
    <row r="757" spans="1:8" x14ac:dyDescent="0.3">
      <c r="A757" s="2" t="str" cm="1">
        <f t="array" aca="1" ref="A757" ca="1">INDEX(Sheet1!$A$2:$A$46, RANDBETWEEN(1,ROWS(Sheet1!$A$2:$A$46)))</f>
        <v>B005</v>
      </c>
      <c r="B757" s="2" t="s">
        <v>20</v>
      </c>
      <c r="C757" t="str">
        <f>_xlfn.XLOOKUP(B757, Sheet1!A:A, Sheet1!B:B)</f>
        <v>banana nut muffins</v>
      </c>
      <c r="D757">
        <f>_xlfn.XLOOKUP(B757,Sheet1!A:A,Sheet1!C:C)</f>
        <v>10</v>
      </c>
      <c r="E757">
        <f>_xlfn.XLOOKUP(B757,Sheet1!A:A,Sheet1!D:D)</f>
        <v>4.5</v>
      </c>
      <c r="F757">
        <f>_xlfn.XLOOKUP(Sheet3!B757,Sheet1!A:A,Sheet1!E:E)</f>
        <v>4</v>
      </c>
      <c r="G757">
        <f>_xlfn.XLOOKUP(B757,Sheet1!A:A,Sheet1!F:F)</f>
        <v>10</v>
      </c>
      <c r="H757" cm="1">
        <f t="array" aca="1" ref="H757" ca="1">INDEX(Sheet1!$G$2:$G$3, RANDBETWEEN(1, ROWS(Sheet1!$G$2:$G$3)))</f>
        <v>0</v>
      </c>
    </row>
    <row r="758" spans="1:8" x14ac:dyDescent="0.3">
      <c r="A758" s="2" t="str" cm="1">
        <f t="array" aca="1" ref="A758" ca="1">INDEX(Sheet1!$A$2:$A$46, RANDBETWEEN(1,ROWS(Sheet1!$A$2:$A$46)))</f>
        <v>B018</v>
      </c>
      <c r="B758" s="2" t="s">
        <v>21</v>
      </c>
      <c r="C758" t="str">
        <f>_xlfn.XLOOKUP(B758, Sheet1!A:A, Sheet1!B:B)</f>
        <v>butter cake</v>
      </c>
      <c r="D758">
        <f>_xlfn.XLOOKUP(B758,Sheet1!A:A,Sheet1!C:C)</f>
        <v>8</v>
      </c>
      <c r="E758">
        <f>_xlfn.XLOOKUP(B758,Sheet1!A:A,Sheet1!D:D)</f>
        <v>4</v>
      </c>
      <c r="F758">
        <f>_xlfn.XLOOKUP(Sheet3!B758,Sheet1!A:A,Sheet1!E:E)</f>
        <v>3</v>
      </c>
      <c r="G758">
        <f>_xlfn.XLOOKUP(B758,Sheet1!A:A,Sheet1!F:F)</f>
        <v>14</v>
      </c>
      <c r="H758" cm="1">
        <f t="array" aca="1" ref="H758" ca="1">INDEX(Sheet1!$G$2:$G$3, RANDBETWEEN(1, ROWS(Sheet1!$G$2:$G$3)))</f>
        <v>0</v>
      </c>
    </row>
    <row r="759" spans="1:8" x14ac:dyDescent="0.3">
      <c r="A759" s="2" t="str" cm="1">
        <f t="array" aca="1" ref="A759" ca="1">INDEX(Sheet1!$A$2:$A$46, RANDBETWEEN(1,ROWS(Sheet1!$A$2:$A$46)))</f>
        <v>B027</v>
      </c>
      <c r="B759" s="2" t="s">
        <v>16</v>
      </c>
      <c r="C759" t="str">
        <f>_xlfn.XLOOKUP(B759, Sheet1!A:A, Sheet1!B:B)</f>
        <v>mini croissant</v>
      </c>
      <c r="D759">
        <f>_xlfn.XLOOKUP(B759,Sheet1!A:A,Sheet1!C:C)</f>
        <v>10</v>
      </c>
      <c r="E759">
        <f>_xlfn.XLOOKUP(B759,Sheet1!A:A,Sheet1!D:D)</f>
        <v>5.5</v>
      </c>
      <c r="F759">
        <f>_xlfn.XLOOKUP(Sheet3!B759,Sheet1!A:A,Sheet1!E:E)</f>
        <v>4.5</v>
      </c>
      <c r="G759">
        <f>_xlfn.XLOOKUP(B759,Sheet1!A:A,Sheet1!F:F)</f>
        <v>7</v>
      </c>
      <c r="H759" t="str" cm="1">
        <f t="array" aca="1" ref="H759" ca="1">INDEX(Sheet1!$G$2:$G$3, RANDBETWEEN(1, ROWS(Sheet1!$G$2:$G$3)))</f>
        <v>No</v>
      </c>
    </row>
    <row r="760" spans="1:8" x14ac:dyDescent="0.3">
      <c r="A760" s="2" t="str" cm="1">
        <f t="array" aca="1" ref="A760" ca="1">INDEX(Sheet1!$A$2:$A$46, RANDBETWEEN(1,ROWS(Sheet1!$A$2:$A$46)))</f>
        <v>B040</v>
      </c>
      <c r="B760" s="2" t="s">
        <v>19</v>
      </c>
      <c r="C760" t="str">
        <f>_xlfn.XLOOKUP(B760, Sheet1!A:A, Sheet1!B:B)</f>
        <v>blueberry muffins</v>
      </c>
      <c r="D760">
        <f>_xlfn.XLOOKUP(B760,Sheet1!A:A,Sheet1!C:C)</f>
        <v>10</v>
      </c>
      <c r="E760">
        <f>_xlfn.XLOOKUP(B760,Sheet1!A:A,Sheet1!D:D)</f>
        <v>4.5</v>
      </c>
      <c r="F760">
        <f>_xlfn.XLOOKUP(Sheet3!B760,Sheet1!A:A,Sheet1!E:E)</f>
        <v>4</v>
      </c>
      <c r="G760">
        <f>_xlfn.XLOOKUP(B760,Sheet1!A:A,Sheet1!F:F)</f>
        <v>10</v>
      </c>
      <c r="H760" cm="1">
        <f t="array" aca="1" ref="H760" ca="1">INDEX(Sheet1!$G$2:$G$3, RANDBETWEEN(1, ROWS(Sheet1!$G$2:$G$3)))</f>
        <v>0</v>
      </c>
    </row>
    <row r="761" spans="1:8" x14ac:dyDescent="0.3">
      <c r="A761" s="2" t="str" cm="1">
        <f t="array" aca="1" ref="A761" ca="1">INDEX(Sheet1!$A$2:$A$46, RANDBETWEEN(1,ROWS(Sheet1!$A$2:$A$46)))</f>
        <v>B031</v>
      </c>
      <c r="B761" s="2" t="s">
        <v>36</v>
      </c>
      <c r="C761" t="str">
        <f>_xlfn.XLOOKUP(B761, Sheet1!A:A, Sheet1!B:B)</f>
        <v>oatmeal raisin cookies</v>
      </c>
      <c r="D761">
        <f>_xlfn.XLOOKUP(B761,Sheet1!A:A,Sheet1!C:C)</f>
        <v>12</v>
      </c>
      <c r="E761">
        <f>_xlfn.XLOOKUP(B761,Sheet1!A:A,Sheet1!D:D)</f>
        <v>3.5</v>
      </c>
      <c r="F761">
        <f>_xlfn.XLOOKUP(Sheet3!B761,Sheet1!A:A,Sheet1!E:E)</f>
        <v>3</v>
      </c>
      <c r="G761">
        <f>_xlfn.XLOOKUP(B761,Sheet1!A:A,Sheet1!F:F)</f>
        <v>14</v>
      </c>
      <c r="H761" t="str" cm="1">
        <f t="array" aca="1" ref="H761" ca="1">INDEX(Sheet1!$G$2:$G$3, RANDBETWEEN(1, ROWS(Sheet1!$G$2:$G$3)))</f>
        <v>No</v>
      </c>
    </row>
    <row r="762" spans="1:8" x14ac:dyDescent="0.3">
      <c r="A762" s="2" t="str" cm="1">
        <f t="array" aca="1" ref="A762" ca="1">INDEX(Sheet1!$A$2:$A$46, RANDBETWEEN(1,ROWS(Sheet1!$A$2:$A$46)))</f>
        <v>B021</v>
      </c>
      <c r="B762" s="2" t="s">
        <v>59</v>
      </c>
      <c r="C762" t="str">
        <f>_xlfn.XLOOKUP(B762, Sheet1!A:A, Sheet1!B:B)</f>
        <v>iced lemon sliced loaf cake</v>
      </c>
      <c r="D762">
        <f>_xlfn.XLOOKUP(B762,Sheet1!A:A,Sheet1!C:C)</f>
        <v>10</v>
      </c>
      <c r="E762">
        <f>_xlfn.XLOOKUP(B762,Sheet1!A:A,Sheet1!D:D)</f>
        <v>4</v>
      </c>
      <c r="F762">
        <f>_xlfn.XLOOKUP(Sheet3!B762,Sheet1!A:A,Sheet1!E:E)</f>
        <v>3.5</v>
      </c>
      <c r="G762">
        <f>_xlfn.XLOOKUP(B762,Sheet1!A:A,Sheet1!F:F)</f>
        <v>10</v>
      </c>
      <c r="H762" cm="1">
        <f t="array" aca="1" ref="H762" ca="1">INDEX(Sheet1!$G$2:$G$3, RANDBETWEEN(1, ROWS(Sheet1!$G$2:$G$3)))</f>
        <v>0</v>
      </c>
    </row>
    <row r="763" spans="1:8" x14ac:dyDescent="0.3">
      <c r="A763" s="2" t="str" cm="1">
        <f t="array" aca="1" ref="A763" ca="1">INDEX(Sheet1!$A$2:$A$46, RANDBETWEEN(1,ROWS(Sheet1!$A$2:$A$46)))</f>
        <v>B015</v>
      </c>
      <c r="B763" s="2" t="s">
        <v>39</v>
      </c>
      <c r="C763" t="str">
        <f>_xlfn.XLOOKUP(B763, Sheet1!A:A, Sheet1!B:B)</f>
        <v>macadamia nut cookies</v>
      </c>
      <c r="D763">
        <f>_xlfn.XLOOKUP(B763,Sheet1!A:A,Sheet1!C:C)</f>
        <v>12</v>
      </c>
      <c r="E763">
        <f>_xlfn.XLOOKUP(B763,Sheet1!A:A,Sheet1!D:D)</f>
        <v>3.5</v>
      </c>
      <c r="F763">
        <f>_xlfn.XLOOKUP(Sheet3!B763,Sheet1!A:A,Sheet1!E:E)</f>
        <v>3</v>
      </c>
      <c r="G763">
        <f>_xlfn.XLOOKUP(B763,Sheet1!A:A,Sheet1!F:F)</f>
        <v>14</v>
      </c>
      <c r="H763" t="str" cm="1">
        <f t="array" aca="1" ref="H763" ca="1">INDEX(Sheet1!$G$2:$G$3, RANDBETWEEN(1, ROWS(Sheet1!$G$2:$G$3)))</f>
        <v>No</v>
      </c>
    </row>
    <row r="764" spans="1:8" x14ac:dyDescent="0.3">
      <c r="A764" s="2" t="str" cm="1">
        <f t="array" aca="1" ref="A764" ca="1">INDEX(Sheet1!$A$2:$A$46, RANDBETWEEN(1,ROWS(Sheet1!$A$2:$A$46)))</f>
        <v>B033</v>
      </c>
      <c r="B764" s="2" t="s">
        <v>82</v>
      </c>
      <c r="C764" t="str">
        <f>_xlfn.XLOOKUP(B764, Sheet1!A:A, Sheet1!B:B)</f>
        <v>white square cake</v>
      </c>
      <c r="D764">
        <f>_xlfn.XLOOKUP(B764,Sheet1!A:A,Sheet1!C:C)</f>
        <v>8</v>
      </c>
      <c r="E764">
        <f>_xlfn.XLOOKUP(B764,Sheet1!A:A,Sheet1!D:D)</f>
        <v>2.5</v>
      </c>
      <c r="F764">
        <f>_xlfn.XLOOKUP(Sheet3!B764,Sheet1!A:A,Sheet1!E:E)</f>
        <v>2</v>
      </c>
      <c r="G764">
        <f>_xlfn.XLOOKUP(B764,Sheet1!A:A,Sheet1!F:F)</f>
        <v>5</v>
      </c>
      <c r="H764" t="str" cm="1">
        <f t="array" aca="1" ref="H764" ca="1">INDEX(Sheet1!$G$2:$G$3, RANDBETWEEN(1, ROWS(Sheet1!$G$2:$G$3)))</f>
        <v>No</v>
      </c>
    </row>
    <row r="765" spans="1:8" x14ac:dyDescent="0.3">
      <c r="A765" s="2" t="str" cm="1">
        <f t="array" aca="1" ref="A765" ca="1">INDEX(Sheet1!$A$2:$A$46, RANDBETWEEN(1,ROWS(Sheet1!$A$2:$A$46)))</f>
        <v>B015</v>
      </c>
      <c r="B765" s="2" t="s">
        <v>39</v>
      </c>
      <c r="C765" t="str">
        <f>_xlfn.XLOOKUP(B765, Sheet1!A:A, Sheet1!B:B)</f>
        <v>macadamia nut cookies</v>
      </c>
      <c r="D765">
        <f>_xlfn.XLOOKUP(B765,Sheet1!A:A,Sheet1!C:C)</f>
        <v>12</v>
      </c>
      <c r="E765">
        <f>_xlfn.XLOOKUP(B765,Sheet1!A:A,Sheet1!D:D)</f>
        <v>3.5</v>
      </c>
      <c r="F765">
        <f>_xlfn.XLOOKUP(Sheet3!B765,Sheet1!A:A,Sheet1!E:E)</f>
        <v>3</v>
      </c>
      <c r="G765">
        <f>_xlfn.XLOOKUP(B765,Sheet1!A:A,Sheet1!F:F)</f>
        <v>14</v>
      </c>
      <c r="H765" cm="1">
        <f t="array" aca="1" ref="H765" ca="1">INDEX(Sheet1!$G$2:$G$3, RANDBETWEEN(1, ROWS(Sheet1!$G$2:$G$3)))</f>
        <v>0</v>
      </c>
    </row>
    <row r="766" spans="1:8" x14ac:dyDescent="0.3">
      <c r="A766" s="2" t="str" cm="1">
        <f t="array" aca="1" ref="A766" ca="1">INDEX(Sheet1!$A$2:$A$46, RANDBETWEEN(1,ROWS(Sheet1!$A$2:$A$46)))</f>
        <v>B037</v>
      </c>
      <c r="B766" s="2" t="s">
        <v>83</v>
      </c>
      <c r="C766" t="str">
        <f>_xlfn.XLOOKUP(B766, Sheet1!A:A, Sheet1!B:B)</f>
        <v>pumpkin spice muffins</v>
      </c>
      <c r="D766">
        <f>_xlfn.XLOOKUP(B766,Sheet1!A:A,Sheet1!C:C)</f>
        <v>10</v>
      </c>
      <c r="E766">
        <f>_xlfn.XLOOKUP(B766,Sheet1!A:A,Sheet1!D:D)</f>
        <v>4.5</v>
      </c>
      <c r="F766">
        <f>_xlfn.XLOOKUP(Sheet3!B766,Sheet1!A:A,Sheet1!E:E)</f>
        <v>4</v>
      </c>
      <c r="G766">
        <f>_xlfn.XLOOKUP(B766,Sheet1!A:A,Sheet1!F:F)</f>
        <v>10</v>
      </c>
      <c r="H766" cm="1">
        <f t="array" aca="1" ref="H766" ca="1">INDEX(Sheet1!$G$2:$G$3, RANDBETWEEN(1, ROWS(Sheet1!$G$2:$G$3)))</f>
        <v>0</v>
      </c>
    </row>
    <row r="767" spans="1:8" x14ac:dyDescent="0.3">
      <c r="A767" s="2" t="str" cm="1">
        <f t="array" aca="1" ref="A767" ca="1">INDEX(Sheet1!$A$2:$A$46, RANDBETWEEN(1,ROWS(Sheet1!$A$2:$A$46)))</f>
        <v>B021</v>
      </c>
      <c r="B767" s="2" t="s">
        <v>66</v>
      </c>
      <c r="C767" t="str">
        <f>_xlfn.XLOOKUP(B767, Sheet1!A:A, Sheet1!B:B)</f>
        <v>pumpernickel bread</v>
      </c>
      <c r="D767">
        <f>_xlfn.XLOOKUP(B767,Sheet1!A:A,Sheet1!C:C)</f>
        <v>8</v>
      </c>
      <c r="E767">
        <f>_xlfn.XLOOKUP(B767,Sheet1!A:A,Sheet1!D:D)</f>
        <v>3.5</v>
      </c>
      <c r="F767">
        <f>_xlfn.XLOOKUP(Sheet3!B767,Sheet1!A:A,Sheet1!E:E)</f>
        <v>3</v>
      </c>
      <c r="G767">
        <f>_xlfn.XLOOKUP(B767,Sheet1!A:A,Sheet1!F:F)</f>
        <v>8</v>
      </c>
      <c r="H767" cm="1">
        <f t="array" aca="1" ref="H767" ca="1">INDEX(Sheet1!$G$2:$G$3, RANDBETWEEN(1, ROWS(Sheet1!$G$2:$G$3)))</f>
        <v>0</v>
      </c>
    </row>
    <row r="768" spans="1:8" x14ac:dyDescent="0.3">
      <c r="A768" s="2" t="str" cm="1">
        <f t="array" aca="1" ref="A768" ca="1">INDEX(Sheet1!$A$2:$A$46, RANDBETWEEN(1,ROWS(Sheet1!$A$2:$A$46)))</f>
        <v>B041</v>
      </c>
      <c r="B768" s="2" t="s">
        <v>90</v>
      </c>
      <c r="C768" t="str">
        <f>_xlfn.XLOOKUP(B768, Sheet1!A:A, Sheet1!B:B)</f>
        <v>mini brownies</v>
      </c>
      <c r="D768">
        <f>_xlfn.XLOOKUP(B768,Sheet1!A:A,Sheet1!C:C)</f>
        <v>12</v>
      </c>
      <c r="E768">
        <f>_xlfn.XLOOKUP(B768,Sheet1!A:A,Sheet1!D:D)</f>
        <v>4.5</v>
      </c>
      <c r="F768">
        <f>_xlfn.XLOOKUP(Sheet3!B768,Sheet1!A:A,Sheet1!E:E)</f>
        <v>4</v>
      </c>
      <c r="G768">
        <f>_xlfn.XLOOKUP(B768,Sheet1!A:A,Sheet1!F:F)</f>
        <v>14</v>
      </c>
      <c r="H768" t="str" cm="1">
        <f t="array" aca="1" ref="H768" ca="1">INDEX(Sheet1!$G$2:$G$3, RANDBETWEEN(1, ROWS(Sheet1!$G$2:$G$3)))</f>
        <v>No</v>
      </c>
    </row>
    <row r="769" spans="1:8" x14ac:dyDescent="0.3">
      <c r="A769" s="2" t="str" cm="1">
        <f t="array" aca="1" ref="A769" ca="1">INDEX(Sheet1!$A$2:$A$46, RANDBETWEEN(1,ROWS(Sheet1!$A$2:$A$46)))</f>
        <v>B029</v>
      </c>
      <c r="B769" s="2" t="s">
        <v>79</v>
      </c>
      <c r="C769" t="str">
        <f>_xlfn.XLOOKUP(B769, Sheet1!A:A, Sheet1!B:B)</f>
        <v>chocolate square cake</v>
      </c>
      <c r="D769">
        <f>_xlfn.XLOOKUP(B769,Sheet1!A:A,Sheet1!C:C)</f>
        <v>8</v>
      </c>
      <c r="E769">
        <f>_xlfn.XLOOKUP(B769,Sheet1!A:A,Sheet1!D:D)</f>
        <v>2.5</v>
      </c>
      <c r="F769">
        <f>_xlfn.XLOOKUP(Sheet3!B769,Sheet1!A:A,Sheet1!E:E)</f>
        <v>2</v>
      </c>
      <c r="G769">
        <f>_xlfn.XLOOKUP(B769,Sheet1!A:A,Sheet1!F:F)</f>
        <v>5</v>
      </c>
      <c r="H769" cm="1">
        <f t="array" aca="1" ref="H769" ca="1">INDEX(Sheet1!$G$2:$G$3, RANDBETWEEN(1, ROWS(Sheet1!$G$2:$G$3)))</f>
        <v>0</v>
      </c>
    </row>
    <row r="770" spans="1:8" x14ac:dyDescent="0.3">
      <c r="A770" s="2" t="str" cm="1">
        <f t="array" aca="1" ref="A770" ca="1">INDEX(Sheet1!$A$2:$A$46, RANDBETWEEN(1,ROWS(Sheet1!$A$2:$A$46)))</f>
        <v>B015</v>
      </c>
      <c r="B770" s="2" t="s">
        <v>66</v>
      </c>
      <c r="C770" t="str">
        <f>_xlfn.XLOOKUP(B770, Sheet1!A:A, Sheet1!B:B)</f>
        <v>pumpernickel bread</v>
      </c>
      <c r="D770">
        <f>_xlfn.XLOOKUP(B770,Sheet1!A:A,Sheet1!C:C)</f>
        <v>8</v>
      </c>
      <c r="E770">
        <f>_xlfn.XLOOKUP(B770,Sheet1!A:A,Sheet1!D:D)</f>
        <v>3.5</v>
      </c>
      <c r="F770">
        <f>_xlfn.XLOOKUP(Sheet3!B770,Sheet1!A:A,Sheet1!E:E)</f>
        <v>3</v>
      </c>
      <c r="G770">
        <f>_xlfn.XLOOKUP(B770,Sheet1!A:A,Sheet1!F:F)</f>
        <v>8</v>
      </c>
      <c r="H770" cm="1">
        <f t="array" aca="1" ref="H770" ca="1">INDEX(Sheet1!$G$2:$G$3, RANDBETWEEN(1, ROWS(Sheet1!$G$2:$G$3)))</f>
        <v>0</v>
      </c>
    </row>
    <row r="771" spans="1:8" x14ac:dyDescent="0.3">
      <c r="A771" s="2" t="str" cm="1">
        <f t="array" aca="1" ref="A771" ca="1">INDEX(Sheet1!$A$2:$A$46, RANDBETWEEN(1,ROWS(Sheet1!$A$2:$A$46)))</f>
        <v>B017</v>
      </c>
      <c r="B771" s="2" t="s">
        <v>92</v>
      </c>
      <c r="C771" t="str">
        <f>_xlfn.XLOOKUP(B771, Sheet1!A:A, Sheet1!B:B)</f>
        <v>square brownies</v>
      </c>
      <c r="D771">
        <f>_xlfn.XLOOKUP(B771,Sheet1!A:A,Sheet1!C:C)</f>
        <v>6</v>
      </c>
      <c r="E771">
        <f>_xlfn.XLOOKUP(B771,Sheet1!A:A,Sheet1!D:D)</f>
        <v>4.5</v>
      </c>
      <c r="F771">
        <f>_xlfn.XLOOKUP(Sheet3!B771,Sheet1!A:A,Sheet1!E:E)</f>
        <v>4</v>
      </c>
      <c r="G771">
        <f>_xlfn.XLOOKUP(B771,Sheet1!A:A,Sheet1!F:F)</f>
        <v>14</v>
      </c>
      <c r="H771" cm="1">
        <f t="array" aca="1" ref="H771" ca="1">INDEX(Sheet1!$G$2:$G$3, RANDBETWEEN(1, ROWS(Sheet1!$G$2:$G$3)))</f>
        <v>0</v>
      </c>
    </row>
    <row r="772" spans="1:8" x14ac:dyDescent="0.3">
      <c r="A772" s="2" t="str" cm="1">
        <f t="array" aca="1" ref="A772" ca="1">INDEX(Sheet1!$A$2:$A$46, RANDBETWEEN(1,ROWS(Sheet1!$A$2:$A$46)))</f>
        <v>B035</v>
      </c>
      <c r="B772" s="2" t="s">
        <v>84</v>
      </c>
      <c r="C772" t="str">
        <f>_xlfn.XLOOKUP(B772, Sheet1!A:A, Sheet1!B:B)</f>
        <v>plain bagels</v>
      </c>
      <c r="D772">
        <f>_xlfn.XLOOKUP(B772,Sheet1!A:A,Sheet1!C:C)</f>
        <v>8</v>
      </c>
      <c r="E772">
        <f>_xlfn.XLOOKUP(B772,Sheet1!A:A,Sheet1!D:D)</f>
        <v>3.5</v>
      </c>
      <c r="F772">
        <f>_xlfn.XLOOKUP(Sheet3!B772,Sheet1!A:A,Sheet1!E:E)</f>
        <v>3</v>
      </c>
      <c r="G772">
        <f>_xlfn.XLOOKUP(B772,Sheet1!A:A,Sheet1!F:F)</f>
        <v>8</v>
      </c>
      <c r="H772" t="str" cm="1">
        <f t="array" aca="1" ref="H772" ca="1">INDEX(Sheet1!$G$2:$G$3, RANDBETWEEN(1, ROWS(Sheet1!$G$2:$G$3)))</f>
        <v>No</v>
      </c>
    </row>
    <row r="773" spans="1:8" x14ac:dyDescent="0.3">
      <c r="A773" s="2" t="str" cm="1">
        <f t="array" aca="1" ref="A773" ca="1">INDEX(Sheet1!$A$2:$A$46, RANDBETWEEN(1,ROWS(Sheet1!$A$2:$A$46)))</f>
        <v>B020</v>
      </c>
      <c r="B773" s="2" t="s">
        <v>63</v>
      </c>
      <c r="C773" t="str">
        <f>_xlfn.XLOOKUP(B773, Sheet1!A:A, Sheet1!B:B)</f>
        <v>chocolate sliced loaf cake</v>
      </c>
      <c r="D773">
        <f>_xlfn.XLOOKUP(B773,Sheet1!A:A,Sheet1!C:C)</f>
        <v>10</v>
      </c>
      <c r="E773">
        <f>_xlfn.XLOOKUP(B773,Sheet1!A:A,Sheet1!D:D)</f>
        <v>4</v>
      </c>
      <c r="F773">
        <f>_xlfn.XLOOKUP(Sheet3!B773,Sheet1!A:A,Sheet1!E:E)</f>
        <v>3.5</v>
      </c>
      <c r="G773">
        <f>_xlfn.XLOOKUP(B773,Sheet1!A:A,Sheet1!F:F)</f>
        <v>10</v>
      </c>
      <c r="H773" t="str" cm="1">
        <f t="array" aca="1" ref="H773" ca="1">INDEX(Sheet1!$G$2:$G$3, RANDBETWEEN(1, ROWS(Sheet1!$G$2:$G$3)))</f>
        <v>No</v>
      </c>
    </row>
    <row r="774" spans="1:8" x14ac:dyDescent="0.3">
      <c r="A774" s="2" t="str" cm="1">
        <f t="array" aca="1" ref="A774" ca="1">INDEX(Sheet1!$A$2:$A$46, RANDBETWEEN(1,ROWS(Sheet1!$A$2:$A$46)))</f>
        <v>B044</v>
      </c>
      <c r="B774" s="2" t="s">
        <v>34</v>
      </c>
      <c r="C774" t="str">
        <f>_xlfn.XLOOKUP(B774, Sheet1!A:A, Sheet1!B:B)</f>
        <v>almond croissant</v>
      </c>
      <c r="D774">
        <f>_xlfn.XLOOKUP(B774,Sheet1!A:A,Sheet1!C:C)</f>
        <v>6</v>
      </c>
      <c r="E774">
        <f>_xlfn.XLOOKUP(B774,Sheet1!A:A,Sheet1!D:D)</f>
        <v>3.5</v>
      </c>
      <c r="F774">
        <f>_xlfn.XLOOKUP(Sheet3!B774,Sheet1!A:A,Sheet1!E:E)</f>
        <v>3</v>
      </c>
      <c r="G774">
        <f>_xlfn.XLOOKUP(B774,Sheet1!A:A,Sheet1!F:F)</f>
        <v>10</v>
      </c>
      <c r="H774" t="str" cm="1">
        <f t="array" aca="1" ref="H774" ca="1">INDEX(Sheet1!$G$2:$G$3, RANDBETWEEN(1, ROWS(Sheet1!$G$2:$G$3)))</f>
        <v>No</v>
      </c>
    </row>
    <row r="775" spans="1:8" x14ac:dyDescent="0.3">
      <c r="A775" s="2" t="str" cm="1">
        <f t="array" aca="1" ref="A775" ca="1">INDEX(Sheet1!$A$2:$A$46, RANDBETWEEN(1,ROWS(Sheet1!$A$2:$A$46)))</f>
        <v>B009</v>
      </c>
      <c r="B775" s="2" t="s">
        <v>71</v>
      </c>
      <c r="C775" t="str">
        <f>_xlfn.XLOOKUP(B775, Sheet1!A:A, Sheet1!B:B)</f>
        <v>blueberry pie</v>
      </c>
      <c r="D775">
        <f>_xlfn.XLOOKUP(B775,Sheet1!A:A,Sheet1!C:C)</f>
        <v>6</v>
      </c>
      <c r="E775">
        <f>_xlfn.XLOOKUP(B775,Sheet1!A:A,Sheet1!D:D)</f>
        <v>4</v>
      </c>
      <c r="F775">
        <f>_xlfn.XLOOKUP(Sheet3!B775,Sheet1!A:A,Sheet1!E:E)</f>
        <v>3</v>
      </c>
      <c r="G775">
        <f>_xlfn.XLOOKUP(B775,Sheet1!A:A,Sheet1!F:F)</f>
        <v>7</v>
      </c>
      <c r="H775" cm="1">
        <f t="array" aca="1" ref="H775" ca="1">INDEX(Sheet1!$G$2:$G$3, RANDBETWEEN(1, ROWS(Sheet1!$G$2:$G$3)))</f>
        <v>0</v>
      </c>
    </row>
    <row r="776" spans="1:8" x14ac:dyDescent="0.3">
      <c r="A776" s="2" t="str" cm="1">
        <f t="array" aca="1" ref="A776" ca="1">INDEX(Sheet1!$A$2:$A$46, RANDBETWEEN(1,ROWS(Sheet1!$A$2:$A$46)))</f>
        <v>B003</v>
      </c>
      <c r="B776" s="2" t="s">
        <v>57</v>
      </c>
      <c r="C776" t="str">
        <f>_xlfn.XLOOKUP(B776, Sheet1!A:A, Sheet1!B:B)</f>
        <v>vanilla cupcakes</v>
      </c>
      <c r="D776">
        <f>_xlfn.XLOOKUP(B776,Sheet1!A:A,Sheet1!C:C)</f>
        <v>8</v>
      </c>
      <c r="E776">
        <f>_xlfn.XLOOKUP(B776,Sheet1!A:A,Sheet1!D:D)</f>
        <v>6</v>
      </c>
      <c r="F776">
        <f>_xlfn.XLOOKUP(Sheet3!B776,Sheet1!A:A,Sheet1!E:E)</f>
        <v>5.5</v>
      </c>
      <c r="G776">
        <f>_xlfn.XLOOKUP(B776,Sheet1!A:A,Sheet1!F:F)</f>
        <v>20</v>
      </c>
      <c r="H776" t="str" cm="1">
        <f t="array" aca="1" ref="H776" ca="1">INDEX(Sheet1!$G$2:$G$3, RANDBETWEEN(1, ROWS(Sheet1!$G$2:$G$3)))</f>
        <v>No</v>
      </c>
    </row>
    <row r="777" spans="1:8" x14ac:dyDescent="0.3">
      <c r="A777" s="2" t="str" cm="1">
        <f t="array" aca="1" ref="A777" ca="1">INDEX(Sheet1!$A$2:$A$46, RANDBETWEEN(1,ROWS(Sheet1!$A$2:$A$46)))</f>
        <v>B009</v>
      </c>
      <c r="B777" s="2" t="s">
        <v>24</v>
      </c>
      <c r="C777" t="str">
        <f>_xlfn.XLOOKUP(B777, Sheet1!A:A, Sheet1!B:B)</f>
        <v>tiramisu</v>
      </c>
      <c r="D777">
        <f>_xlfn.XLOOKUP(B777,Sheet1!A:A,Sheet1!C:C)</f>
        <v>8</v>
      </c>
      <c r="E777">
        <f>_xlfn.XLOOKUP(B777,Sheet1!A:A,Sheet1!D:D)</f>
        <v>7.5</v>
      </c>
      <c r="F777">
        <f>_xlfn.XLOOKUP(Sheet3!B777,Sheet1!A:A,Sheet1!E:E)</f>
        <v>5.5</v>
      </c>
      <c r="G777">
        <f>_xlfn.XLOOKUP(B777,Sheet1!A:A,Sheet1!F:F)</f>
        <v>7</v>
      </c>
      <c r="H777" cm="1">
        <f t="array" aca="1" ref="H777" ca="1">INDEX(Sheet1!$G$2:$G$3, RANDBETWEEN(1, ROWS(Sheet1!$G$2:$G$3)))</f>
        <v>0</v>
      </c>
    </row>
    <row r="778" spans="1:8" x14ac:dyDescent="0.3">
      <c r="A778" s="2" t="str" cm="1">
        <f t="array" aca="1" ref="A778" ca="1">INDEX(Sheet1!$A$2:$A$46, RANDBETWEEN(1,ROWS(Sheet1!$A$2:$A$46)))</f>
        <v>B022</v>
      </c>
      <c r="B778" s="2" t="s">
        <v>84</v>
      </c>
      <c r="C778" t="str">
        <f>_xlfn.XLOOKUP(B778, Sheet1!A:A, Sheet1!B:B)</f>
        <v>plain bagels</v>
      </c>
      <c r="D778">
        <f>_xlfn.XLOOKUP(B778,Sheet1!A:A,Sheet1!C:C)</f>
        <v>8</v>
      </c>
      <c r="E778">
        <f>_xlfn.XLOOKUP(B778,Sheet1!A:A,Sheet1!D:D)</f>
        <v>3.5</v>
      </c>
      <c r="F778">
        <f>_xlfn.XLOOKUP(Sheet3!B778,Sheet1!A:A,Sheet1!E:E)</f>
        <v>3</v>
      </c>
      <c r="G778">
        <f>_xlfn.XLOOKUP(B778,Sheet1!A:A,Sheet1!F:F)</f>
        <v>8</v>
      </c>
      <c r="H778" cm="1">
        <f t="array" aca="1" ref="H778" ca="1">INDEX(Sheet1!$G$2:$G$3, RANDBETWEEN(1, ROWS(Sheet1!$G$2:$G$3)))</f>
        <v>0</v>
      </c>
    </row>
    <row r="779" spans="1:8" x14ac:dyDescent="0.3">
      <c r="A779" s="2" t="str" cm="1">
        <f t="array" aca="1" ref="A779" ca="1">INDEX(Sheet1!$A$2:$A$46, RANDBETWEEN(1,ROWS(Sheet1!$A$2:$A$46)))</f>
        <v>B008</v>
      </c>
      <c r="B779" s="2" t="s">
        <v>19</v>
      </c>
      <c r="C779" t="str">
        <f>_xlfn.XLOOKUP(B779, Sheet1!A:A, Sheet1!B:B)</f>
        <v>blueberry muffins</v>
      </c>
      <c r="D779">
        <f>_xlfn.XLOOKUP(B779,Sheet1!A:A,Sheet1!C:C)</f>
        <v>10</v>
      </c>
      <c r="E779">
        <f>_xlfn.XLOOKUP(B779,Sheet1!A:A,Sheet1!D:D)</f>
        <v>4.5</v>
      </c>
      <c r="F779">
        <f>_xlfn.XLOOKUP(Sheet3!B779,Sheet1!A:A,Sheet1!E:E)</f>
        <v>4</v>
      </c>
      <c r="G779">
        <f>_xlfn.XLOOKUP(B779,Sheet1!A:A,Sheet1!F:F)</f>
        <v>10</v>
      </c>
      <c r="H779" cm="1">
        <f t="array" aca="1" ref="H779" ca="1">INDEX(Sheet1!$G$2:$G$3, RANDBETWEEN(1, ROWS(Sheet1!$G$2:$G$3)))</f>
        <v>0</v>
      </c>
    </row>
    <row r="780" spans="1:8" x14ac:dyDescent="0.3">
      <c r="A780" s="2" t="str" cm="1">
        <f t="array" aca="1" ref="A780" ca="1">INDEX(Sheet1!$A$2:$A$46, RANDBETWEEN(1,ROWS(Sheet1!$A$2:$A$46)))</f>
        <v>B039</v>
      </c>
      <c r="B780" s="2" t="s">
        <v>40</v>
      </c>
      <c r="C780" t="str">
        <f>_xlfn.XLOOKUP(B780, Sheet1!A:A, Sheet1!B:B)</f>
        <v>frosted pink cookies</v>
      </c>
      <c r="D780">
        <f>_xlfn.XLOOKUP(B780,Sheet1!A:A,Sheet1!C:C)</f>
        <v>15</v>
      </c>
      <c r="E780">
        <f>_xlfn.XLOOKUP(B780,Sheet1!A:A,Sheet1!D:D)</f>
        <v>3</v>
      </c>
      <c r="F780">
        <f>_xlfn.XLOOKUP(Sheet3!B780,Sheet1!A:A,Sheet1!E:E)</f>
        <v>2.5</v>
      </c>
      <c r="G780">
        <f>_xlfn.XLOOKUP(B780,Sheet1!A:A,Sheet1!F:F)</f>
        <v>14</v>
      </c>
      <c r="H780" t="str" cm="1">
        <f t="array" aca="1" ref="H780" ca="1">INDEX(Sheet1!$G$2:$G$3, RANDBETWEEN(1, ROWS(Sheet1!$G$2:$G$3)))</f>
        <v>No</v>
      </c>
    </row>
    <row r="781" spans="1:8" x14ac:dyDescent="0.3">
      <c r="A781" s="2" t="str" cm="1">
        <f t="array" aca="1" ref="A781" ca="1">INDEX(Sheet1!$A$2:$A$46, RANDBETWEEN(1,ROWS(Sheet1!$A$2:$A$46)))</f>
        <v>B006</v>
      </c>
      <c r="B781" s="2" t="s">
        <v>81</v>
      </c>
      <c r="C781" t="str">
        <f>_xlfn.XLOOKUP(B781, Sheet1!A:A, Sheet1!B:B)</f>
        <v>red velvet square cake</v>
      </c>
      <c r="D781">
        <f>_xlfn.XLOOKUP(B781,Sheet1!A:A,Sheet1!C:C)</f>
        <v>8</v>
      </c>
      <c r="E781">
        <f>_xlfn.XLOOKUP(B781,Sheet1!A:A,Sheet1!D:D)</f>
        <v>2.5</v>
      </c>
      <c r="F781">
        <f>_xlfn.XLOOKUP(Sheet3!B781,Sheet1!A:A,Sheet1!E:E)</f>
        <v>2</v>
      </c>
      <c r="G781">
        <f>_xlfn.XLOOKUP(B781,Sheet1!A:A,Sheet1!F:F)</f>
        <v>5</v>
      </c>
      <c r="H781" cm="1">
        <f t="array" aca="1" ref="H781" ca="1">INDEX(Sheet1!$G$2:$G$3, RANDBETWEEN(1, ROWS(Sheet1!$G$2:$G$3)))</f>
        <v>0</v>
      </c>
    </row>
    <row r="782" spans="1:8" x14ac:dyDescent="0.3">
      <c r="A782" s="2" t="str" cm="1">
        <f t="array" aca="1" ref="A782" ca="1">INDEX(Sheet1!$A$2:$A$46, RANDBETWEEN(1,ROWS(Sheet1!$A$2:$A$46)))</f>
        <v>B020</v>
      </c>
      <c r="B782" s="2" t="s">
        <v>92</v>
      </c>
      <c r="C782" t="str">
        <f>_xlfn.XLOOKUP(B782, Sheet1!A:A, Sheet1!B:B)</f>
        <v>square brownies</v>
      </c>
      <c r="D782">
        <f>_xlfn.XLOOKUP(B782,Sheet1!A:A,Sheet1!C:C)</f>
        <v>6</v>
      </c>
      <c r="E782">
        <f>_xlfn.XLOOKUP(B782,Sheet1!A:A,Sheet1!D:D)</f>
        <v>4.5</v>
      </c>
      <c r="F782">
        <f>_xlfn.XLOOKUP(Sheet3!B782,Sheet1!A:A,Sheet1!E:E)</f>
        <v>4</v>
      </c>
      <c r="G782">
        <f>_xlfn.XLOOKUP(B782,Sheet1!A:A,Sheet1!F:F)</f>
        <v>14</v>
      </c>
      <c r="H782" t="str" cm="1">
        <f t="array" aca="1" ref="H782" ca="1">INDEX(Sheet1!$G$2:$G$3, RANDBETWEEN(1, ROWS(Sheet1!$G$2:$G$3)))</f>
        <v>No</v>
      </c>
    </row>
    <row r="783" spans="1:8" x14ac:dyDescent="0.3">
      <c r="A783" s="2" t="str" cm="1">
        <f t="array" aca="1" ref="A783" ca="1">INDEX(Sheet1!$A$2:$A$46, RANDBETWEEN(1,ROWS(Sheet1!$A$2:$A$46)))</f>
        <v>B035</v>
      </c>
      <c r="B783" s="2" t="s">
        <v>82</v>
      </c>
      <c r="C783" t="str">
        <f>_xlfn.XLOOKUP(B783, Sheet1!A:A, Sheet1!B:B)</f>
        <v>white square cake</v>
      </c>
      <c r="D783">
        <f>_xlfn.XLOOKUP(B783,Sheet1!A:A,Sheet1!C:C)</f>
        <v>8</v>
      </c>
      <c r="E783">
        <f>_xlfn.XLOOKUP(B783,Sheet1!A:A,Sheet1!D:D)</f>
        <v>2.5</v>
      </c>
      <c r="F783">
        <f>_xlfn.XLOOKUP(Sheet3!B783,Sheet1!A:A,Sheet1!E:E)</f>
        <v>2</v>
      </c>
      <c r="G783">
        <f>_xlfn.XLOOKUP(B783,Sheet1!A:A,Sheet1!F:F)</f>
        <v>5</v>
      </c>
      <c r="H783" t="str" cm="1">
        <f t="array" aca="1" ref="H783" ca="1">INDEX(Sheet1!$G$2:$G$3, RANDBETWEEN(1, ROWS(Sheet1!$G$2:$G$3)))</f>
        <v>No</v>
      </c>
    </row>
    <row r="784" spans="1:8" x14ac:dyDescent="0.3">
      <c r="A784" s="2" t="str" cm="1">
        <f t="array" aca="1" ref="A784" ca="1">INDEX(Sheet1!$A$2:$A$46, RANDBETWEEN(1,ROWS(Sheet1!$A$2:$A$46)))</f>
        <v>B043</v>
      </c>
      <c r="B784" s="2" t="s">
        <v>69</v>
      </c>
      <c r="C784" t="str">
        <f>_xlfn.XLOOKUP(B784, Sheet1!A:A, Sheet1!B:B)</f>
        <v>coconut creme pie</v>
      </c>
      <c r="D784">
        <f>_xlfn.XLOOKUP(B784,Sheet1!A:A,Sheet1!C:C)</f>
        <v>6</v>
      </c>
      <c r="E784">
        <f>_xlfn.XLOOKUP(B784,Sheet1!A:A,Sheet1!D:D)</f>
        <v>4</v>
      </c>
      <c r="F784">
        <f>_xlfn.XLOOKUP(Sheet3!B784,Sheet1!A:A,Sheet1!E:E)</f>
        <v>3</v>
      </c>
      <c r="G784">
        <f>_xlfn.XLOOKUP(B784,Sheet1!A:A,Sheet1!F:F)</f>
        <v>7</v>
      </c>
      <c r="H784" t="str" cm="1">
        <f t="array" aca="1" ref="H784" ca="1">INDEX(Sheet1!$G$2:$G$3, RANDBETWEEN(1, ROWS(Sheet1!$G$2:$G$3)))</f>
        <v>No</v>
      </c>
    </row>
    <row r="785" spans="1:8" x14ac:dyDescent="0.3">
      <c r="A785" s="2" t="str" cm="1">
        <f t="array" aca="1" ref="A785" ca="1">INDEX(Sheet1!$A$2:$A$46, RANDBETWEEN(1,ROWS(Sheet1!$A$2:$A$46)))</f>
        <v>B012</v>
      </c>
      <c r="B785" s="2" t="s">
        <v>39</v>
      </c>
      <c r="C785" t="str">
        <f>_xlfn.XLOOKUP(B785, Sheet1!A:A, Sheet1!B:B)</f>
        <v>macadamia nut cookies</v>
      </c>
      <c r="D785">
        <f>_xlfn.XLOOKUP(B785,Sheet1!A:A,Sheet1!C:C)</f>
        <v>12</v>
      </c>
      <c r="E785">
        <f>_xlfn.XLOOKUP(B785,Sheet1!A:A,Sheet1!D:D)</f>
        <v>3.5</v>
      </c>
      <c r="F785">
        <f>_xlfn.XLOOKUP(Sheet3!B785,Sheet1!A:A,Sheet1!E:E)</f>
        <v>3</v>
      </c>
      <c r="G785">
        <f>_xlfn.XLOOKUP(B785,Sheet1!A:A,Sheet1!F:F)</f>
        <v>14</v>
      </c>
      <c r="H785" t="str" cm="1">
        <f t="array" aca="1" ref="H785" ca="1">INDEX(Sheet1!$G$2:$G$3, RANDBETWEEN(1, ROWS(Sheet1!$G$2:$G$3)))</f>
        <v>No</v>
      </c>
    </row>
    <row r="786" spans="1:8" x14ac:dyDescent="0.3">
      <c r="A786" s="2" t="str" cm="1">
        <f t="array" aca="1" ref="A786" ca="1">INDEX(Sheet1!$A$2:$A$46, RANDBETWEEN(1,ROWS(Sheet1!$A$2:$A$46)))</f>
        <v>B014</v>
      </c>
      <c r="B786" s="2" t="s">
        <v>78</v>
      </c>
      <c r="C786" t="str">
        <f>_xlfn.XLOOKUP(B786, Sheet1!A:A, Sheet1!B:B)</f>
        <v>caramel pie</v>
      </c>
      <c r="D786">
        <f>_xlfn.XLOOKUP(B786,Sheet1!A:A,Sheet1!C:C)</f>
        <v>6</v>
      </c>
      <c r="E786">
        <f>_xlfn.XLOOKUP(B786,Sheet1!A:A,Sheet1!D:D)</f>
        <v>4</v>
      </c>
      <c r="F786">
        <f>_xlfn.XLOOKUP(Sheet3!B786,Sheet1!A:A,Sheet1!E:E)</f>
        <v>3</v>
      </c>
      <c r="G786">
        <f>_xlfn.XLOOKUP(B786,Sheet1!A:A,Sheet1!F:F)</f>
        <v>7</v>
      </c>
      <c r="H786" cm="1">
        <f t="array" aca="1" ref="H786" ca="1">INDEX(Sheet1!$G$2:$G$3, RANDBETWEEN(1, ROWS(Sheet1!$G$2:$G$3)))</f>
        <v>0</v>
      </c>
    </row>
    <row r="787" spans="1:8" x14ac:dyDescent="0.3">
      <c r="A787" s="2" t="str" cm="1">
        <f t="array" aca="1" ref="A787" ca="1">INDEX(Sheet1!$A$2:$A$46, RANDBETWEEN(1,ROWS(Sheet1!$A$2:$A$46)))</f>
        <v>B013</v>
      </c>
      <c r="B787" s="2" t="s">
        <v>82</v>
      </c>
      <c r="C787" t="str">
        <f>_xlfn.XLOOKUP(B787, Sheet1!A:A, Sheet1!B:B)</f>
        <v>white square cake</v>
      </c>
      <c r="D787">
        <f>_xlfn.XLOOKUP(B787,Sheet1!A:A,Sheet1!C:C)</f>
        <v>8</v>
      </c>
      <c r="E787">
        <f>_xlfn.XLOOKUP(B787,Sheet1!A:A,Sheet1!D:D)</f>
        <v>2.5</v>
      </c>
      <c r="F787">
        <f>_xlfn.XLOOKUP(Sheet3!B787,Sheet1!A:A,Sheet1!E:E)</f>
        <v>2</v>
      </c>
      <c r="G787">
        <f>_xlfn.XLOOKUP(B787,Sheet1!A:A,Sheet1!F:F)</f>
        <v>5</v>
      </c>
      <c r="H787" cm="1">
        <f t="array" aca="1" ref="H787" ca="1">INDEX(Sheet1!$G$2:$G$3, RANDBETWEEN(1, ROWS(Sheet1!$G$2:$G$3)))</f>
        <v>0</v>
      </c>
    </row>
    <row r="788" spans="1:8" x14ac:dyDescent="0.3">
      <c r="A788" s="2" t="str" cm="1">
        <f t="array" aca="1" ref="A788" ca="1">INDEX(Sheet1!$A$2:$A$46, RANDBETWEEN(1,ROWS(Sheet1!$A$2:$A$46)))</f>
        <v>B018</v>
      </c>
      <c r="B788" s="2" t="s">
        <v>88</v>
      </c>
      <c r="C788" t="str">
        <f>_xlfn.XLOOKUP(B788, Sheet1!A:A, Sheet1!B:B)</f>
        <v>everything bagels</v>
      </c>
      <c r="D788">
        <f>_xlfn.XLOOKUP(B788,Sheet1!A:A,Sheet1!C:C)</f>
        <v>8</v>
      </c>
      <c r="E788">
        <f>_xlfn.XLOOKUP(B788,Sheet1!A:A,Sheet1!D:D)</f>
        <v>3.5</v>
      </c>
      <c r="F788">
        <f>_xlfn.XLOOKUP(Sheet3!B788,Sheet1!A:A,Sheet1!E:E)</f>
        <v>3</v>
      </c>
      <c r="G788">
        <f>_xlfn.XLOOKUP(B788,Sheet1!A:A,Sheet1!F:F)</f>
        <v>8</v>
      </c>
      <c r="H788" cm="1">
        <f t="array" aca="1" ref="H788" ca="1">INDEX(Sheet1!$G$2:$G$3, RANDBETWEEN(1, ROWS(Sheet1!$G$2:$G$3)))</f>
        <v>0</v>
      </c>
    </row>
    <row r="789" spans="1:8" x14ac:dyDescent="0.3">
      <c r="A789" s="2" t="str" cm="1">
        <f t="array" aca="1" ref="A789" ca="1">INDEX(Sheet1!$A$2:$A$46, RANDBETWEEN(1,ROWS(Sheet1!$A$2:$A$46)))</f>
        <v>B042</v>
      </c>
      <c r="B789" s="2" t="s">
        <v>92</v>
      </c>
      <c r="C789" t="str">
        <f>_xlfn.XLOOKUP(B789, Sheet1!A:A, Sheet1!B:B)</f>
        <v>square brownies</v>
      </c>
      <c r="D789">
        <f>_xlfn.XLOOKUP(B789,Sheet1!A:A,Sheet1!C:C)</f>
        <v>6</v>
      </c>
      <c r="E789">
        <f>_xlfn.XLOOKUP(B789,Sheet1!A:A,Sheet1!D:D)</f>
        <v>4.5</v>
      </c>
      <c r="F789">
        <f>_xlfn.XLOOKUP(Sheet3!B789,Sheet1!A:A,Sheet1!E:E)</f>
        <v>4</v>
      </c>
      <c r="G789">
        <f>_xlfn.XLOOKUP(B789,Sheet1!A:A,Sheet1!F:F)</f>
        <v>14</v>
      </c>
      <c r="H789" cm="1">
        <f t="array" aca="1" ref="H789" ca="1">INDEX(Sheet1!$G$2:$G$3, RANDBETWEEN(1, ROWS(Sheet1!$G$2:$G$3)))</f>
        <v>0</v>
      </c>
    </row>
    <row r="790" spans="1:8" x14ac:dyDescent="0.3">
      <c r="A790" s="2" t="str" cm="1">
        <f t="array" aca="1" ref="A790" ca="1">INDEX(Sheet1!$A$2:$A$46, RANDBETWEEN(1,ROWS(Sheet1!$A$2:$A$46)))</f>
        <v>B038</v>
      </c>
      <c r="B790" s="2" t="s">
        <v>40</v>
      </c>
      <c r="C790" t="str">
        <f>_xlfn.XLOOKUP(B790, Sheet1!A:A, Sheet1!B:B)</f>
        <v>frosted pink cookies</v>
      </c>
      <c r="D790">
        <f>_xlfn.XLOOKUP(B790,Sheet1!A:A,Sheet1!C:C)</f>
        <v>15</v>
      </c>
      <c r="E790">
        <f>_xlfn.XLOOKUP(B790,Sheet1!A:A,Sheet1!D:D)</f>
        <v>3</v>
      </c>
      <c r="F790">
        <f>_xlfn.XLOOKUP(Sheet3!B790,Sheet1!A:A,Sheet1!E:E)</f>
        <v>2.5</v>
      </c>
      <c r="G790">
        <f>_xlfn.XLOOKUP(B790,Sheet1!A:A,Sheet1!F:F)</f>
        <v>14</v>
      </c>
      <c r="H790" t="str" cm="1">
        <f t="array" aca="1" ref="H790" ca="1">INDEX(Sheet1!$G$2:$G$3, RANDBETWEEN(1, ROWS(Sheet1!$G$2:$G$3)))</f>
        <v>No</v>
      </c>
    </row>
    <row r="791" spans="1:8" x14ac:dyDescent="0.3">
      <c r="A791" s="2" t="str" cm="1">
        <f t="array" aca="1" ref="A791" ca="1">INDEX(Sheet1!$A$2:$A$46, RANDBETWEEN(1,ROWS(Sheet1!$A$2:$A$46)))</f>
        <v>B024</v>
      </c>
      <c r="B791" s="2" t="s">
        <v>20</v>
      </c>
      <c r="C791" t="str">
        <f>_xlfn.XLOOKUP(B791, Sheet1!A:A, Sheet1!B:B)</f>
        <v>banana nut muffins</v>
      </c>
      <c r="D791">
        <f>_xlfn.XLOOKUP(B791,Sheet1!A:A,Sheet1!C:C)</f>
        <v>10</v>
      </c>
      <c r="E791">
        <f>_xlfn.XLOOKUP(B791,Sheet1!A:A,Sheet1!D:D)</f>
        <v>4.5</v>
      </c>
      <c r="F791">
        <f>_xlfn.XLOOKUP(Sheet3!B791,Sheet1!A:A,Sheet1!E:E)</f>
        <v>4</v>
      </c>
      <c r="G791">
        <f>_xlfn.XLOOKUP(B791,Sheet1!A:A,Sheet1!F:F)</f>
        <v>10</v>
      </c>
      <c r="H791" t="str" cm="1">
        <f t="array" aca="1" ref="H791" ca="1">INDEX(Sheet1!$G$2:$G$3, RANDBETWEEN(1, ROWS(Sheet1!$G$2:$G$3)))</f>
        <v>No</v>
      </c>
    </row>
    <row r="792" spans="1:8" x14ac:dyDescent="0.3">
      <c r="A792" s="2" t="str" cm="1">
        <f t="array" aca="1" ref="A792" ca="1">INDEX(Sheet1!$A$2:$A$46, RANDBETWEEN(1,ROWS(Sheet1!$A$2:$A$46)))</f>
        <v>B010</v>
      </c>
      <c r="B792" s="2" t="s">
        <v>82</v>
      </c>
      <c r="C792" t="str">
        <f>_xlfn.XLOOKUP(B792, Sheet1!A:A, Sheet1!B:B)</f>
        <v>white square cake</v>
      </c>
      <c r="D792">
        <f>_xlfn.XLOOKUP(B792,Sheet1!A:A,Sheet1!C:C)</f>
        <v>8</v>
      </c>
      <c r="E792">
        <f>_xlfn.XLOOKUP(B792,Sheet1!A:A,Sheet1!D:D)</f>
        <v>2.5</v>
      </c>
      <c r="F792">
        <f>_xlfn.XLOOKUP(Sheet3!B792,Sheet1!A:A,Sheet1!E:E)</f>
        <v>2</v>
      </c>
      <c r="G792">
        <f>_xlfn.XLOOKUP(B792,Sheet1!A:A,Sheet1!F:F)</f>
        <v>5</v>
      </c>
      <c r="H792" cm="1">
        <f t="array" aca="1" ref="H792" ca="1">INDEX(Sheet1!$G$2:$G$3, RANDBETWEEN(1, ROWS(Sheet1!$G$2:$G$3)))</f>
        <v>0</v>
      </c>
    </row>
    <row r="793" spans="1:8" x14ac:dyDescent="0.3">
      <c r="A793" s="2" t="str" cm="1">
        <f t="array" aca="1" ref="A793" ca="1">INDEX(Sheet1!$A$2:$A$46, RANDBETWEEN(1,ROWS(Sheet1!$A$2:$A$46)))</f>
        <v>B041</v>
      </c>
      <c r="B793" s="2" t="s">
        <v>63</v>
      </c>
      <c r="C793" t="str">
        <f>_xlfn.XLOOKUP(B793, Sheet1!A:A, Sheet1!B:B)</f>
        <v>chocolate sliced loaf cake</v>
      </c>
      <c r="D793">
        <f>_xlfn.XLOOKUP(B793,Sheet1!A:A,Sheet1!C:C)</f>
        <v>10</v>
      </c>
      <c r="E793">
        <f>_xlfn.XLOOKUP(B793,Sheet1!A:A,Sheet1!D:D)</f>
        <v>4</v>
      </c>
      <c r="F793">
        <f>_xlfn.XLOOKUP(Sheet3!B793,Sheet1!A:A,Sheet1!E:E)</f>
        <v>3.5</v>
      </c>
      <c r="G793">
        <f>_xlfn.XLOOKUP(B793,Sheet1!A:A,Sheet1!F:F)</f>
        <v>10</v>
      </c>
      <c r="H793" cm="1">
        <f t="array" aca="1" ref="H793" ca="1">INDEX(Sheet1!$G$2:$G$3, RANDBETWEEN(1, ROWS(Sheet1!$G$2:$G$3)))</f>
        <v>0</v>
      </c>
    </row>
    <row r="794" spans="1:8" x14ac:dyDescent="0.3">
      <c r="A794" s="2" t="str" cm="1">
        <f t="array" aca="1" ref="A794" ca="1">INDEX(Sheet1!$A$2:$A$46, RANDBETWEEN(1,ROWS(Sheet1!$A$2:$A$46)))</f>
        <v>B031</v>
      </c>
      <c r="B794" s="2" t="s">
        <v>81</v>
      </c>
      <c r="C794" t="str">
        <f>_xlfn.XLOOKUP(B794, Sheet1!A:A, Sheet1!B:B)</f>
        <v>red velvet square cake</v>
      </c>
      <c r="D794">
        <f>_xlfn.XLOOKUP(B794,Sheet1!A:A,Sheet1!C:C)</f>
        <v>8</v>
      </c>
      <c r="E794">
        <f>_xlfn.XLOOKUP(B794,Sheet1!A:A,Sheet1!D:D)</f>
        <v>2.5</v>
      </c>
      <c r="F794">
        <f>_xlfn.XLOOKUP(Sheet3!B794,Sheet1!A:A,Sheet1!E:E)</f>
        <v>2</v>
      </c>
      <c r="G794">
        <f>_xlfn.XLOOKUP(B794,Sheet1!A:A,Sheet1!F:F)</f>
        <v>5</v>
      </c>
      <c r="H794" t="str" cm="1">
        <f t="array" aca="1" ref="H794" ca="1">INDEX(Sheet1!$G$2:$G$3, RANDBETWEEN(1, ROWS(Sheet1!$G$2:$G$3)))</f>
        <v>No</v>
      </c>
    </row>
    <row r="795" spans="1:8" x14ac:dyDescent="0.3">
      <c r="A795" s="2" t="str" cm="1">
        <f t="array" aca="1" ref="A795" ca="1">INDEX(Sheet1!$A$2:$A$46, RANDBETWEEN(1,ROWS(Sheet1!$A$2:$A$46)))</f>
        <v>B040</v>
      </c>
      <c r="B795" s="2" t="s">
        <v>83</v>
      </c>
      <c r="C795" t="str">
        <f>_xlfn.XLOOKUP(B795, Sheet1!A:A, Sheet1!B:B)</f>
        <v>pumpkin spice muffins</v>
      </c>
      <c r="D795">
        <f>_xlfn.XLOOKUP(B795,Sheet1!A:A,Sheet1!C:C)</f>
        <v>10</v>
      </c>
      <c r="E795">
        <f>_xlfn.XLOOKUP(B795,Sheet1!A:A,Sheet1!D:D)</f>
        <v>4.5</v>
      </c>
      <c r="F795">
        <f>_xlfn.XLOOKUP(Sheet3!B795,Sheet1!A:A,Sheet1!E:E)</f>
        <v>4</v>
      </c>
      <c r="G795">
        <f>_xlfn.XLOOKUP(B795,Sheet1!A:A,Sheet1!F:F)</f>
        <v>10</v>
      </c>
      <c r="H795" cm="1">
        <f t="array" aca="1" ref="H795" ca="1">INDEX(Sheet1!$G$2:$G$3, RANDBETWEEN(1, ROWS(Sheet1!$G$2:$G$3)))</f>
        <v>0</v>
      </c>
    </row>
    <row r="796" spans="1:8" x14ac:dyDescent="0.3">
      <c r="A796" s="2" t="str" cm="1">
        <f t="array" aca="1" ref="A796" ca="1">INDEX(Sheet1!$A$2:$A$46, RANDBETWEEN(1,ROWS(Sheet1!$A$2:$A$46)))</f>
        <v>B006</v>
      </c>
      <c r="B796" s="2" t="s">
        <v>23</v>
      </c>
      <c r="C796" t="str">
        <f>_xlfn.XLOOKUP(B796, Sheet1!A:A, Sheet1!B:B)</f>
        <v>cheese cake</v>
      </c>
      <c r="D796">
        <f>_xlfn.XLOOKUP(B796,Sheet1!A:A,Sheet1!C:C)</f>
        <v>9</v>
      </c>
      <c r="E796">
        <f>_xlfn.XLOOKUP(B796,Sheet1!A:A,Sheet1!D:D)</f>
        <v>6.5</v>
      </c>
      <c r="F796">
        <f>_xlfn.XLOOKUP(Sheet3!B796,Sheet1!A:A,Sheet1!E:E)</f>
        <v>5.5</v>
      </c>
      <c r="G796">
        <f>_xlfn.XLOOKUP(B796,Sheet1!A:A,Sheet1!F:F)</f>
        <v>9</v>
      </c>
      <c r="H796" cm="1">
        <f t="array" aca="1" ref="H796" ca="1">INDEX(Sheet1!$G$2:$G$3, RANDBETWEEN(1, ROWS(Sheet1!$G$2:$G$3)))</f>
        <v>0</v>
      </c>
    </row>
    <row r="797" spans="1:8" x14ac:dyDescent="0.3">
      <c r="A797" s="2" t="str" cm="1">
        <f t="array" aca="1" ref="A797" ca="1">INDEX(Sheet1!$A$2:$A$46, RANDBETWEEN(1,ROWS(Sheet1!$A$2:$A$46)))</f>
        <v>B039</v>
      </c>
      <c r="B797" s="2" t="s">
        <v>41</v>
      </c>
      <c r="C797" t="str">
        <f>_xlfn.XLOOKUP(B797, Sheet1!A:A, Sheet1!B:B)</f>
        <v>frosted blue cookies</v>
      </c>
      <c r="D797">
        <f>_xlfn.XLOOKUP(B797,Sheet1!A:A,Sheet1!C:C)</f>
        <v>15</v>
      </c>
      <c r="E797">
        <f>_xlfn.XLOOKUP(B797,Sheet1!A:A,Sheet1!D:D)</f>
        <v>3</v>
      </c>
      <c r="F797">
        <f>_xlfn.XLOOKUP(Sheet3!B797,Sheet1!A:A,Sheet1!E:E)</f>
        <v>2.5</v>
      </c>
      <c r="G797">
        <f>_xlfn.XLOOKUP(B797,Sheet1!A:A,Sheet1!F:F)</f>
        <v>14</v>
      </c>
      <c r="H797" cm="1">
        <f t="array" aca="1" ref="H797" ca="1">INDEX(Sheet1!$G$2:$G$3, RANDBETWEEN(1, ROWS(Sheet1!$G$2:$G$3)))</f>
        <v>0</v>
      </c>
    </row>
    <row r="798" spans="1:8" x14ac:dyDescent="0.3">
      <c r="A798" s="2" t="str" cm="1">
        <f t="array" aca="1" ref="A798" ca="1">INDEX(Sheet1!$A$2:$A$46, RANDBETWEEN(1,ROWS(Sheet1!$A$2:$A$46)))</f>
        <v>B005</v>
      </c>
      <c r="B798" s="2" t="s">
        <v>23</v>
      </c>
      <c r="C798" t="str">
        <f>_xlfn.XLOOKUP(B798, Sheet1!A:A, Sheet1!B:B)</f>
        <v>cheese cake</v>
      </c>
      <c r="D798">
        <f>_xlfn.XLOOKUP(B798,Sheet1!A:A,Sheet1!C:C)</f>
        <v>9</v>
      </c>
      <c r="E798">
        <f>_xlfn.XLOOKUP(B798,Sheet1!A:A,Sheet1!D:D)</f>
        <v>6.5</v>
      </c>
      <c r="F798">
        <f>_xlfn.XLOOKUP(Sheet3!B798,Sheet1!A:A,Sheet1!E:E)</f>
        <v>5.5</v>
      </c>
      <c r="G798">
        <f>_xlfn.XLOOKUP(B798,Sheet1!A:A,Sheet1!F:F)</f>
        <v>9</v>
      </c>
      <c r="H798" t="str" cm="1">
        <f t="array" aca="1" ref="H798" ca="1">INDEX(Sheet1!$G$2:$G$3, RANDBETWEEN(1, ROWS(Sheet1!$G$2:$G$3)))</f>
        <v>No</v>
      </c>
    </row>
    <row r="799" spans="1:8" x14ac:dyDescent="0.3">
      <c r="A799" s="2" t="str" cm="1">
        <f t="array" aca="1" ref="A799" ca="1">INDEX(Sheet1!$A$2:$A$46, RANDBETWEEN(1,ROWS(Sheet1!$A$2:$A$46)))</f>
        <v>B021</v>
      </c>
      <c r="B799" s="2" t="s">
        <v>84</v>
      </c>
      <c r="C799" t="str">
        <f>_xlfn.XLOOKUP(B799, Sheet1!A:A, Sheet1!B:B)</f>
        <v>plain bagels</v>
      </c>
      <c r="D799">
        <f>_xlfn.XLOOKUP(B799,Sheet1!A:A,Sheet1!C:C)</f>
        <v>8</v>
      </c>
      <c r="E799">
        <f>_xlfn.XLOOKUP(B799,Sheet1!A:A,Sheet1!D:D)</f>
        <v>3.5</v>
      </c>
      <c r="F799">
        <f>_xlfn.XLOOKUP(Sheet3!B799,Sheet1!A:A,Sheet1!E:E)</f>
        <v>3</v>
      </c>
      <c r="G799">
        <f>_xlfn.XLOOKUP(B799,Sheet1!A:A,Sheet1!F:F)</f>
        <v>8</v>
      </c>
      <c r="H799" t="str" cm="1">
        <f t="array" aca="1" ref="H799" ca="1">INDEX(Sheet1!$G$2:$G$3, RANDBETWEEN(1, ROWS(Sheet1!$G$2:$G$3)))</f>
        <v>No</v>
      </c>
    </row>
    <row r="800" spans="1:8" x14ac:dyDescent="0.3">
      <c r="A800" s="2" t="str" cm="1">
        <f t="array" aca="1" ref="A800" ca="1">INDEX(Sheet1!$A$2:$A$46, RANDBETWEEN(1,ROWS(Sheet1!$A$2:$A$46)))</f>
        <v>B038</v>
      </c>
      <c r="B800" s="2" t="s">
        <v>81</v>
      </c>
      <c r="C800" t="str">
        <f>_xlfn.XLOOKUP(B800, Sheet1!A:A, Sheet1!B:B)</f>
        <v>red velvet square cake</v>
      </c>
      <c r="D800">
        <f>_xlfn.XLOOKUP(B800,Sheet1!A:A,Sheet1!C:C)</f>
        <v>8</v>
      </c>
      <c r="E800">
        <f>_xlfn.XLOOKUP(B800,Sheet1!A:A,Sheet1!D:D)</f>
        <v>2.5</v>
      </c>
      <c r="F800">
        <f>_xlfn.XLOOKUP(Sheet3!B800,Sheet1!A:A,Sheet1!E:E)</f>
        <v>2</v>
      </c>
      <c r="G800">
        <f>_xlfn.XLOOKUP(B800,Sheet1!A:A,Sheet1!F:F)</f>
        <v>5</v>
      </c>
      <c r="H800" cm="1">
        <f t="array" aca="1" ref="H800" ca="1">INDEX(Sheet1!$G$2:$G$3, RANDBETWEEN(1, ROWS(Sheet1!$G$2:$G$3)))</f>
        <v>0</v>
      </c>
    </row>
    <row r="801" spans="1:8" x14ac:dyDescent="0.3">
      <c r="A801" s="2" t="str" cm="1">
        <f t="array" aca="1" ref="A801" ca="1">INDEX(Sheet1!$A$2:$A$46, RANDBETWEEN(1,ROWS(Sheet1!$A$2:$A$46)))</f>
        <v>B042</v>
      </c>
      <c r="B801" s="2" t="s">
        <v>24</v>
      </c>
      <c r="C801" t="str">
        <f>_xlfn.XLOOKUP(B801, Sheet1!A:A, Sheet1!B:B)</f>
        <v>tiramisu</v>
      </c>
      <c r="D801">
        <f>_xlfn.XLOOKUP(B801,Sheet1!A:A,Sheet1!C:C)</f>
        <v>8</v>
      </c>
      <c r="E801">
        <f>_xlfn.XLOOKUP(B801,Sheet1!A:A,Sheet1!D:D)</f>
        <v>7.5</v>
      </c>
      <c r="F801">
        <f>_xlfn.XLOOKUP(Sheet3!B801,Sheet1!A:A,Sheet1!E:E)</f>
        <v>5.5</v>
      </c>
      <c r="G801">
        <f>_xlfn.XLOOKUP(B801,Sheet1!A:A,Sheet1!F:F)</f>
        <v>7</v>
      </c>
      <c r="H801" cm="1">
        <f t="array" aca="1" ref="H801" ca="1">INDEX(Sheet1!$G$2:$G$3, RANDBETWEEN(1, ROWS(Sheet1!$G$2:$G$3)))</f>
        <v>0</v>
      </c>
    </row>
    <row r="802" spans="1:8" x14ac:dyDescent="0.3">
      <c r="A802" s="2" t="str" cm="1">
        <f t="array" aca="1" ref="A802" ca="1">INDEX(Sheet1!$A$2:$A$46, RANDBETWEEN(1,ROWS(Sheet1!$A$2:$A$46)))</f>
        <v>B040</v>
      </c>
      <c r="B802" s="2" t="s">
        <v>61</v>
      </c>
      <c r="C802" t="str">
        <f>_xlfn.XLOOKUP(B802, Sheet1!A:A, Sheet1!B:B)</f>
        <v>marble sliced loaf cake</v>
      </c>
      <c r="D802">
        <f>_xlfn.XLOOKUP(B802,Sheet1!A:A,Sheet1!C:C)</f>
        <v>10</v>
      </c>
      <c r="E802">
        <f>_xlfn.XLOOKUP(B802,Sheet1!A:A,Sheet1!D:D)</f>
        <v>4</v>
      </c>
      <c r="F802">
        <f>_xlfn.XLOOKUP(Sheet3!B802,Sheet1!A:A,Sheet1!E:E)</f>
        <v>3.5</v>
      </c>
      <c r="G802">
        <f>_xlfn.XLOOKUP(B802,Sheet1!A:A,Sheet1!F:F)</f>
        <v>10</v>
      </c>
      <c r="H802" cm="1">
        <f t="array" aca="1" ref="H802" ca="1">INDEX(Sheet1!$G$2:$G$3, RANDBETWEEN(1, ROWS(Sheet1!$G$2:$G$3)))</f>
        <v>0</v>
      </c>
    </row>
    <row r="803" spans="1:8" x14ac:dyDescent="0.3">
      <c r="A803" s="2" t="str" cm="1">
        <f t="array" aca="1" ref="A803" ca="1">INDEX(Sheet1!$A$2:$A$46, RANDBETWEEN(1,ROWS(Sheet1!$A$2:$A$46)))</f>
        <v>B023</v>
      </c>
      <c r="B803" s="2" t="s">
        <v>36</v>
      </c>
      <c r="C803" t="str">
        <f>_xlfn.XLOOKUP(B803, Sheet1!A:A, Sheet1!B:B)</f>
        <v>oatmeal raisin cookies</v>
      </c>
      <c r="D803">
        <f>_xlfn.XLOOKUP(B803,Sheet1!A:A,Sheet1!C:C)</f>
        <v>12</v>
      </c>
      <c r="E803">
        <f>_xlfn.XLOOKUP(B803,Sheet1!A:A,Sheet1!D:D)</f>
        <v>3.5</v>
      </c>
      <c r="F803">
        <f>_xlfn.XLOOKUP(Sheet3!B803,Sheet1!A:A,Sheet1!E:E)</f>
        <v>3</v>
      </c>
      <c r="G803">
        <f>_xlfn.XLOOKUP(B803,Sheet1!A:A,Sheet1!F:F)</f>
        <v>14</v>
      </c>
      <c r="H803" t="str" cm="1">
        <f t="array" aca="1" ref="H803" ca="1">INDEX(Sheet1!$G$2:$G$3, RANDBETWEEN(1, ROWS(Sheet1!$G$2:$G$3)))</f>
        <v>No</v>
      </c>
    </row>
    <row r="804" spans="1:8" x14ac:dyDescent="0.3">
      <c r="A804" s="2" t="str" cm="1">
        <f t="array" aca="1" ref="A804" ca="1">INDEX(Sheet1!$A$2:$A$46, RANDBETWEEN(1,ROWS(Sheet1!$A$2:$A$46)))</f>
        <v>B011</v>
      </c>
      <c r="B804" s="2" t="s">
        <v>70</v>
      </c>
      <c r="C804" t="str">
        <f>_xlfn.XLOOKUP(B804, Sheet1!A:A, Sheet1!B:B)</f>
        <v>pumpkin pie</v>
      </c>
      <c r="D804">
        <f>_xlfn.XLOOKUP(B804,Sheet1!A:A,Sheet1!C:C)</f>
        <v>6</v>
      </c>
      <c r="E804">
        <f>_xlfn.XLOOKUP(B804,Sheet1!A:A,Sheet1!D:D)</f>
        <v>4</v>
      </c>
      <c r="F804">
        <f>_xlfn.XLOOKUP(Sheet3!B804,Sheet1!A:A,Sheet1!E:E)</f>
        <v>3</v>
      </c>
      <c r="G804">
        <f>_xlfn.XLOOKUP(B804,Sheet1!A:A,Sheet1!F:F)</f>
        <v>7</v>
      </c>
      <c r="H804" cm="1">
        <f t="array" aca="1" ref="H804" ca="1">INDEX(Sheet1!$G$2:$G$3, RANDBETWEEN(1, ROWS(Sheet1!$G$2:$G$3)))</f>
        <v>0</v>
      </c>
    </row>
    <row r="805" spans="1:8" x14ac:dyDescent="0.3">
      <c r="A805" s="2" t="str" cm="1">
        <f t="array" aca="1" ref="A805" ca="1">INDEX(Sheet1!$A$2:$A$46, RANDBETWEEN(1,ROWS(Sheet1!$A$2:$A$46)))</f>
        <v>B030</v>
      </c>
      <c r="B805" s="2" t="s">
        <v>59</v>
      </c>
      <c r="C805" t="str">
        <f>_xlfn.XLOOKUP(B805, Sheet1!A:A, Sheet1!B:B)</f>
        <v>iced lemon sliced loaf cake</v>
      </c>
      <c r="D805">
        <f>_xlfn.XLOOKUP(B805,Sheet1!A:A,Sheet1!C:C)</f>
        <v>10</v>
      </c>
      <c r="E805">
        <f>_xlfn.XLOOKUP(B805,Sheet1!A:A,Sheet1!D:D)</f>
        <v>4</v>
      </c>
      <c r="F805">
        <f>_xlfn.XLOOKUP(Sheet3!B805,Sheet1!A:A,Sheet1!E:E)</f>
        <v>3.5</v>
      </c>
      <c r="G805">
        <f>_xlfn.XLOOKUP(B805,Sheet1!A:A,Sheet1!F:F)</f>
        <v>10</v>
      </c>
      <c r="H805" cm="1">
        <f t="array" aca="1" ref="H805" ca="1">INDEX(Sheet1!$G$2:$G$3, RANDBETWEEN(1, ROWS(Sheet1!$G$2:$G$3)))</f>
        <v>0</v>
      </c>
    </row>
    <row r="806" spans="1:8" x14ac:dyDescent="0.3">
      <c r="A806" s="2" t="str" cm="1">
        <f t="array" aca="1" ref="A806" ca="1">INDEX(Sheet1!$A$2:$A$46, RANDBETWEEN(1,ROWS(Sheet1!$A$2:$A$46)))</f>
        <v>B039</v>
      </c>
      <c r="B806" s="2" t="s">
        <v>63</v>
      </c>
      <c r="C806" t="str">
        <f>_xlfn.XLOOKUP(B806, Sheet1!A:A, Sheet1!B:B)</f>
        <v>chocolate sliced loaf cake</v>
      </c>
      <c r="D806">
        <f>_xlfn.XLOOKUP(B806,Sheet1!A:A,Sheet1!C:C)</f>
        <v>10</v>
      </c>
      <c r="E806">
        <f>_xlfn.XLOOKUP(B806,Sheet1!A:A,Sheet1!D:D)</f>
        <v>4</v>
      </c>
      <c r="F806">
        <f>_xlfn.XLOOKUP(Sheet3!B806,Sheet1!A:A,Sheet1!E:E)</f>
        <v>3.5</v>
      </c>
      <c r="G806">
        <f>_xlfn.XLOOKUP(B806,Sheet1!A:A,Sheet1!F:F)</f>
        <v>10</v>
      </c>
      <c r="H806" cm="1">
        <f t="array" aca="1" ref="H806" ca="1">INDEX(Sheet1!$G$2:$G$3, RANDBETWEEN(1, ROWS(Sheet1!$G$2:$G$3)))</f>
        <v>0</v>
      </c>
    </row>
    <row r="807" spans="1:8" x14ac:dyDescent="0.3">
      <c r="A807" s="2" t="str" cm="1">
        <f t="array" aca="1" ref="A807" ca="1">INDEX(Sheet1!$A$2:$A$46, RANDBETWEEN(1,ROWS(Sheet1!$A$2:$A$46)))</f>
        <v>B025</v>
      </c>
      <c r="B807" s="2" t="s">
        <v>36</v>
      </c>
      <c r="C807" t="str">
        <f>_xlfn.XLOOKUP(B807, Sheet1!A:A, Sheet1!B:B)</f>
        <v>oatmeal raisin cookies</v>
      </c>
      <c r="D807">
        <f>_xlfn.XLOOKUP(B807,Sheet1!A:A,Sheet1!C:C)</f>
        <v>12</v>
      </c>
      <c r="E807">
        <f>_xlfn.XLOOKUP(B807,Sheet1!A:A,Sheet1!D:D)</f>
        <v>3.5</v>
      </c>
      <c r="F807">
        <f>_xlfn.XLOOKUP(Sheet3!B807,Sheet1!A:A,Sheet1!E:E)</f>
        <v>3</v>
      </c>
      <c r="G807">
        <f>_xlfn.XLOOKUP(B807,Sheet1!A:A,Sheet1!F:F)</f>
        <v>14</v>
      </c>
      <c r="H807" cm="1">
        <f t="array" aca="1" ref="H807" ca="1">INDEX(Sheet1!$G$2:$G$3, RANDBETWEEN(1, ROWS(Sheet1!$G$2:$G$3)))</f>
        <v>0</v>
      </c>
    </row>
    <row r="808" spans="1:8" x14ac:dyDescent="0.3">
      <c r="A808" s="2" t="str" cm="1">
        <f t="array" aca="1" ref="A808" ca="1">INDEX(Sheet1!$A$2:$A$46, RANDBETWEEN(1,ROWS(Sheet1!$A$2:$A$46)))</f>
        <v>B008</v>
      </c>
      <c r="B808" s="2" t="s">
        <v>71</v>
      </c>
      <c r="C808" t="str">
        <f>_xlfn.XLOOKUP(B808, Sheet1!A:A, Sheet1!B:B)</f>
        <v>blueberry pie</v>
      </c>
      <c r="D808">
        <f>_xlfn.XLOOKUP(B808,Sheet1!A:A,Sheet1!C:C)</f>
        <v>6</v>
      </c>
      <c r="E808">
        <f>_xlfn.XLOOKUP(B808,Sheet1!A:A,Sheet1!D:D)</f>
        <v>4</v>
      </c>
      <c r="F808">
        <f>_xlfn.XLOOKUP(Sheet3!B808,Sheet1!A:A,Sheet1!E:E)</f>
        <v>3</v>
      </c>
      <c r="G808">
        <f>_xlfn.XLOOKUP(B808,Sheet1!A:A,Sheet1!F:F)</f>
        <v>7</v>
      </c>
      <c r="H808" t="str" cm="1">
        <f t="array" aca="1" ref="H808" ca="1">INDEX(Sheet1!$G$2:$G$3, RANDBETWEEN(1, ROWS(Sheet1!$G$2:$G$3)))</f>
        <v>No</v>
      </c>
    </row>
    <row r="809" spans="1:8" x14ac:dyDescent="0.3">
      <c r="A809" s="2" t="str" cm="1">
        <f t="array" aca="1" ref="A809" ca="1">INDEX(Sheet1!$A$2:$A$46, RANDBETWEEN(1,ROWS(Sheet1!$A$2:$A$46)))</f>
        <v>B035</v>
      </c>
      <c r="B809" s="2" t="s">
        <v>21</v>
      </c>
      <c r="C809" t="str">
        <f>_xlfn.XLOOKUP(B809, Sheet1!A:A, Sheet1!B:B)</f>
        <v>butter cake</v>
      </c>
      <c r="D809">
        <f>_xlfn.XLOOKUP(B809,Sheet1!A:A,Sheet1!C:C)</f>
        <v>8</v>
      </c>
      <c r="E809">
        <f>_xlfn.XLOOKUP(B809,Sheet1!A:A,Sheet1!D:D)</f>
        <v>4</v>
      </c>
      <c r="F809">
        <f>_xlfn.XLOOKUP(Sheet3!B809,Sheet1!A:A,Sheet1!E:E)</f>
        <v>3</v>
      </c>
      <c r="G809">
        <f>_xlfn.XLOOKUP(B809,Sheet1!A:A,Sheet1!F:F)</f>
        <v>14</v>
      </c>
      <c r="H809" t="str" cm="1">
        <f t="array" aca="1" ref="H809" ca="1">INDEX(Sheet1!$G$2:$G$3, RANDBETWEEN(1, ROWS(Sheet1!$G$2:$G$3)))</f>
        <v>No</v>
      </c>
    </row>
    <row r="810" spans="1:8" x14ac:dyDescent="0.3">
      <c r="A810" s="2" t="str" cm="1">
        <f t="array" aca="1" ref="A810" ca="1">INDEX(Sheet1!$A$2:$A$46, RANDBETWEEN(1,ROWS(Sheet1!$A$2:$A$46)))</f>
        <v>B011</v>
      </c>
      <c r="B810" s="2" t="s">
        <v>16</v>
      </c>
      <c r="C810" t="str">
        <f>_xlfn.XLOOKUP(B810, Sheet1!A:A, Sheet1!B:B)</f>
        <v>mini croissant</v>
      </c>
      <c r="D810">
        <f>_xlfn.XLOOKUP(B810,Sheet1!A:A,Sheet1!C:C)</f>
        <v>10</v>
      </c>
      <c r="E810">
        <f>_xlfn.XLOOKUP(B810,Sheet1!A:A,Sheet1!D:D)</f>
        <v>5.5</v>
      </c>
      <c r="F810">
        <f>_xlfn.XLOOKUP(Sheet3!B810,Sheet1!A:A,Sheet1!E:E)</f>
        <v>4.5</v>
      </c>
      <c r="G810">
        <f>_xlfn.XLOOKUP(B810,Sheet1!A:A,Sheet1!F:F)</f>
        <v>7</v>
      </c>
      <c r="H810" t="str" cm="1">
        <f t="array" aca="1" ref="H810" ca="1">INDEX(Sheet1!$G$2:$G$3, RANDBETWEEN(1, ROWS(Sheet1!$G$2:$G$3)))</f>
        <v>No</v>
      </c>
    </row>
    <row r="811" spans="1:8" x14ac:dyDescent="0.3">
      <c r="A811" s="2" t="str" cm="1">
        <f t="array" aca="1" ref="A811" ca="1">INDEX(Sheet1!$A$2:$A$46, RANDBETWEEN(1,ROWS(Sheet1!$A$2:$A$46)))</f>
        <v>B003</v>
      </c>
      <c r="B811" s="2" t="s">
        <v>10</v>
      </c>
      <c r="C811" t="str">
        <f>_xlfn.XLOOKUP(B811, Sheet1!A:A, Sheet1!B:B)</f>
        <v>croissant</v>
      </c>
      <c r="D811">
        <f>_xlfn.XLOOKUP(B811,Sheet1!A:A,Sheet1!C:C)</f>
        <v>10</v>
      </c>
      <c r="E811">
        <f>_xlfn.XLOOKUP(B811,Sheet1!A:A,Sheet1!D:D)</f>
        <v>5.5</v>
      </c>
      <c r="F811">
        <f>_xlfn.XLOOKUP(Sheet3!B811,Sheet1!A:A,Sheet1!E:E)</f>
        <v>4.5</v>
      </c>
      <c r="G811">
        <f>_xlfn.XLOOKUP(B811,Sheet1!A:A,Sheet1!F:F)</f>
        <v>7</v>
      </c>
      <c r="H811" t="str" cm="1">
        <f t="array" aca="1" ref="H811" ca="1">INDEX(Sheet1!$G$2:$G$3, RANDBETWEEN(1, ROWS(Sheet1!$G$2:$G$3)))</f>
        <v>No</v>
      </c>
    </row>
    <row r="812" spans="1:8" x14ac:dyDescent="0.3">
      <c r="A812" s="2" t="str" cm="1">
        <f t="array" aca="1" ref="A812" ca="1">INDEX(Sheet1!$A$2:$A$46, RANDBETWEEN(1,ROWS(Sheet1!$A$2:$A$46)))</f>
        <v>B003</v>
      </c>
      <c r="B812" s="2" t="s">
        <v>58</v>
      </c>
      <c r="C812" t="str">
        <f>_xlfn.XLOOKUP(B812, Sheet1!A:A, Sheet1!B:B)</f>
        <v>cookies &amp; creme cupcakes</v>
      </c>
      <c r="D812">
        <f>_xlfn.XLOOKUP(B812,Sheet1!A:A,Sheet1!C:C)</f>
        <v>15</v>
      </c>
      <c r="E812">
        <f>_xlfn.XLOOKUP(B812,Sheet1!A:A,Sheet1!D:D)</f>
        <v>6</v>
      </c>
      <c r="F812">
        <f>_xlfn.XLOOKUP(Sheet3!B812,Sheet1!A:A,Sheet1!E:E)</f>
        <v>5.5</v>
      </c>
      <c r="G812">
        <f>_xlfn.XLOOKUP(B812,Sheet1!A:A,Sheet1!F:F)</f>
        <v>20</v>
      </c>
      <c r="H812" cm="1">
        <f t="array" aca="1" ref="H812" ca="1">INDEX(Sheet1!$G$2:$G$3, RANDBETWEEN(1, ROWS(Sheet1!$G$2:$G$3)))</f>
        <v>0</v>
      </c>
    </row>
    <row r="813" spans="1:8" x14ac:dyDescent="0.3">
      <c r="A813" s="2" t="str" cm="1">
        <f t="array" aca="1" ref="A813" ca="1">INDEX(Sheet1!$A$2:$A$46, RANDBETWEEN(1,ROWS(Sheet1!$A$2:$A$46)))</f>
        <v>B008</v>
      </c>
      <c r="B813" s="2" t="s">
        <v>72</v>
      </c>
      <c r="C813" t="str">
        <f>_xlfn.XLOOKUP(B813, Sheet1!A:A, Sheet1!B:B)</f>
        <v>cherry pie</v>
      </c>
      <c r="D813">
        <f>_xlfn.XLOOKUP(B813,Sheet1!A:A,Sheet1!C:C)</f>
        <v>6</v>
      </c>
      <c r="E813">
        <f>_xlfn.XLOOKUP(B813,Sheet1!A:A,Sheet1!D:D)</f>
        <v>4</v>
      </c>
      <c r="F813">
        <f>_xlfn.XLOOKUP(Sheet3!B813,Sheet1!A:A,Sheet1!E:E)</f>
        <v>3</v>
      </c>
      <c r="G813">
        <f>_xlfn.XLOOKUP(B813,Sheet1!A:A,Sheet1!F:F)</f>
        <v>7</v>
      </c>
      <c r="H813" cm="1">
        <f t="array" aca="1" ref="H813" ca="1">INDEX(Sheet1!$G$2:$G$3, RANDBETWEEN(1, ROWS(Sheet1!$G$2:$G$3)))</f>
        <v>0</v>
      </c>
    </row>
    <row r="814" spans="1:8" x14ac:dyDescent="0.3">
      <c r="A814" s="2" t="str" cm="1">
        <f t="array" aca="1" ref="A814" ca="1">INDEX(Sheet1!$A$2:$A$46, RANDBETWEEN(1,ROWS(Sheet1!$A$2:$A$46)))</f>
        <v>B001</v>
      </c>
      <c r="B814" s="2" t="s">
        <v>39</v>
      </c>
      <c r="C814" t="str">
        <f>_xlfn.XLOOKUP(B814, Sheet1!A:A, Sheet1!B:B)</f>
        <v>macadamia nut cookies</v>
      </c>
      <c r="D814">
        <f>_xlfn.XLOOKUP(B814,Sheet1!A:A,Sheet1!C:C)</f>
        <v>12</v>
      </c>
      <c r="E814">
        <f>_xlfn.XLOOKUP(B814,Sheet1!A:A,Sheet1!D:D)</f>
        <v>3.5</v>
      </c>
      <c r="F814">
        <f>_xlfn.XLOOKUP(Sheet3!B814,Sheet1!A:A,Sheet1!E:E)</f>
        <v>3</v>
      </c>
      <c r="G814">
        <f>_xlfn.XLOOKUP(B814,Sheet1!A:A,Sheet1!F:F)</f>
        <v>14</v>
      </c>
      <c r="H814" t="str" cm="1">
        <f t="array" aca="1" ref="H814" ca="1">INDEX(Sheet1!$G$2:$G$3, RANDBETWEEN(1, ROWS(Sheet1!$G$2:$G$3)))</f>
        <v>No</v>
      </c>
    </row>
    <row r="815" spans="1:8" x14ac:dyDescent="0.3">
      <c r="A815" s="2" t="str" cm="1">
        <f t="array" aca="1" ref="A815" ca="1">INDEX(Sheet1!$A$2:$A$46, RANDBETWEEN(1,ROWS(Sheet1!$A$2:$A$46)))</f>
        <v>B012</v>
      </c>
      <c r="B815" s="2" t="s">
        <v>40</v>
      </c>
      <c r="C815" t="str">
        <f>_xlfn.XLOOKUP(B815, Sheet1!A:A, Sheet1!B:B)</f>
        <v>frosted pink cookies</v>
      </c>
      <c r="D815">
        <f>_xlfn.XLOOKUP(B815,Sheet1!A:A,Sheet1!C:C)</f>
        <v>15</v>
      </c>
      <c r="E815">
        <f>_xlfn.XLOOKUP(B815,Sheet1!A:A,Sheet1!D:D)</f>
        <v>3</v>
      </c>
      <c r="F815">
        <f>_xlfn.XLOOKUP(Sheet3!B815,Sheet1!A:A,Sheet1!E:E)</f>
        <v>2.5</v>
      </c>
      <c r="G815">
        <f>_xlfn.XLOOKUP(B815,Sheet1!A:A,Sheet1!F:F)</f>
        <v>14</v>
      </c>
      <c r="H815" cm="1">
        <f t="array" aca="1" ref="H815" ca="1">INDEX(Sheet1!$G$2:$G$3, RANDBETWEEN(1, ROWS(Sheet1!$G$2:$G$3)))</f>
        <v>0</v>
      </c>
    </row>
    <row r="816" spans="1:8" x14ac:dyDescent="0.3">
      <c r="A816" s="2" t="str" cm="1">
        <f t="array" aca="1" ref="A816" ca="1">INDEX(Sheet1!$A$2:$A$46, RANDBETWEEN(1,ROWS(Sheet1!$A$2:$A$46)))</f>
        <v>B032</v>
      </c>
      <c r="B816" s="2" t="s">
        <v>67</v>
      </c>
      <c r="C816" t="str">
        <f>_xlfn.XLOOKUP(B816, Sheet1!A:A, Sheet1!B:B)</f>
        <v>seeded bread</v>
      </c>
      <c r="D816">
        <f>_xlfn.XLOOKUP(B816,Sheet1!A:A,Sheet1!C:C)</f>
        <v>8</v>
      </c>
      <c r="E816">
        <f>_xlfn.XLOOKUP(B816,Sheet1!A:A,Sheet1!D:D)</f>
        <v>3.5</v>
      </c>
      <c r="F816">
        <f>_xlfn.XLOOKUP(Sheet3!B816,Sheet1!A:A,Sheet1!E:E)</f>
        <v>3</v>
      </c>
      <c r="G816">
        <f>_xlfn.XLOOKUP(B816,Sheet1!A:A,Sheet1!F:F)</f>
        <v>8</v>
      </c>
      <c r="H816" t="str" cm="1">
        <f t="array" aca="1" ref="H816" ca="1">INDEX(Sheet1!$G$2:$G$3, RANDBETWEEN(1, ROWS(Sheet1!$G$2:$G$3)))</f>
        <v>No</v>
      </c>
    </row>
    <row r="817" spans="1:8" x14ac:dyDescent="0.3">
      <c r="A817" s="2" t="str" cm="1">
        <f t="array" aca="1" ref="A817" ca="1">INDEX(Sheet1!$A$2:$A$46, RANDBETWEEN(1,ROWS(Sheet1!$A$2:$A$46)))</f>
        <v>B001</v>
      </c>
      <c r="B817" s="2" t="s">
        <v>21</v>
      </c>
      <c r="C817" t="str">
        <f>_xlfn.XLOOKUP(B817, Sheet1!A:A, Sheet1!B:B)</f>
        <v>butter cake</v>
      </c>
      <c r="D817">
        <f>_xlfn.XLOOKUP(B817,Sheet1!A:A,Sheet1!C:C)</f>
        <v>8</v>
      </c>
      <c r="E817">
        <f>_xlfn.XLOOKUP(B817,Sheet1!A:A,Sheet1!D:D)</f>
        <v>4</v>
      </c>
      <c r="F817">
        <f>_xlfn.XLOOKUP(Sheet3!B817,Sheet1!A:A,Sheet1!E:E)</f>
        <v>3</v>
      </c>
      <c r="G817">
        <f>_xlfn.XLOOKUP(B817,Sheet1!A:A,Sheet1!F:F)</f>
        <v>14</v>
      </c>
      <c r="H817" cm="1">
        <f t="array" aca="1" ref="H817" ca="1">INDEX(Sheet1!$G$2:$G$3, RANDBETWEEN(1, ROWS(Sheet1!$G$2:$G$3)))</f>
        <v>0</v>
      </c>
    </row>
    <row r="818" spans="1:8" x14ac:dyDescent="0.3">
      <c r="A818" s="2" t="str" cm="1">
        <f t="array" aca="1" ref="A818" ca="1">INDEX(Sheet1!$A$2:$A$46, RANDBETWEEN(1,ROWS(Sheet1!$A$2:$A$46)))</f>
        <v>B014</v>
      </c>
      <c r="B818" s="2" t="s">
        <v>41</v>
      </c>
      <c r="C818" t="str">
        <f>_xlfn.XLOOKUP(B818, Sheet1!A:A, Sheet1!B:B)</f>
        <v>frosted blue cookies</v>
      </c>
      <c r="D818">
        <f>_xlfn.XLOOKUP(B818,Sheet1!A:A,Sheet1!C:C)</f>
        <v>15</v>
      </c>
      <c r="E818">
        <f>_xlfn.XLOOKUP(B818,Sheet1!A:A,Sheet1!D:D)</f>
        <v>3</v>
      </c>
      <c r="F818">
        <f>_xlfn.XLOOKUP(Sheet3!B818,Sheet1!A:A,Sheet1!E:E)</f>
        <v>2.5</v>
      </c>
      <c r="G818">
        <f>_xlfn.XLOOKUP(B818,Sheet1!A:A,Sheet1!F:F)</f>
        <v>14</v>
      </c>
      <c r="H818" cm="1">
        <f t="array" aca="1" ref="H818" ca="1">INDEX(Sheet1!$G$2:$G$3, RANDBETWEEN(1, ROWS(Sheet1!$G$2:$G$3)))</f>
        <v>0</v>
      </c>
    </row>
    <row r="819" spans="1:8" x14ac:dyDescent="0.3">
      <c r="A819" s="2" t="str" cm="1">
        <f t="array" aca="1" ref="A819" ca="1">INDEX(Sheet1!$A$2:$A$46, RANDBETWEEN(1,ROWS(Sheet1!$A$2:$A$46)))</f>
        <v>B032</v>
      </c>
      <c r="B819" s="2" t="s">
        <v>19</v>
      </c>
      <c r="C819" t="str">
        <f>_xlfn.XLOOKUP(B819, Sheet1!A:A, Sheet1!B:B)</f>
        <v>blueberry muffins</v>
      </c>
      <c r="D819">
        <f>_xlfn.XLOOKUP(B819,Sheet1!A:A,Sheet1!C:C)</f>
        <v>10</v>
      </c>
      <c r="E819">
        <f>_xlfn.XLOOKUP(B819,Sheet1!A:A,Sheet1!D:D)</f>
        <v>4.5</v>
      </c>
      <c r="F819">
        <f>_xlfn.XLOOKUP(Sheet3!B819,Sheet1!A:A,Sheet1!E:E)</f>
        <v>4</v>
      </c>
      <c r="G819">
        <f>_xlfn.XLOOKUP(B819,Sheet1!A:A,Sheet1!F:F)</f>
        <v>10</v>
      </c>
      <c r="H819" cm="1">
        <f t="array" aca="1" ref="H819" ca="1">INDEX(Sheet1!$G$2:$G$3, RANDBETWEEN(1, ROWS(Sheet1!$G$2:$G$3)))</f>
        <v>0</v>
      </c>
    </row>
    <row r="820" spans="1:8" x14ac:dyDescent="0.3">
      <c r="A820" s="2" t="str" cm="1">
        <f t="array" aca="1" ref="A820" ca="1">INDEX(Sheet1!$A$2:$A$46, RANDBETWEEN(1,ROWS(Sheet1!$A$2:$A$46)))</f>
        <v>B006</v>
      </c>
      <c r="B820" s="2" t="s">
        <v>64</v>
      </c>
      <c r="C820" t="str">
        <f>_xlfn.XLOOKUP(B820, Sheet1!A:A, Sheet1!B:B)</f>
        <v>marble bread</v>
      </c>
      <c r="D820">
        <f>_xlfn.XLOOKUP(B820,Sheet1!A:A,Sheet1!C:C)</f>
        <v>8</v>
      </c>
      <c r="E820">
        <f>_xlfn.XLOOKUP(B820,Sheet1!A:A,Sheet1!D:D)</f>
        <v>3.5</v>
      </c>
      <c r="F820">
        <f>_xlfn.XLOOKUP(Sheet3!B820,Sheet1!A:A,Sheet1!E:E)</f>
        <v>3</v>
      </c>
      <c r="G820">
        <f>_xlfn.XLOOKUP(B820,Sheet1!A:A,Sheet1!F:F)</f>
        <v>8</v>
      </c>
      <c r="H820" t="str" cm="1">
        <f t="array" aca="1" ref="H820" ca="1">INDEX(Sheet1!$G$2:$G$3, RANDBETWEEN(1, ROWS(Sheet1!$G$2:$G$3)))</f>
        <v>No</v>
      </c>
    </row>
    <row r="821" spans="1:8" x14ac:dyDescent="0.3">
      <c r="A821" s="2" t="str" cm="1">
        <f t="array" aca="1" ref="A821" ca="1">INDEX(Sheet1!$A$2:$A$46, RANDBETWEEN(1,ROWS(Sheet1!$A$2:$A$46)))</f>
        <v>B007</v>
      </c>
      <c r="B821" s="2" t="s">
        <v>84</v>
      </c>
      <c r="C821" t="str">
        <f>_xlfn.XLOOKUP(B821, Sheet1!A:A, Sheet1!B:B)</f>
        <v>plain bagels</v>
      </c>
      <c r="D821">
        <f>_xlfn.XLOOKUP(B821,Sheet1!A:A,Sheet1!C:C)</f>
        <v>8</v>
      </c>
      <c r="E821">
        <f>_xlfn.XLOOKUP(B821,Sheet1!A:A,Sheet1!D:D)</f>
        <v>3.5</v>
      </c>
      <c r="F821">
        <f>_xlfn.XLOOKUP(Sheet3!B821,Sheet1!A:A,Sheet1!E:E)</f>
        <v>3</v>
      </c>
      <c r="G821">
        <f>_xlfn.XLOOKUP(B821,Sheet1!A:A,Sheet1!F:F)</f>
        <v>8</v>
      </c>
      <c r="H821" t="str" cm="1">
        <f t="array" aca="1" ref="H821" ca="1">INDEX(Sheet1!$G$2:$G$3, RANDBETWEEN(1, ROWS(Sheet1!$G$2:$G$3)))</f>
        <v>No</v>
      </c>
    </row>
    <row r="822" spans="1:8" x14ac:dyDescent="0.3">
      <c r="A822" s="2" t="str" cm="1">
        <f t="array" aca="1" ref="A822" ca="1">INDEX(Sheet1!$A$2:$A$46, RANDBETWEEN(1,ROWS(Sheet1!$A$2:$A$46)))</f>
        <v>B017</v>
      </c>
      <c r="B822" s="2" t="s">
        <v>88</v>
      </c>
      <c r="C822" t="str">
        <f>_xlfn.XLOOKUP(B822, Sheet1!A:A, Sheet1!B:B)</f>
        <v>everything bagels</v>
      </c>
      <c r="D822">
        <f>_xlfn.XLOOKUP(B822,Sheet1!A:A,Sheet1!C:C)</f>
        <v>8</v>
      </c>
      <c r="E822">
        <f>_xlfn.XLOOKUP(B822,Sheet1!A:A,Sheet1!D:D)</f>
        <v>3.5</v>
      </c>
      <c r="F822">
        <f>_xlfn.XLOOKUP(Sheet3!B822,Sheet1!A:A,Sheet1!E:E)</f>
        <v>3</v>
      </c>
      <c r="G822">
        <f>_xlfn.XLOOKUP(B822,Sheet1!A:A,Sheet1!F:F)</f>
        <v>8</v>
      </c>
      <c r="H822" t="str" cm="1">
        <f t="array" aca="1" ref="H822" ca="1">INDEX(Sheet1!$G$2:$G$3, RANDBETWEEN(1, ROWS(Sheet1!$G$2:$G$3)))</f>
        <v>No</v>
      </c>
    </row>
    <row r="823" spans="1:8" x14ac:dyDescent="0.3">
      <c r="A823" s="2" t="str" cm="1">
        <f t="array" aca="1" ref="A823" ca="1">INDEX(Sheet1!$A$2:$A$46, RANDBETWEEN(1,ROWS(Sheet1!$A$2:$A$46)))</f>
        <v>B002</v>
      </c>
      <c r="B823" s="2" t="s">
        <v>57</v>
      </c>
      <c r="C823" t="str">
        <f>_xlfn.XLOOKUP(B823, Sheet1!A:A, Sheet1!B:B)</f>
        <v>vanilla cupcakes</v>
      </c>
      <c r="D823">
        <f>_xlfn.XLOOKUP(B823,Sheet1!A:A,Sheet1!C:C)</f>
        <v>8</v>
      </c>
      <c r="E823">
        <f>_xlfn.XLOOKUP(B823,Sheet1!A:A,Sheet1!D:D)</f>
        <v>6</v>
      </c>
      <c r="F823">
        <f>_xlfn.XLOOKUP(Sheet3!B823,Sheet1!A:A,Sheet1!E:E)</f>
        <v>5.5</v>
      </c>
      <c r="G823">
        <f>_xlfn.XLOOKUP(B823,Sheet1!A:A,Sheet1!F:F)</f>
        <v>20</v>
      </c>
      <c r="H823" cm="1">
        <f t="array" aca="1" ref="H823" ca="1">INDEX(Sheet1!$G$2:$G$3, RANDBETWEEN(1, ROWS(Sheet1!$G$2:$G$3)))</f>
        <v>0</v>
      </c>
    </row>
    <row r="824" spans="1:8" x14ac:dyDescent="0.3">
      <c r="A824" s="2" t="str" cm="1">
        <f t="array" aca="1" ref="A824" ca="1">INDEX(Sheet1!$A$2:$A$46, RANDBETWEEN(1,ROWS(Sheet1!$A$2:$A$46)))</f>
        <v>B005</v>
      </c>
      <c r="B824" s="2" t="s">
        <v>59</v>
      </c>
      <c r="C824" t="str">
        <f>_xlfn.XLOOKUP(B824, Sheet1!A:A, Sheet1!B:B)</f>
        <v>iced lemon sliced loaf cake</v>
      </c>
      <c r="D824">
        <f>_xlfn.XLOOKUP(B824,Sheet1!A:A,Sheet1!C:C)</f>
        <v>10</v>
      </c>
      <c r="E824">
        <f>_xlfn.XLOOKUP(B824,Sheet1!A:A,Sheet1!D:D)</f>
        <v>4</v>
      </c>
      <c r="F824">
        <f>_xlfn.XLOOKUP(Sheet3!B824,Sheet1!A:A,Sheet1!E:E)</f>
        <v>3.5</v>
      </c>
      <c r="G824">
        <f>_xlfn.XLOOKUP(B824,Sheet1!A:A,Sheet1!F:F)</f>
        <v>10</v>
      </c>
      <c r="H824" t="str" cm="1">
        <f t="array" aca="1" ref="H824" ca="1">INDEX(Sheet1!$G$2:$G$3, RANDBETWEEN(1, ROWS(Sheet1!$G$2:$G$3)))</f>
        <v>No</v>
      </c>
    </row>
    <row r="825" spans="1:8" x14ac:dyDescent="0.3">
      <c r="A825" s="2" t="str" cm="1">
        <f t="array" aca="1" ref="A825" ca="1">INDEX(Sheet1!$A$2:$A$46, RANDBETWEEN(1,ROWS(Sheet1!$A$2:$A$46)))</f>
        <v>B003</v>
      </c>
      <c r="B825" s="2" t="s">
        <v>36</v>
      </c>
      <c r="C825" t="str">
        <f>_xlfn.XLOOKUP(B825, Sheet1!A:A, Sheet1!B:B)</f>
        <v>oatmeal raisin cookies</v>
      </c>
      <c r="D825">
        <f>_xlfn.XLOOKUP(B825,Sheet1!A:A,Sheet1!C:C)</f>
        <v>12</v>
      </c>
      <c r="E825">
        <f>_xlfn.XLOOKUP(B825,Sheet1!A:A,Sheet1!D:D)</f>
        <v>3.5</v>
      </c>
      <c r="F825">
        <f>_xlfn.XLOOKUP(Sheet3!B825,Sheet1!A:A,Sheet1!E:E)</f>
        <v>3</v>
      </c>
      <c r="G825">
        <f>_xlfn.XLOOKUP(B825,Sheet1!A:A,Sheet1!F:F)</f>
        <v>14</v>
      </c>
      <c r="H825" t="str" cm="1">
        <f t="array" aca="1" ref="H825" ca="1">INDEX(Sheet1!$G$2:$G$3, RANDBETWEEN(1, ROWS(Sheet1!$G$2:$G$3)))</f>
        <v>No</v>
      </c>
    </row>
    <row r="826" spans="1:8" x14ac:dyDescent="0.3">
      <c r="A826" s="2" t="str" cm="1">
        <f t="array" aca="1" ref="A826" ca="1">INDEX(Sheet1!$A$2:$A$46, RANDBETWEEN(1,ROWS(Sheet1!$A$2:$A$46)))</f>
        <v>B017</v>
      </c>
      <c r="B826" s="2" t="s">
        <v>22</v>
      </c>
      <c r="C826" t="str">
        <f>_xlfn.XLOOKUP(B826, Sheet1!A:A, Sheet1!B:B)</f>
        <v>chocolate chip cookies</v>
      </c>
      <c r="D826">
        <f>_xlfn.XLOOKUP(B826,Sheet1!A:A,Sheet1!C:C)</f>
        <v>12</v>
      </c>
      <c r="E826">
        <f>_xlfn.XLOOKUP(B826,Sheet1!A:A,Sheet1!D:D)</f>
        <v>3.5</v>
      </c>
      <c r="F826">
        <f>_xlfn.XLOOKUP(Sheet3!B826,Sheet1!A:A,Sheet1!E:E)</f>
        <v>3</v>
      </c>
      <c r="G826">
        <f>_xlfn.XLOOKUP(B826,Sheet1!A:A,Sheet1!F:F)</f>
        <v>14</v>
      </c>
      <c r="H826" t="str" cm="1">
        <f t="array" aca="1" ref="H826" ca="1">INDEX(Sheet1!$G$2:$G$3, RANDBETWEEN(1, ROWS(Sheet1!$G$2:$G$3)))</f>
        <v>No</v>
      </c>
    </row>
    <row r="827" spans="1:8" x14ac:dyDescent="0.3">
      <c r="A827" s="2" t="str" cm="1">
        <f t="array" aca="1" ref="A827" ca="1">INDEX(Sheet1!$A$2:$A$46, RANDBETWEEN(1,ROWS(Sheet1!$A$2:$A$46)))</f>
        <v>B013</v>
      </c>
      <c r="B827" s="2" t="s">
        <v>83</v>
      </c>
      <c r="C827" t="str">
        <f>_xlfn.XLOOKUP(B827, Sheet1!A:A, Sheet1!B:B)</f>
        <v>pumpkin spice muffins</v>
      </c>
      <c r="D827">
        <f>_xlfn.XLOOKUP(B827,Sheet1!A:A,Sheet1!C:C)</f>
        <v>10</v>
      </c>
      <c r="E827">
        <f>_xlfn.XLOOKUP(B827,Sheet1!A:A,Sheet1!D:D)</f>
        <v>4.5</v>
      </c>
      <c r="F827">
        <f>_xlfn.XLOOKUP(Sheet3!B827,Sheet1!A:A,Sheet1!E:E)</f>
        <v>4</v>
      </c>
      <c r="G827">
        <f>_xlfn.XLOOKUP(B827,Sheet1!A:A,Sheet1!F:F)</f>
        <v>10</v>
      </c>
      <c r="H827" cm="1">
        <f t="array" aca="1" ref="H827" ca="1">INDEX(Sheet1!$G$2:$G$3, RANDBETWEEN(1, ROWS(Sheet1!$G$2:$G$3)))</f>
        <v>0</v>
      </c>
    </row>
    <row r="828" spans="1:8" x14ac:dyDescent="0.3">
      <c r="A828" s="2" t="str" cm="1">
        <f t="array" aca="1" ref="A828" ca="1">INDEX(Sheet1!$A$2:$A$46, RANDBETWEEN(1,ROWS(Sheet1!$A$2:$A$46)))</f>
        <v>B032</v>
      </c>
      <c r="B828" s="2" t="s">
        <v>24</v>
      </c>
      <c r="C828" t="str">
        <f>_xlfn.XLOOKUP(B828, Sheet1!A:A, Sheet1!B:B)</f>
        <v>tiramisu</v>
      </c>
      <c r="D828">
        <f>_xlfn.XLOOKUP(B828,Sheet1!A:A,Sheet1!C:C)</f>
        <v>8</v>
      </c>
      <c r="E828">
        <f>_xlfn.XLOOKUP(B828,Sheet1!A:A,Sheet1!D:D)</f>
        <v>7.5</v>
      </c>
      <c r="F828">
        <f>_xlfn.XLOOKUP(Sheet3!B828,Sheet1!A:A,Sheet1!E:E)</f>
        <v>5.5</v>
      </c>
      <c r="G828">
        <f>_xlfn.XLOOKUP(B828,Sheet1!A:A,Sheet1!F:F)</f>
        <v>7</v>
      </c>
      <c r="H828" cm="1">
        <f t="array" aca="1" ref="H828" ca="1">INDEX(Sheet1!$G$2:$G$3, RANDBETWEEN(1, ROWS(Sheet1!$G$2:$G$3)))</f>
        <v>0</v>
      </c>
    </row>
    <row r="829" spans="1:8" x14ac:dyDescent="0.3">
      <c r="A829" s="2" t="str" cm="1">
        <f t="array" aca="1" ref="A829" ca="1">INDEX(Sheet1!$A$2:$A$46, RANDBETWEEN(1,ROWS(Sheet1!$A$2:$A$46)))</f>
        <v>B019</v>
      </c>
      <c r="B829" s="2" t="s">
        <v>56</v>
      </c>
      <c r="C829" t="str">
        <f>_xlfn.XLOOKUP(B829, Sheet1!A:A, Sheet1!B:B)</f>
        <v>assorted cupcakes </v>
      </c>
      <c r="D829">
        <f>_xlfn.XLOOKUP(B829,Sheet1!A:A,Sheet1!C:C)</f>
        <v>8</v>
      </c>
      <c r="E829">
        <f>_xlfn.XLOOKUP(B829,Sheet1!A:A,Sheet1!D:D)</f>
        <v>6</v>
      </c>
      <c r="F829">
        <f>_xlfn.XLOOKUP(Sheet3!B829,Sheet1!A:A,Sheet1!E:E)</f>
        <v>5.5</v>
      </c>
      <c r="G829">
        <f>_xlfn.XLOOKUP(B829,Sheet1!A:A,Sheet1!F:F)</f>
        <v>20</v>
      </c>
      <c r="H829" cm="1">
        <f t="array" aca="1" ref="H829" ca="1">INDEX(Sheet1!$G$2:$G$3, RANDBETWEEN(1, ROWS(Sheet1!$G$2:$G$3)))</f>
        <v>0</v>
      </c>
    </row>
    <row r="830" spans="1:8" x14ac:dyDescent="0.3">
      <c r="A830" s="2" t="str" cm="1">
        <f t="array" aca="1" ref="A830" ca="1">INDEX(Sheet1!$A$2:$A$46, RANDBETWEEN(1,ROWS(Sheet1!$A$2:$A$46)))</f>
        <v>B040</v>
      </c>
      <c r="B830" s="2" t="s">
        <v>80</v>
      </c>
      <c r="C830" t="str">
        <f>_xlfn.XLOOKUP(B830, Sheet1!A:A, Sheet1!B:B)</f>
        <v>carrot square cake</v>
      </c>
      <c r="D830">
        <f>_xlfn.XLOOKUP(B830,Sheet1!A:A,Sheet1!C:C)</f>
        <v>8</v>
      </c>
      <c r="E830">
        <f>_xlfn.XLOOKUP(B830,Sheet1!A:A,Sheet1!D:D)</f>
        <v>2.5</v>
      </c>
      <c r="F830">
        <f>_xlfn.XLOOKUP(Sheet3!B830,Sheet1!A:A,Sheet1!E:E)</f>
        <v>2</v>
      </c>
      <c r="G830">
        <f>_xlfn.XLOOKUP(B830,Sheet1!A:A,Sheet1!F:F)</f>
        <v>5</v>
      </c>
      <c r="H830" t="str" cm="1">
        <f t="array" aca="1" ref="H830" ca="1">INDEX(Sheet1!$G$2:$G$3, RANDBETWEEN(1, ROWS(Sheet1!$G$2:$G$3)))</f>
        <v>No</v>
      </c>
    </row>
    <row r="831" spans="1:8" x14ac:dyDescent="0.3">
      <c r="A831" s="2" t="str" cm="1">
        <f t="array" aca="1" ref="A831" ca="1">INDEX(Sheet1!$A$2:$A$46, RANDBETWEEN(1,ROWS(Sheet1!$A$2:$A$46)))</f>
        <v>B027</v>
      </c>
      <c r="B831" s="2" t="s">
        <v>56</v>
      </c>
      <c r="C831" t="str">
        <f>_xlfn.XLOOKUP(B831, Sheet1!A:A, Sheet1!B:B)</f>
        <v>assorted cupcakes </v>
      </c>
      <c r="D831">
        <f>_xlfn.XLOOKUP(B831,Sheet1!A:A,Sheet1!C:C)</f>
        <v>8</v>
      </c>
      <c r="E831">
        <f>_xlfn.XLOOKUP(B831,Sheet1!A:A,Sheet1!D:D)</f>
        <v>6</v>
      </c>
      <c r="F831">
        <f>_xlfn.XLOOKUP(Sheet3!B831,Sheet1!A:A,Sheet1!E:E)</f>
        <v>5.5</v>
      </c>
      <c r="G831">
        <f>_xlfn.XLOOKUP(B831,Sheet1!A:A,Sheet1!F:F)</f>
        <v>20</v>
      </c>
      <c r="H831" t="str" cm="1">
        <f t="array" aca="1" ref="H831" ca="1">INDEX(Sheet1!$G$2:$G$3, RANDBETWEEN(1, ROWS(Sheet1!$G$2:$G$3)))</f>
        <v>No</v>
      </c>
    </row>
    <row r="832" spans="1:8" x14ac:dyDescent="0.3">
      <c r="A832" s="2" t="str" cm="1">
        <f t="array" aca="1" ref="A832" ca="1">INDEX(Sheet1!$A$2:$A$46, RANDBETWEEN(1,ROWS(Sheet1!$A$2:$A$46)))</f>
        <v>B021</v>
      </c>
      <c r="B832" s="2" t="s">
        <v>68</v>
      </c>
      <c r="C832" t="str">
        <f>_xlfn.XLOOKUP(B832, Sheet1!A:A, Sheet1!B:B)</f>
        <v>oreja cookies</v>
      </c>
      <c r="D832">
        <f>_xlfn.XLOOKUP(B832,Sheet1!A:A,Sheet1!C:C)</f>
        <v>15</v>
      </c>
      <c r="E832">
        <f>_xlfn.XLOOKUP(B832,Sheet1!A:A,Sheet1!D:D)</f>
        <v>4</v>
      </c>
      <c r="F832">
        <f>_xlfn.XLOOKUP(Sheet3!B832,Sheet1!A:A,Sheet1!E:E)</f>
        <v>3</v>
      </c>
      <c r="G832">
        <f>_xlfn.XLOOKUP(B832,Sheet1!A:A,Sheet1!F:F)</f>
        <v>14</v>
      </c>
      <c r="H832" cm="1">
        <f t="array" aca="1" ref="H832" ca="1">INDEX(Sheet1!$G$2:$G$3, RANDBETWEEN(1, ROWS(Sheet1!$G$2:$G$3)))</f>
        <v>0</v>
      </c>
    </row>
    <row r="833" spans="1:8" x14ac:dyDescent="0.3">
      <c r="A833" s="2" t="str" cm="1">
        <f t="array" aca="1" ref="A833" ca="1">INDEX(Sheet1!$A$2:$A$46, RANDBETWEEN(1,ROWS(Sheet1!$A$2:$A$46)))</f>
        <v>B002</v>
      </c>
      <c r="B833" s="2" t="s">
        <v>55</v>
      </c>
      <c r="C833" t="str">
        <f>_xlfn.XLOOKUP(B833, Sheet1!A:A, Sheet1!B:B)</f>
        <v>cookies &amp; creme cake</v>
      </c>
      <c r="D833">
        <f>_xlfn.XLOOKUP(B833,Sheet1!A:A,Sheet1!C:C)</f>
        <v>4</v>
      </c>
      <c r="E833">
        <f>_xlfn.XLOOKUP(B833,Sheet1!A:A,Sheet1!D:D)</f>
        <v>8.5</v>
      </c>
      <c r="F833">
        <f>_xlfn.XLOOKUP(Sheet3!B833,Sheet1!A:A,Sheet1!E:E)</f>
        <v>6</v>
      </c>
      <c r="G833">
        <f>_xlfn.XLOOKUP(B833,Sheet1!A:A,Sheet1!F:F)</f>
        <v>7</v>
      </c>
      <c r="H833" t="str" cm="1">
        <f t="array" aca="1" ref="H833" ca="1">INDEX(Sheet1!$G$2:$G$3, RANDBETWEEN(1, ROWS(Sheet1!$G$2:$G$3)))</f>
        <v>No</v>
      </c>
    </row>
    <row r="834" spans="1:8" x14ac:dyDescent="0.3">
      <c r="A834" s="2" t="str" cm="1">
        <f t="array" aca="1" ref="A834" ca="1">INDEX(Sheet1!$A$2:$A$46, RANDBETWEEN(1,ROWS(Sheet1!$A$2:$A$46)))</f>
        <v>B017</v>
      </c>
      <c r="B834" s="2" t="s">
        <v>71</v>
      </c>
      <c r="C834" t="str">
        <f>_xlfn.XLOOKUP(B834, Sheet1!A:A, Sheet1!B:B)</f>
        <v>blueberry pie</v>
      </c>
      <c r="D834">
        <f>_xlfn.XLOOKUP(B834,Sheet1!A:A,Sheet1!C:C)</f>
        <v>6</v>
      </c>
      <c r="E834">
        <f>_xlfn.XLOOKUP(B834,Sheet1!A:A,Sheet1!D:D)</f>
        <v>4</v>
      </c>
      <c r="F834">
        <f>_xlfn.XLOOKUP(Sheet3!B834,Sheet1!A:A,Sheet1!E:E)</f>
        <v>3</v>
      </c>
      <c r="G834">
        <f>_xlfn.XLOOKUP(B834,Sheet1!A:A,Sheet1!F:F)</f>
        <v>7</v>
      </c>
      <c r="H834" cm="1">
        <f t="array" aca="1" ref="H834" ca="1">INDEX(Sheet1!$G$2:$G$3, RANDBETWEEN(1, ROWS(Sheet1!$G$2:$G$3)))</f>
        <v>0</v>
      </c>
    </row>
    <row r="835" spans="1:8" x14ac:dyDescent="0.3">
      <c r="A835" s="2" t="str" cm="1">
        <f t="array" aca="1" ref="A835" ca="1">INDEX(Sheet1!$A$2:$A$46, RANDBETWEEN(1,ROWS(Sheet1!$A$2:$A$46)))</f>
        <v>B032</v>
      </c>
      <c r="B835" s="2" t="s">
        <v>22</v>
      </c>
      <c r="C835" t="str">
        <f>_xlfn.XLOOKUP(B835, Sheet1!A:A, Sheet1!B:B)</f>
        <v>chocolate chip cookies</v>
      </c>
      <c r="D835">
        <f>_xlfn.XLOOKUP(B835,Sheet1!A:A,Sheet1!C:C)</f>
        <v>12</v>
      </c>
      <c r="E835">
        <f>_xlfn.XLOOKUP(B835,Sheet1!A:A,Sheet1!D:D)</f>
        <v>3.5</v>
      </c>
      <c r="F835">
        <f>_xlfn.XLOOKUP(Sheet3!B835,Sheet1!A:A,Sheet1!E:E)</f>
        <v>3</v>
      </c>
      <c r="G835">
        <f>_xlfn.XLOOKUP(B835,Sheet1!A:A,Sheet1!F:F)</f>
        <v>14</v>
      </c>
      <c r="H835" t="str" cm="1">
        <f t="array" aca="1" ref="H835" ca="1">INDEX(Sheet1!$G$2:$G$3, RANDBETWEEN(1, ROWS(Sheet1!$G$2:$G$3)))</f>
        <v>No</v>
      </c>
    </row>
    <row r="836" spans="1:8" x14ac:dyDescent="0.3">
      <c r="A836" s="2" t="str" cm="1">
        <f t="array" aca="1" ref="A836" ca="1">INDEX(Sheet1!$A$2:$A$46, RANDBETWEEN(1,ROWS(Sheet1!$A$2:$A$46)))</f>
        <v>B019</v>
      </c>
      <c r="B836" s="2" t="s">
        <v>56</v>
      </c>
      <c r="C836" t="str">
        <f>_xlfn.XLOOKUP(B836, Sheet1!A:A, Sheet1!B:B)</f>
        <v>assorted cupcakes </v>
      </c>
      <c r="D836">
        <f>_xlfn.XLOOKUP(B836,Sheet1!A:A,Sheet1!C:C)</f>
        <v>8</v>
      </c>
      <c r="E836">
        <f>_xlfn.XLOOKUP(B836,Sheet1!A:A,Sheet1!D:D)</f>
        <v>6</v>
      </c>
      <c r="F836">
        <f>_xlfn.XLOOKUP(Sheet3!B836,Sheet1!A:A,Sheet1!E:E)</f>
        <v>5.5</v>
      </c>
      <c r="G836">
        <f>_xlfn.XLOOKUP(B836,Sheet1!A:A,Sheet1!F:F)</f>
        <v>20</v>
      </c>
      <c r="H836" t="str" cm="1">
        <f t="array" aca="1" ref="H836" ca="1">INDEX(Sheet1!$G$2:$G$3, RANDBETWEEN(1, ROWS(Sheet1!$G$2:$G$3)))</f>
        <v>No</v>
      </c>
    </row>
    <row r="837" spans="1:8" x14ac:dyDescent="0.3">
      <c r="A837" s="2" t="str" cm="1">
        <f t="array" aca="1" ref="A837" ca="1">INDEX(Sheet1!$A$2:$A$46, RANDBETWEEN(1,ROWS(Sheet1!$A$2:$A$46)))</f>
        <v>B009</v>
      </c>
      <c r="B837" s="2" t="s">
        <v>40</v>
      </c>
      <c r="C837" t="str">
        <f>_xlfn.XLOOKUP(B837, Sheet1!A:A, Sheet1!B:B)</f>
        <v>frosted pink cookies</v>
      </c>
      <c r="D837">
        <f>_xlfn.XLOOKUP(B837,Sheet1!A:A,Sheet1!C:C)</f>
        <v>15</v>
      </c>
      <c r="E837">
        <f>_xlfn.XLOOKUP(B837,Sheet1!A:A,Sheet1!D:D)</f>
        <v>3</v>
      </c>
      <c r="F837">
        <f>_xlfn.XLOOKUP(Sheet3!B837,Sheet1!A:A,Sheet1!E:E)</f>
        <v>2.5</v>
      </c>
      <c r="G837">
        <f>_xlfn.XLOOKUP(B837,Sheet1!A:A,Sheet1!F:F)</f>
        <v>14</v>
      </c>
      <c r="H837" cm="1">
        <f t="array" aca="1" ref="H837" ca="1">INDEX(Sheet1!$G$2:$G$3, RANDBETWEEN(1, ROWS(Sheet1!$G$2:$G$3)))</f>
        <v>0</v>
      </c>
    </row>
    <row r="838" spans="1:8" x14ac:dyDescent="0.3">
      <c r="A838" s="2" t="str" cm="1">
        <f t="array" aca="1" ref="A838" ca="1">INDEX(Sheet1!$A$2:$A$46, RANDBETWEEN(1,ROWS(Sheet1!$A$2:$A$46)))</f>
        <v>B031</v>
      </c>
      <c r="B838" s="2" t="s">
        <v>10</v>
      </c>
      <c r="C838" t="str">
        <f>_xlfn.XLOOKUP(B838, Sheet1!A:A, Sheet1!B:B)</f>
        <v>croissant</v>
      </c>
      <c r="D838">
        <f>_xlfn.XLOOKUP(B838,Sheet1!A:A,Sheet1!C:C)</f>
        <v>10</v>
      </c>
      <c r="E838">
        <f>_xlfn.XLOOKUP(B838,Sheet1!A:A,Sheet1!D:D)</f>
        <v>5.5</v>
      </c>
      <c r="F838">
        <f>_xlfn.XLOOKUP(Sheet3!B838,Sheet1!A:A,Sheet1!E:E)</f>
        <v>4.5</v>
      </c>
      <c r="G838">
        <f>_xlfn.XLOOKUP(B838,Sheet1!A:A,Sheet1!F:F)</f>
        <v>7</v>
      </c>
      <c r="H838" t="str" cm="1">
        <f t="array" aca="1" ref="H838" ca="1">INDEX(Sheet1!$G$2:$G$3, RANDBETWEEN(1, ROWS(Sheet1!$G$2:$G$3)))</f>
        <v>No</v>
      </c>
    </row>
    <row r="839" spans="1:8" x14ac:dyDescent="0.3">
      <c r="A839" s="2" t="str" cm="1">
        <f t="array" aca="1" ref="A839" ca="1">INDEX(Sheet1!$A$2:$A$46, RANDBETWEEN(1,ROWS(Sheet1!$A$2:$A$46)))</f>
        <v>B015</v>
      </c>
      <c r="B839" s="2" t="s">
        <v>70</v>
      </c>
      <c r="C839" t="str">
        <f>_xlfn.XLOOKUP(B839, Sheet1!A:A, Sheet1!B:B)</f>
        <v>pumpkin pie</v>
      </c>
      <c r="D839">
        <f>_xlfn.XLOOKUP(B839,Sheet1!A:A,Sheet1!C:C)</f>
        <v>6</v>
      </c>
      <c r="E839">
        <f>_xlfn.XLOOKUP(B839,Sheet1!A:A,Sheet1!D:D)</f>
        <v>4</v>
      </c>
      <c r="F839">
        <f>_xlfn.XLOOKUP(Sheet3!B839,Sheet1!A:A,Sheet1!E:E)</f>
        <v>3</v>
      </c>
      <c r="G839">
        <f>_xlfn.XLOOKUP(B839,Sheet1!A:A,Sheet1!F:F)</f>
        <v>7</v>
      </c>
      <c r="H839" cm="1">
        <f t="array" aca="1" ref="H839" ca="1">INDEX(Sheet1!$G$2:$G$3, RANDBETWEEN(1, ROWS(Sheet1!$G$2:$G$3)))</f>
        <v>0</v>
      </c>
    </row>
    <row r="840" spans="1:8" x14ac:dyDescent="0.3">
      <c r="A840" s="2" t="str" cm="1">
        <f t="array" aca="1" ref="A840" ca="1">INDEX(Sheet1!$A$2:$A$46, RANDBETWEEN(1,ROWS(Sheet1!$A$2:$A$46)))</f>
        <v>B034</v>
      </c>
      <c r="B840" s="2" t="s">
        <v>19</v>
      </c>
      <c r="C840" t="str">
        <f>_xlfn.XLOOKUP(B840, Sheet1!A:A, Sheet1!B:B)</f>
        <v>blueberry muffins</v>
      </c>
      <c r="D840">
        <f>_xlfn.XLOOKUP(B840,Sheet1!A:A,Sheet1!C:C)</f>
        <v>10</v>
      </c>
      <c r="E840">
        <f>_xlfn.XLOOKUP(B840,Sheet1!A:A,Sheet1!D:D)</f>
        <v>4.5</v>
      </c>
      <c r="F840">
        <f>_xlfn.XLOOKUP(Sheet3!B840,Sheet1!A:A,Sheet1!E:E)</f>
        <v>4</v>
      </c>
      <c r="G840">
        <f>_xlfn.XLOOKUP(B840,Sheet1!A:A,Sheet1!F:F)</f>
        <v>10</v>
      </c>
      <c r="H840" cm="1">
        <f t="array" aca="1" ref="H840" ca="1">INDEX(Sheet1!$G$2:$G$3, RANDBETWEEN(1, ROWS(Sheet1!$G$2:$G$3)))</f>
        <v>0</v>
      </c>
    </row>
    <row r="841" spans="1:8" x14ac:dyDescent="0.3">
      <c r="A841" s="2" t="str" cm="1">
        <f t="array" aca="1" ref="A841" ca="1">INDEX(Sheet1!$A$2:$A$46, RANDBETWEEN(1,ROWS(Sheet1!$A$2:$A$46)))</f>
        <v>B008</v>
      </c>
      <c r="B841" s="2" t="s">
        <v>70</v>
      </c>
      <c r="C841" t="str">
        <f>_xlfn.XLOOKUP(B841, Sheet1!A:A, Sheet1!B:B)</f>
        <v>pumpkin pie</v>
      </c>
      <c r="D841">
        <f>_xlfn.XLOOKUP(B841,Sheet1!A:A,Sheet1!C:C)</f>
        <v>6</v>
      </c>
      <c r="E841">
        <f>_xlfn.XLOOKUP(B841,Sheet1!A:A,Sheet1!D:D)</f>
        <v>4</v>
      </c>
      <c r="F841">
        <f>_xlfn.XLOOKUP(Sheet3!B841,Sheet1!A:A,Sheet1!E:E)</f>
        <v>3</v>
      </c>
      <c r="G841">
        <f>_xlfn.XLOOKUP(B841,Sheet1!A:A,Sheet1!F:F)</f>
        <v>7</v>
      </c>
      <c r="H841" cm="1">
        <f t="array" aca="1" ref="H841" ca="1">INDEX(Sheet1!$G$2:$G$3, RANDBETWEEN(1, ROWS(Sheet1!$G$2:$G$3)))</f>
        <v>0</v>
      </c>
    </row>
    <row r="842" spans="1:8" x14ac:dyDescent="0.3">
      <c r="A842" s="2" t="str" cm="1">
        <f t="array" aca="1" ref="A842" ca="1">INDEX(Sheet1!$A$2:$A$46, RANDBETWEEN(1,ROWS(Sheet1!$A$2:$A$46)))</f>
        <v>B033</v>
      </c>
      <c r="B842" s="2" t="s">
        <v>68</v>
      </c>
      <c r="C842" t="str">
        <f>_xlfn.XLOOKUP(B842, Sheet1!A:A, Sheet1!B:B)</f>
        <v>oreja cookies</v>
      </c>
      <c r="D842">
        <f>_xlfn.XLOOKUP(B842,Sheet1!A:A,Sheet1!C:C)</f>
        <v>15</v>
      </c>
      <c r="E842">
        <f>_xlfn.XLOOKUP(B842,Sheet1!A:A,Sheet1!D:D)</f>
        <v>4</v>
      </c>
      <c r="F842">
        <f>_xlfn.XLOOKUP(Sheet3!B842,Sheet1!A:A,Sheet1!E:E)</f>
        <v>3</v>
      </c>
      <c r="G842">
        <f>_xlfn.XLOOKUP(B842,Sheet1!A:A,Sheet1!F:F)</f>
        <v>14</v>
      </c>
      <c r="H842" t="str" cm="1">
        <f t="array" aca="1" ref="H842" ca="1">INDEX(Sheet1!$G$2:$G$3, RANDBETWEEN(1, ROWS(Sheet1!$G$2:$G$3)))</f>
        <v>No</v>
      </c>
    </row>
    <row r="843" spans="1:8" x14ac:dyDescent="0.3">
      <c r="A843" s="2" t="str" cm="1">
        <f t="array" aca="1" ref="A843" ca="1">INDEX(Sheet1!$A$2:$A$46, RANDBETWEEN(1,ROWS(Sheet1!$A$2:$A$46)))</f>
        <v>B022</v>
      </c>
      <c r="B843" s="2" t="s">
        <v>21</v>
      </c>
      <c r="C843" t="str">
        <f>_xlfn.XLOOKUP(B843, Sheet1!A:A, Sheet1!B:B)</f>
        <v>butter cake</v>
      </c>
      <c r="D843">
        <f>_xlfn.XLOOKUP(B843,Sheet1!A:A,Sheet1!C:C)</f>
        <v>8</v>
      </c>
      <c r="E843">
        <f>_xlfn.XLOOKUP(B843,Sheet1!A:A,Sheet1!D:D)</f>
        <v>4</v>
      </c>
      <c r="F843">
        <f>_xlfn.XLOOKUP(Sheet3!B843,Sheet1!A:A,Sheet1!E:E)</f>
        <v>3</v>
      </c>
      <c r="G843">
        <f>_xlfn.XLOOKUP(B843,Sheet1!A:A,Sheet1!F:F)</f>
        <v>14</v>
      </c>
      <c r="H843" cm="1">
        <f t="array" aca="1" ref="H843" ca="1">INDEX(Sheet1!$G$2:$G$3, RANDBETWEEN(1, ROWS(Sheet1!$G$2:$G$3)))</f>
        <v>0</v>
      </c>
    </row>
    <row r="844" spans="1:8" x14ac:dyDescent="0.3">
      <c r="A844" s="2" t="str" cm="1">
        <f t="array" aca="1" ref="A844" ca="1">INDEX(Sheet1!$A$2:$A$46, RANDBETWEEN(1,ROWS(Sheet1!$A$2:$A$46)))</f>
        <v>B035</v>
      </c>
      <c r="B844" s="2" t="s">
        <v>10</v>
      </c>
      <c r="C844" t="str">
        <f>_xlfn.XLOOKUP(B844, Sheet1!A:A, Sheet1!B:B)</f>
        <v>croissant</v>
      </c>
      <c r="D844">
        <f>_xlfn.XLOOKUP(B844,Sheet1!A:A,Sheet1!C:C)</f>
        <v>10</v>
      </c>
      <c r="E844">
        <f>_xlfn.XLOOKUP(B844,Sheet1!A:A,Sheet1!D:D)</f>
        <v>5.5</v>
      </c>
      <c r="F844">
        <f>_xlfn.XLOOKUP(Sheet3!B844,Sheet1!A:A,Sheet1!E:E)</f>
        <v>4.5</v>
      </c>
      <c r="G844">
        <f>_xlfn.XLOOKUP(B844,Sheet1!A:A,Sheet1!F:F)</f>
        <v>7</v>
      </c>
      <c r="H844" cm="1">
        <f t="array" aca="1" ref="H844" ca="1">INDEX(Sheet1!$G$2:$G$3, RANDBETWEEN(1, ROWS(Sheet1!$G$2:$G$3)))</f>
        <v>0</v>
      </c>
    </row>
    <row r="845" spans="1:8" x14ac:dyDescent="0.3">
      <c r="A845" s="2" t="str" cm="1">
        <f t="array" aca="1" ref="A845" ca="1">INDEX(Sheet1!$A$2:$A$46, RANDBETWEEN(1,ROWS(Sheet1!$A$2:$A$46)))</f>
        <v>B033</v>
      </c>
      <c r="B845" s="2" t="s">
        <v>24</v>
      </c>
      <c r="C845" t="str">
        <f>_xlfn.XLOOKUP(B845, Sheet1!A:A, Sheet1!B:B)</f>
        <v>tiramisu</v>
      </c>
      <c r="D845">
        <f>_xlfn.XLOOKUP(B845,Sheet1!A:A,Sheet1!C:C)</f>
        <v>8</v>
      </c>
      <c r="E845">
        <f>_xlfn.XLOOKUP(B845,Sheet1!A:A,Sheet1!D:D)</f>
        <v>7.5</v>
      </c>
      <c r="F845">
        <f>_xlfn.XLOOKUP(Sheet3!B845,Sheet1!A:A,Sheet1!E:E)</f>
        <v>5.5</v>
      </c>
      <c r="G845">
        <f>_xlfn.XLOOKUP(B845,Sheet1!A:A,Sheet1!F:F)</f>
        <v>7</v>
      </c>
      <c r="H845" t="str" cm="1">
        <f t="array" aca="1" ref="H845" ca="1">INDEX(Sheet1!$G$2:$G$3, RANDBETWEEN(1, ROWS(Sheet1!$G$2:$G$3)))</f>
        <v>No</v>
      </c>
    </row>
    <row r="846" spans="1:8" x14ac:dyDescent="0.3">
      <c r="A846" s="2" t="str" cm="1">
        <f t="array" aca="1" ref="A846" ca="1">INDEX(Sheet1!$A$2:$A$46, RANDBETWEEN(1,ROWS(Sheet1!$A$2:$A$46)))</f>
        <v>B037</v>
      </c>
      <c r="B846" s="2" t="s">
        <v>36</v>
      </c>
      <c r="C846" t="str">
        <f>_xlfn.XLOOKUP(B846, Sheet1!A:A, Sheet1!B:B)</f>
        <v>oatmeal raisin cookies</v>
      </c>
      <c r="D846">
        <f>_xlfn.XLOOKUP(B846,Sheet1!A:A,Sheet1!C:C)</f>
        <v>12</v>
      </c>
      <c r="E846">
        <f>_xlfn.XLOOKUP(B846,Sheet1!A:A,Sheet1!D:D)</f>
        <v>3.5</v>
      </c>
      <c r="F846">
        <f>_xlfn.XLOOKUP(Sheet3!B846,Sheet1!A:A,Sheet1!E:E)</f>
        <v>3</v>
      </c>
      <c r="G846">
        <f>_xlfn.XLOOKUP(B846,Sheet1!A:A,Sheet1!F:F)</f>
        <v>14</v>
      </c>
      <c r="H846" t="str" cm="1">
        <f t="array" aca="1" ref="H846" ca="1">INDEX(Sheet1!$G$2:$G$3, RANDBETWEEN(1, ROWS(Sheet1!$G$2:$G$3)))</f>
        <v>No</v>
      </c>
    </row>
    <row r="847" spans="1:8" x14ac:dyDescent="0.3">
      <c r="A847" s="2" t="str" cm="1">
        <f t="array" aca="1" ref="A847" ca="1">INDEX(Sheet1!$A$2:$A$46, RANDBETWEEN(1,ROWS(Sheet1!$A$2:$A$46)))</f>
        <v>B020</v>
      </c>
      <c r="B847" s="2" t="s">
        <v>24</v>
      </c>
      <c r="C847" t="str">
        <f>_xlfn.XLOOKUP(B847, Sheet1!A:A, Sheet1!B:B)</f>
        <v>tiramisu</v>
      </c>
      <c r="D847">
        <f>_xlfn.XLOOKUP(B847,Sheet1!A:A,Sheet1!C:C)</f>
        <v>8</v>
      </c>
      <c r="E847">
        <f>_xlfn.XLOOKUP(B847,Sheet1!A:A,Sheet1!D:D)</f>
        <v>7.5</v>
      </c>
      <c r="F847">
        <f>_xlfn.XLOOKUP(Sheet3!B847,Sheet1!A:A,Sheet1!E:E)</f>
        <v>5.5</v>
      </c>
      <c r="G847">
        <f>_xlfn.XLOOKUP(B847,Sheet1!A:A,Sheet1!F:F)</f>
        <v>7</v>
      </c>
      <c r="H847" cm="1">
        <f t="array" aca="1" ref="H847" ca="1">INDEX(Sheet1!$G$2:$G$3, RANDBETWEEN(1, ROWS(Sheet1!$G$2:$G$3)))</f>
        <v>0</v>
      </c>
    </row>
    <row r="848" spans="1:8" x14ac:dyDescent="0.3">
      <c r="A848" s="2" t="str" cm="1">
        <f t="array" aca="1" ref="A848" ca="1">INDEX(Sheet1!$A$2:$A$46, RANDBETWEEN(1,ROWS(Sheet1!$A$2:$A$46)))</f>
        <v>B018</v>
      </c>
      <c r="B848" s="2" t="s">
        <v>19</v>
      </c>
      <c r="C848" t="str">
        <f>_xlfn.XLOOKUP(B848, Sheet1!A:A, Sheet1!B:B)</f>
        <v>blueberry muffins</v>
      </c>
      <c r="D848">
        <f>_xlfn.XLOOKUP(B848,Sheet1!A:A,Sheet1!C:C)</f>
        <v>10</v>
      </c>
      <c r="E848">
        <f>_xlfn.XLOOKUP(B848,Sheet1!A:A,Sheet1!D:D)</f>
        <v>4.5</v>
      </c>
      <c r="F848">
        <f>_xlfn.XLOOKUP(Sheet3!B848,Sheet1!A:A,Sheet1!E:E)</f>
        <v>4</v>
      </c>
      <c r="G848">
        <f>_xlfn.XLOOKUP(B848,Sheet1!A:A,Sheet1!F:F)</f>
        <v>10</v>
      </c>
      <c r="H848" cm="1">
        <f t="array" aca="1" ref="H848" ca="1">INDEX(Sheet1!$G$2:$G$3, RANDBETWEEN(1, ROWS(Sheet1!$G$2:$G$3)))</f>
        <v>0</v>
      </c>
    </row>
    <row r="849" spans="1:8" x14ac:dyDescent="0.3">
      <c r="A849" s="2" t="str" cm="1">
        <f t="array" aca="1" ref="A849" ca="1">INDEX(Sheet1!$A$2:$A$46, RANDBETWEEN(1,ROWS(Sheet1!$A$2:$A$46)))</f>
        <v>B006</v>
      </c>
      <c r="B849" s="2" t="s">
        <v>79</v>
      </c>
      <c r="C849" t="str">
        <f>_xlfn.XLOOKUP(B849, Sheet1!A:A, Sheet1!B:B)</f>
        <v>chocolate square cake</v>
      </c>
      <c r="D849">
        <f>_xlfn.XLOOKUP(B849,Sheet1!A:A,Sheet1!C:C)</f>
        <v>8</v>
      </c>
      <c r="E849">
        <f>_xlfn.XLOOKUP(B849,Sheet1!A:A,Sheet1!D:D)</f>
        <v>2.5</v>
      </c>
      <c r="F849">
        <f>_xlfn.XLOOKUP(Sheet3!B849,Sheet1!A:A,Sheet1!E:E)</f>
        <v>2</v>
      </c>
      <c r="G849">
        <f>_xlfn.XLOOKUP(B849,Sheet1!A:A,Sheet1!F:F)</f>
        <v>5</v>
      </c>
      <c r="H849" cm="1">
        <f t="array" aca="1" ref="H849" ca="1">INDEX(Sheet1!$G$2:$G$3, RANDBETWEEN(1, ROWS(Sheet1!$G$2:$G$3)))</f>
        <v>0</v>
      </c>
    </row>
    <row r="850" spans="1:8" x14ac:dyDescent="0.3">
      <c r="A850" s="2" t="str" cm="1">
        <f t="array" aca="1" ref="A850" ca="1">INDEX(Sheet1!$A$2:$A$46, RANDBETWEEN(1,ROWS(Sheet1!$A$2:$A$46)))</f>
        <v>B009</v>
      </c>
      <c r="B850" s="2" t="s">
        <v>92</v>
      </c>
      <c r="C850" t="str">
        <f>_xlfn.XLOOKUP(B850, Sheet1!A:A, Sheet1!B:B)</f>
        <v>square brownies</v>
      </c>
      <c r="D850">
        <f>_xlfn.XLOOKUP(B850,Sheet1!A:A,Sheet1!C:C)</f>
        <v>6</v>
      </c>
      <c r="E850">
        <f>_xlfn.XLOOKUP(B850,Sheet1!A:A,Sheet1!D:D)</f>
        <v>4.5</v>
      </c>
      <c r="F850">
        <f>_xlfn.XLOOKUP(Sheet3!B850,Sheet1!A:A,Sheet1!E:E)</f>
        <v>4</v>
      </c>
      <c r="G850">
        <f>_xlfn.XLOOKUP(B850,Sheet1!A:A,Sheet1!F:F)</f>
        <v>14</v>
      </c>
      <c r="H850" t="str" cm="1">
        <f t="array" aca="1" ref="H850" ca="1">INDEX(Sheet1!$G$2:$G$3, RANDBETWEEN(1, ROWS(Sheet1!$G$2:$G$3)))</f>
        <v>No</v>
      </c>
    </row>
    <row r="851" spans="1:8" x14ac:dyDescent="0.3">
      <c r="A851" s="2" t="str" cm="1">
        <f t="array" aca="1" ref="A851" ca="1">INDEX(Sheet1!$A$2:$A$46, RANDBETWEEN(1,ROWS(Sheet1!$A$2:$A$46)))</f>
        <v>B043</v>
      </c>
      <c r="B851" s="2" t="s">
        <v>58</v>
      </c>
      <c r="C851" t="str">
        <f>_xlfn.XLOOKUP(B851, Sheet1!A:A, Sheet1!B:B)</f>
        <v>cookies &amp; creme cupcakes</v>
      </c>
      <c r="D851">
        <f>_xlfn.XLOOKUP(B851,Sheet1!A:A,Sheet1!C:C)</f>
        <v>15</v>
      </c>
      <c r="E851">
        <f>_xlfn.XLOOKUP(B851,Sheet1!A:A,Sheet1!D:D)</f>
        <v>6</v>
      </c>
      <c r="F851">
        <f>_xlfn.XLOOKUP(Sheet3!B851,Sheet1!A:A,Sheet1!E:E)</f>
        <v>5.5</v>
      </c>
      <c r="G851">
        <f>_xlfn.XLOOKUP(B851,Sheet1!A:A,Sheet1!F:F)</f>
        <v>20</v>
      </c>
      <c r="H851" cm="1">
        <f t="array" aca="1" ref="H851" ca="1">INDEX(Sheet1!$G$2:$G$3, RANDBETWEEN(1, ROWS(Sheet1!$G$2:$G$3)))</f>
        <v>0</v>
      </c>
    </row>
    <row r="852" spans="1:8" x14ac:dyDescent="0.3">
      <c r="A852" s="2" t="str" cm="1">
        <f t="array" aca="1" ref="A852" ca="1">INDEX(Sheet1!$A$2:$A$46, RANDBETWEEN(1,ROWS(Sheet1!$A$2:$A$46)))</f>
        <v>B022</v>
      </c>
      <c r="B852" s="2" t="s">
        <v>83</v>
      </c>
      <c r="C852" t="str">
        <f>_xlfn.XLOOKUP(B852, Sheet1!A:A, Sheet1!B:B)</f>
        <v>pumpkin spice muffins</v>
      </c>
      <c r="D852">
        <f>_xlfn.XLOOKUP(B852,Sheet1!A:A,Sheet1!C:C)</f>
        <v>10</v>
      </c>
      <c r="E852">
        <f>_xlfn.XLOOKUP(B852,Sheet1!A:A,Sheet1!D:D)</f>
        <v>4.5</v>
      </c>
      <c r="F852">
        <f>_xlfn.XLOOKUP(Sheet3!B852,Sheet1!A:A,Sheet1!E:E)</f>
        <v>4</v>
      </c>
      <c r="G852">
        <f>_xlfn.XLOOKUP(B852,Sheet1!A:A,Sheet1!F:F)</f>
        <v>10</v>
      </c>
      <c r="H852" t="str" cm="1">
        <f t="array" aca="1" ref="H852" ca="1">INDEX(Sheet1!$G$2:$G$3, RANDBETWEEN(1, ROWS(Sheet1!$G$2:$G$3)))</f>
        <v>No</v>
      </c>
    </row>
    <row r="853" spans="1:8" x14ac:dyDescent="0.3">
      <c r="A853" s="2" t="str" cm="1">
        <f t="array" aca="1" ref="A853" ca="1">INDEX(Sheet1!$A$2:$A$46, RANDBETWEEN(1,ROWS(Sheet1!$A$2:$A$46)))</f>
        <v>B019</v>
      </c>
      <c r="B853" s="2" t="s">
        <v>84</v>
      </c>
      <c r="C853" t="str">
        <f>_xlfn.XLOOKUP(B853, Sheet1!A:A, Sheet1!B:B)</f>
        <v>plain bagels</v>
      </c>
      <c r="D853">
        <f>_xlfn.XLOOKUP(B853,Sheet1!A:A,Sheet1!C:C)</f>
        <v>8</v>
      </c>
      <c r="E853">
        <f>_xlfn.XLOOKUP(B853,Sheet1!A:A,Sheet1!D:D)</f>
        <v>3.5</v>
      </c>
      <c r="F853">
        <f>_xlfn.XLOOKUP(Sheet3!B853,Sheet1!A:A,Sheet1!E:E)</f>
        <v>3</v>
      </c>
      <c r="G853">
        <f>_xlfn.XLOOKUP(B853,Sheet1!A:A,Sheet1!F:F)</f>
        <v>8</v>
      </c>
      <c r="H853" cm="1">
        <f t="array" aca="1" ref="H853" ca="1">INDEX(Sheet1!$G$2:$G$3, RANDBETWEEN(1, ROWS(Sheet1!$G$2:$G$3)))</f>
        <v>0</v>
      </c>
    </row>
    <row r="854" spans="1:8" x14ac:dyDescent="0.3">
      <c r="A854" s="2" t="str" cm="1">
        <f t="array" aca="1" ref="A854" ca="1">INDEX(Sheet1!$A$2:$A$46, RANDBETWEEN(1,ROWS(Sheet1!$A$2:$A$46)))</f>
        <v>B008</v>
      </c>
      <c r="B854" s="2" t="s">
        <v>92</v>
      </c>
      <c r="C854" t="str">
        <f>_xlfn.XLOOKUP(B854, Sheet1!A:A, Sheet1!B:B)</f>
        <v>square brownies</v>
      </c>
      <c r="D854">
        <f>_xlfn.XLOOKUP(B854,Sheet1!A:A,Sheet1!C:C)</f>
        <v>6</v>
      </c>
      <c r="E854">
        <f>_xlfn.XLOOKUP(B854,Sheet1!A:A,Sheet1!D:D)</f>
        <v>4.5</v>
      </c>
      <c r="F854">
        <f>_xlfn.XLOOKUP(Sheet3!B854,Sheet1!A:A,Sheet1!E:E)</f>
        <v>4</v>
      </c>
      <c r="G854">
        <f>_xlfn.XLOOKUP(B854,Sheet1!A:A,Sheet1!F:F)</f>
        <v>14</v>
      </c>
      <c r="H854" cm="1">
        <f t="array" aca="1" ref="H854" ca="1">INDEX(Sheet1!$G$2:$G$3, RANDBETWEEN(1, ROWS(Sheet1!$G$2:$G$3)))</f>
        <v>0</v>
      </c>
    </row>
    <row r="855" spans="1:8" x14ac:dyDescent="0.3">
      <c r="A855" s="2" t="str" cm="1">
        <f t="array" aca="1" ref="A855" ca="1">INDEX(Sheet1!$A$2:$A$46, RANDBETWEEN(1,ROWS(Sheet1!$A$2:$A$46)))</f>
        <v>B034</v>
      </c>
      <c r="B855" s="2" t="s">
        <v>61</v>
      </c>
      <c r="C855" t="str">
        <f>_xlfn.XLOOKUP(B855, Sheet1!A:A, Sheet1!B:B)</f>
        <v>marble sliced loaf cake</v>
      </c>
      <c r="D855">
        <f>_xlfn.XLOOKUP(B855,Sheet1!A:A,Sheet1!C:C)</f>
        <v>10</v>
      </c>
      <c r="E855">
        <f>_xlfn.XLOOKUP(B855,Sheet1!A:A,Sheet1!D:D)</f>
        <v>4</v>
      </c>
      <c r="F855">
        <f>_xlfn.XLOOKUP(Sheet3!B855,Sheet1!A:A,Sheet1!E:E)</f>
        <v>3.5</v>
      </c>
      <c r="G855">
        <f>_xlfn.XLOOKUP(B855,Sheet1!A:A,Sheet1!F:F)</f>
        <v>10</v>
      </c>
      <c r="H855" cm="1">
        <f t="array" aca="1" ref="H855" ca="1">INDEX(Sheet1!$G$2:$G$3, RANDBETWEEN(1, ROWS(Sheet1!$G$2:$G$3)))</f>
        <v>0</v>
      </c>
    </row>
    <row r="856" spans="1:8" x14ac:dyDescent="0.3">
      <c r="A856" s="2" t="str" cm="1">
        <f t="array" aca="1" ref="A856" ca="1">INDEX(Sheet1!$A$2:$A$46, RANDBETWEEN(1,ROWS(Sheet1!$A$2:$A$46)))</f>
        <v>B030</v>
      </c>
      <c r="B856" s="2" t="s">
        <v>55</v>
      </c>
      <c r="C856" t="str">
        <f>_xlfn.XLOOKUP(B856, Sheet1!A:A, Sheet1!B:B)</f>
        <v>cookies &amp; creme cake</v>
      </c>
      <c r="D856">
        <f>_xlfn.XLOOKUP(B856,Sheet1!A:A,Sheet1!C:C)</f>
        <v>4</v>
      </c>
      <c r="E856">
        <f>_xlfn.XLOOKUP(B856,Sheet1!A:A,Sheet1!D:D)</f>
        <v>8.5</v>
      </c>
      <c r="F856">
        <f>_xlfn.XLOOKUP(Sheet3!B856,Sheet1!A:A,Sheet1!E:E)</f>
        <v>6</v>
      </c>
      <c r="G856">
        <f>_xlfn.XLOOKUP(B856,Sheet1!A:A,Sheet1!F:F)</f>
        <v>7</v>
      </c>
      <c r="H856" t="str" cm="1">
        <f t="array" aca="1" ref="H856" ca="1">INDEX(Sheet1!$G$2:$G$3, RANDBETWEEN(1, ROWS(Sheet1!$G$2:$G$3)))</f>
        <v>No</v>
      </c>
    </row>
    <row r="857" spans="1:8" x14ac:dyDescent="0.3">
      <c r="A857" s="2" t="str" cm="1">
        <f t="array" aca="1" ref="A857" ca="1">INDEX(Sheet1!$A$2:$A$46, RANDBETWEEN(1,ROWS(Sheet1!$A$2:$A$46)))</f>
        <v>B016</v>
      </c>
      <c r="B857" s="2" t="s">
        <v>70</v>
      </c>
      <c r="C857" t="str">
        <f>_xlfn.XLOOKUP(B857, Sheet1!A:A, Sheet1!B:B)</f>
        <v>pumpkin pie</v>
      </c>
      <c r="D857">
        <f>_xlfn.XLOOKUP(B857,Sheet1!A:A,Sheet1!C:C)</f>
        <v>6</v>
      </c>
      <c r="E857">
        <f>_xlfn.XLOOKUP(B857,Sheet1!A:A,Sheet1!D:D)</f>
        <v>4</v>
      </c>
      <c r="F857">
        <f>_xlfn.XLOOKUP(Sheet3!B857,Sheet1!A:A,Sheet1!E:E)</f>
        <v>3</v>
      </c>
      <c r="G857">
        <f>_xlfn.XLOOKUP(B857,Sheet1!A:A,Sheet1!F:F)</f>
        <v>7</v>
      </c>
      <c r="H857" cm="1">
        <f t="array" aca="1" ref="H857" ca="1">INDEX(Sheet1!$G$2:$G$3, RANDBETWEEN(1, ROWS(Sheet1!$G$2:$G$3)))</f>
        <v>0</v>
      </c>
    </row>
    <row r="858" spans="1:8" x14ac:dyDescent="0.3">
      <c r="A858" s="2" t="str" cm="1">
        <f t="array" aca="1" ref="A858" ca="1">INDEX(Sheet1!$A$2:$A$46, RANDBETWEEN(1,ROWS(Sheet1!$A$2:$A$46)))</f>
        <v>B033</v>
      </c>
      <c r="B858" s="2" t="s">
        <v>34</v>
      </c>
      <c r="C858" t="str">
        <f>_xlfn.XLOOKUP(B858, Sheet1!A:A, Sheet1!B:B)</f>
        <v>almond croissant</v>
      </c>
      <c r="D858">
        <f>_xlfn.XLOOKUP(B858,Sheet1!A:A,Sheet1!C:C)</f>
        <v>6</v>
      </c>
      <c r="E858">
        <f>_xlfn.XLOOKUP(B858,Sheet1!A:A,Sheet1!D:D)</f>
        <v>3.5</v>
      </c>
      <c r="F858">
        <f>_xlfn.XLOOKUP(Sheet3!B858,Sheet1!A:A,Sheet1!E:E)</f>
        <v>3</v>
      </c>
      <c r="G858">
        <f>_xlfn.XLOOKUP(B858,Sheet1!A:A,Sheet1!F:F)</f>
        <v>10</v>
      </c>
      <c r="H858" cm="1">
        <f t="array" aca="1" ref="H858" ca="1">INDEX(Sheet1!$G$2:$G$3, RANDBETWEEN(1, ROWS(Sheet1!$G$2:$G$3)))</f>
        <v>0</v>
      </c>
    </row>
    <row r="859" spans="1:8" x14ac:dyDescent="0.3">
      <c r="A859" s="2" t="str" cm="1">
        <f t="array" aca="1" ref="A859" ca="1">INDEX(Sheet1!$A$2:$A$46, RANDBETWEEN(1,ROWS(Sheet1!$A$2:$A$46)))</f>
        <v>B027</v>
      </c>
      <c r="B859" s="2" t="s">
        <v>69</v>
      </c>
      <c r="C859" t="str">
        <f>_xlfn.XLOOKUP(B859, Sheet1!A:A, Sheet1!B:B)</f>
        <v>coconut creme pie</v>
      </c>
      <c r="D859">
        <f>_xlfn.XLOOKUP(B859,Sheet1!A:A,Sheet1!C:C)</f>
        <v>6</v>
      </c>
      <c r="E859">
        <f>_xlfn.XLOOKUP(B859,Sheet1!A:A,Sheet1!D:D)</f>
        <v>4</v>
      </c>
      <c r="F859">
        <f>_xlfn.XLOOKUP(Sheet3!B859,Sheet1!A:A,Sheet1!E:E)</f>
        <v>3</v>
      </c>
      <c r="G859">
        <f>_xlfn.XLOOKUP(B859,Sheet1!A:A,Sheet1!F:F)</f>
        <v>7</v>
      </c>
      <c r="H859" t="str" cm="1">
        <f t="array" aca="1" ref="H859" ca="1">INDEX(Sheet1!$G$2:$G$3, RANDBETWEEN(1, ROWS(Sheet1!$G$2:$G$3)))</f>
        <v>No</v>
      </c>
    </row>
    <row r="860" spans="1:8" x14ac:dyDescent="0.3">
      <c r="A860" s="2" t="str" cm="1">
        <f t="array" aca="1" ref="A860" ca="1">INDEX(Sheet1!$A$2:$A$46, RANDBETWEEN(1,ROWS(Sheet1!$A$2:$A$46)))</f>
        <v>B024</v>
      </c>
      <c r="B860" s="2" t="s">
        <v>24</v>
      </c>
      <c r="C860" t="str">
        <f>_xlfn.XLOOKUP(B860, Sheet1!A:A, Sheet1!B:B)</f>
        <v>tiramisu</v>
      </c>
      <c r="D860">
        <f>_xlfn.XLOOKUP(B860,Sheet1!A:A,Sheet1!C:C)</f>
        <v>8</v>
      </c>
      <c r="E860">
        <f>_xlfn.XLOOKUP(B860,Sheet1!A:A,Sheet1!D:D)</f>
        <v>7.5</v>
      </c>
      <c r="F860">
        <f>_xlfn.XLOOKUP(Sheet3!B860,Sheet1!A:A,Sheet1!E:E)</f>
        <v>5.5</v>
      </c>
      <c r="G860">
        <f>_xlfn.XLOOKUP(B860,Sheet1!A:A,Sheet1!F:F)</f>
        <v>7</v>
      </c>
      <c r="H860" t="str" cm="1">
        <f t="array" aca="1" ref="H860" ca="1">INDEX(Sheet1!$G$2:$G$3, RANDBETWEEN(1, ROWS(Sheet1!$G$2:$G$3)))</f>
        <v>No</v>
      </c>
    </row>
    <row r="861" spans="1:8" x14ac:dyDescent="0.3">
      <c r="A861" s="2" t="str" cm="1">
        <f t="array" aca="1" ref="A861" ca="1">INDEX(Sheet1!$A$2:$A$46, RANDBETWEEN(1,ROWS(Sheet1!$A$2:$A$46)))</f>
        <v>B019</v>
      </c>
      <c r="B861" s="2" t="s">
        <v>39</v>
      </c>
      <c r="C861" t="str">
        <f>_xlfn.XLOOKUP(B861, Sheet1!A:A, Sheet1!B:B)</f>
        <v>macadamia nut cookies</v>
      </c>
      <c r="D861">
        <f>_xlfn.XLOOKUP(B861,Sheet1!A:A,Sheet1!C:C)</f>
        <v>12</v>
      </c>
      <c r="E861">
        <f>_xlfn.XLOOKUP(B861,Sheet1!A:A,Sheet1!D:D)</f>
        <v>3.5</v>
      </c>
      <c r="F861">
        <f>_xlfn.XLOOKUP(Sheet3!B861,Sheet1!A:A,Sheet1!E:E)</f>
        <v>3</v>
      </c>
      <c r="G861">
        <f>_xlfn.XLOOKUP(B861,Sheet1!A:A,Sheet1!F:F)</f>
        <v>14</v>
      </c>
      <c r="H861" cm="1">
        <f t="array" aca="1" ref="H861" ca="1">INDEX(Sheet1!$G$2:$G$3, RANDBETWEEN(1, ROWS(Sheet1!$G$2:$G$3)))</f>
        <v>0</v>
      </c>
    </row>
    <row r="862" spans="1:8" x14ac:dyDescent="0.3">
      <c r="A862" s="2" t="str" cm="1">
        <f t="array" aca="1" ref="A862" ca="1">INDEX(Sheet1!$A$2:$A$46, RANDBETWEEN(1,ROWS(Sheet1!$A$2:$A$46)))</f>
        <v>B037</v>
      </c>
      <c r="B862" s="2" t="s">
        <v>58</v>
      </c>
      <c r="C862" t="str">
        <f>_xlfn.XLOOKUP(B862, Sheet1!A:A, Sheet1!B:B)</f>
        <v>cookies &amp; creme cupcakes</v>
      </c>
      <c r="D862">
        <f>_xlfn.XLOOKUP(B862,Sheet1!A:A,Sheet1!C:C)</f>
        <v>15</v>
      </c>
      <c r="E862">
        <f>_xlfn.XLOOKUP(B862,Sheet1!A:A,Sheet1!D:D)</f>
        <v>6</v>
      </c>
      <c r="F862">
        <f>_xlfn.XLOOKUP(Sheet3!B862,Sheet1!A:A,Sheet1!E:E)</f>
        <v>5.5</v>
      </c>
      <c r="G862">
        <f>_xlfn.XLOOKUP(B862,Sheet1!A:A,Sheet1!F:F)</f>
        <v>20</v>
      </c>
      <c r="H862" cm="1">
        <f t="array" aca="1" ref="H862" ca="1">INDEX(Sheet1!$G$2:$G$3, RANDBETWEEN(1, ROWS(Sheet1!$G$2:$G$3)))</f>
        <v>0</v>
      </c>
    </row>
    <row r="863" spans="1:8" x14ac:dyDescent="0.3">
      <c r="A863" s="2" t="str" cm="1">
        <f t="array" aca="1" ref="A863" ca="1">INDEX(Sheet1!$A$2:$A$46, RANDBETWEEN(1,ROWS(Sheet1!$A$2:$A$46)))</f>
        <v>B032</v>
      </c>
      <c r="B863" s="2" t="s">
        <v>81</v>
      </c>
      <c r="C863" t="str">
        <f>_xlfn.XLOOKUP(B863, Sheet1!A:A, Sheet1!B:B)</f>
        <v>red velvet square cake</v>
      </c>
      <c r="D863">
        <f>_xlfn.XLOOKUP(B863,Sheet1!A:A,Sheet1!C:C)</f>
        <v>8</v>
      </c>
      <c r="E863">
        <f>_xlfn.XLOOKUP(B863,Sheet1!A:A,Sheet1!D:D)</f>
        <v>2.5</v>
      </c>
      <c r="F863">
        <f>_xlfn.XLOOKUP(Sheet3!B863,Sheet1!A:A,Sheet1!E:E)</f>
        <v>2</v>
      </c>
      <c r="G863">
        <f>_xlfn.XLOOKUP(B863,Sheet1!A:A,Sheet1!F:F)</f>
        <v>5</v>
      </c>
      <c r="H863" cm="1">
        <f t="array" aca="1" ref="H863" ca="1">INDEX(Sheet1!$G$2:$G$3, RANDBETWEEN(1, ROWS(Sheet1!$G$2:$G$3)))</f>
        <v>0</v>
      </c>
    </row>
    <row r="864" spans="1:8" x14ac:dyDescent="0.3">
      <c r="A864" s="2" t="str" cm="1">
        <f t="array" aca="1" ref="A864" ca="1">INDEX(Sheet1!$A$2:$A$46, RANDBETWEEN(1,ROWS(Sheet1!$A$2:$A$46)))</f>
        <v>B002</v>
      </c>
      <c r="B864" s="2" t="s">
        <v>80</v>
      </c>
      <c r="C864" t="str">
        <f>_xlfn.XLOOKUP(B864, Sheet1!A:A, Sheet1!B:B)</f>
        <v>carrot square cake</v>
      </c>
      <c r="D864">
        <f>_xlfn.XLOOKUP(B864,Sheet1!A:A,Sheet1!C:C)</f>
        <v>8</v>
      </c>
      <c r="E864">
        <f>_xlfn.XLOOKUP(B864,Sheet1!A:A,Sheet1!D:D)</f>
        <v>2.5</v>
      </c>
      <c r="F864">
        <f>_xlfn.XLOOKUP(Sheet3!B864,Sheet1!A:A,Sheet1!E:E)</f>
        <v>2</v>
      </c>
      <c r="G864">
        <f>_xlfn.XLOOKUP(B864,Sheet1!A:A,Sheet1!F:F)</f>
        <v>5</v>
      </c>
      <c r="H864" t="str" cm="1">
        <f t="array" aca="1" ref="H864" ca="1">INDEX(Sheet1!$G$2:$G$3, RANDBETWEEN(1, ROWS(Sheet1!$G$2:$G$3)))</f>
        <v>No</v>
      </c>
    </row>
    <row r="865" spans="1:8" x14ac:dyDescent="0.3">
      <c r="A865" s="2" t="str" cm="1">
        <f t="array" aca="1" ref="A865" ca="1">INDEX(Sheet1!$A$2:$A$46, RANDBETWEEN(1,ROWS(Sheet1!$A$2:$A$46)))</f>
        <v>B017</v>
      </c>
      <c r="B865" s="2" t="s">
        <v>72</v>
      </c>
      <c r="C865" t="str">
        <f>_xlfn.XLOOKUP(B865, Sheet1!A:A, Sheet1!B:B)</f>
        <v>cherry pie</v>
      </c>
      <c r="D865">
        <f>_xlfn.XLOOKUP(B865,Sheet1!A:A,Sheet1!C:C)</f>
        <v>6</v>
      </c>
      <c r="E865">
        <f>_xlfn.XLOOKUP(B865,Sheet1!A:A,Sheet1!D:D)</f>
        <v>4</v>
      </c>
      <c r="F865">
        <f>_xlfn.XLOOKUP(Sheet3!B865,Sheet1!A:A,Sheet1!E:E)</f>
        <v>3</v>
      </c>
      <c r="G865">
        <f>_xlfn.XLOOKUP(B865,Sheet1!A:A,Sheet1!F:F)</f>
        <v>7</v>
      </c>
      <c r="H865" cm="1">
        <f t="array" aca="1" ref="H865" ca="1">INDEX(Sheet1!$G$2:$G$3, RANDBETWEEN(1, ROWS(Sheet1!$G$2:$G$3)))</f>
        <v>0</v>
      </c>
    </row>
    <row r="866" spans="1:8" x14ac:dyDescent="0.3">
      <c r="A866" s="2" t="str" cm="1">
        <f t="array" aca="1" ref="A866" ca="1">INDEX(Sheet1!$A$2:$A$46, RANDBETWEEN(1,ROWS(Sheet1!$A$2:$A$46)))</f>
        <v>B014</v>
      </c>
      <c r="B866" s="2" t="s">
        <v>39</v>
      </c>
      <c r="C866" t="str">
        <f>_xlfn.XLOOKUP(B866, Sheet1!A:A, Sheet1!B:B)</f>
        <v>macadamia nut cookies</v>
      </c>
      <c r="D866">
        <f>_xlfn.XLOOKUP(B866,Sheet1!A:A,Sheet1!C:C)</f>
        <v>12</v>
      </c>
      <c r="E866">
        <f>_xlfn.XLOOKUP(B866,Sheet1!A:A,Sheet1!D:D)</f>
        <v>3.5</v>
      </c>
      <c r="F866">
        <f>_xlfn.XLOOKUP(Sheet3!B866,Sheet1!A:A,Sheet1!E:E)</f>
        <v>3</v>
      </c>
      <c r="G866">
        <f>_xlfn.XLOOKUP(B866,Sheet1!A:A,Sheet1!F:F)</f>
        <v>14</v>
      </c>
      <c r="H866" t="str" cm="1">
        <f t="array" aca="1" ref="H866" ca="1">INDEX(Sheet1!$G$2:$G$3, RANDBETWEEN(1, ROWS(Sheet1!$G$2:$G$3)))</f>
        <v>No</v>
      </c>
    </row>
    <row r="867" spans="1:8" x14ac:dyDescent="0.3">
      <c r="A867" s="2" t="str" cm="1">
        <f t="array" aca="1" ref="A867" ca="1">INDEX(Sheet1!$A$2:$A$46, RANDBETWEEN(1,ROWS(Sheet1!$A$2:$A$46)))</f>
        <v>B017</v>
      </c>
      <c r="B867" s="2" t="s">
        <v>89</v>
      </c>
      <c r="C867" t="str">
        <f>_xlfn.XLOOKUP(B867, Sheet1!A:A, Sheet1!B:B)</f>
        <v>blueberry bagels</v>
      </c>
      <c r="D867">
        <f>_xlfn.XLOOKUP(B867,Sheet1!A:A,Sheet1!C:C)</f>
        <v>8</v>
      </c>
      <c r="E867">
        <f>_xlfn.XLOOKUP(B867,Sheet1!A:A,Sheet1!D:D)</f>
        <v>3.5</v>
      </c>
      <c r="F867">
        <f>_xlfn.XLOOKUP(Sheet3!B867,Sheet1!A:A,Sheet1!E:E)</f>
        <v>3</v>
      </c>
      <c r="G867">
        <f>_xlfn.XLOOKUP(B867,Sheet1!A:A,Sheet1!F:F)</f>
        <v>8</v>
      </c>
      <c r="H867" cm="1">
        <f t="array" aca="1" ref="H867" ca="1">INDEX(Sheet1!$G$2:$G$3, RANDBETWEEN(1, ROWS(Sheet1!$G$2:$G$3)))</f>
        <v>0</v>
      </c>
    </row>
    <row r="868" spans="1:8" x14ac:dyDescent="0.3">
      <c r="A868" s="2" t="str" cm="1">
        <f t="array" aca="1" ref="A868" ca="1">INDEX(Sheet1!$A$2:$A$46, RANDBETWEEN(1,ROWS(Sheet1!$A$2:$A$46)))</f>
        <v>B002</v>
      </c>
      <c r="B868" s="2" t="s">
        <v>23</v>
      </c>
      <c r="C868" t="str">
        <f>_xlfn.XLOOKUP(B868, Sheet1!A:A, Sheet1!B:B)</f>
        <v>cheese cake</v>
      </c>
      <c r="D868">
        <f>_xlfn.XLOOKUP(B868,Sheet1!A:A,Sheet1!C:C)</f>
        <v>9</v>
      </c>
      <c r="E868">
        <f>_xlfn.XLOOKUP(B868,Sheet1!A:A,Sheet1!D:D)</f>
        <v>6.5</v>
      </c>
      <c r="F868">
        <f>_xlfn.XLOOKUP(Sheet3!B868,Sheet1!A:A,Sheet1!E:E)</f>
        <v>5.5</v>
      </c>
      <c r="G868">
        <f>_xlfn.XLOOKUP(B868,Sheet1!A:A,Sheet1!F:F)</f>
        <v>9</v>
      </c>
      <c r="H868" t="str" cm="1">
        <f t="array" aca="1" ref="H868" ca="1">INDEX(Sheet1!$G$2:$G$3, RANDBETWEEN(1, ROWS(Sheet1!$G$2:$G$3)))</f>
        <v>No</v>
      </c>
    </row>
    <row r="869" spans="1:8" x14ac:dyDescent="0.3">
      <c r="A869" s="2" t="str" cm="1">
        <f t="array" aca="1" ref="A869" ca="1">INDEX(Sheet1!$A$2:$A$46, RANDBETWEEN(1,ROWS(Sheet1!$A$2:$A$46)))</f>
        <v>B038</v>
      </c>
      <c r="B869" s="2" t="s">
        <v>89</v>
      </c>
      <c r="C869" t="str">
        <f>_xlfn.XLOOKUP(B869, Sheet1!A:A, Sheet1!B:B)</f>
        <v>blueberry bagels</v>
      </c>
      <c r="D869">
        <f>_xlfn.XLOOKUP(B869,Sheet1!A:A,Sheet1!C:C)</f>
        <v>8</v>
      </c>
      <c r="E869">
        <f>_xlfn.XLOOKUP(B869,Sheet1!A:A,Sheet1!D:D)</f>
        <v>3.5</v>
      </c>
      <c r="F869">
        <f>_xlfn.XLOOKUP(Sheet3!B869,Sheet1!A:A,Sheet1!E:E)</f>
        <v>3</v>
      </c>
      <c r="G869">
        <f>_xlfn.XLOOKUP(B869,Sheet1!A:A,Sheet1!F:F)</f>
        <v>8</v>
      </c>
      <c r="H869" t="str" cm="1">
        <f t="array" aca="1" ref="H869" ca="1">INDEX(Sheet1!$G$2:$G$3, RANDBETWEEN(1, ROWS(Sheet1!$G$2:$G$3)))</f>
        <v>No</v>
      </c>
    </row>
    <row r="870" spans="1:8" x14ac:dyDescent="0.3">
      <c r="A870" s="2" t="str" cm="1">
        <f t="array" aca="1" ref="A870" ca="1">INDEX(Sheet1!$A$2:$A$46, RANDBETWEEN(1,ROWS(Sheet1!$A$2:$A$46)))</f>
        <v>B005</v>
      </c>
      <c r="B870" s="2" t="s">
        <v>81</v>
      </c>
      <c r="C870" t="str">
        <f>_xlfn.XLOOKUP(B870, Sheet1!A:A, Sheet1!B:B)</f>
        <v>red velvet square cake</v>
      </c>
      <c r="D870">
        <f>_xlfn.XLOOKUP(B870,Sheet1!A:A,Sheet1!C:C)</f>
        <v>8</v>
      </c>
      <c r="E870">
        <f>_xlfn.XLOOKUP(B870,Sheet1!A:A,Sheet1!D:D)</f>
        <v>2.5</v>
      </c>
      <c r="F870">
        <f>_xlfn.XLOOKUP(Sheet3!B870,Sheet1!A:A,Sheet1!E:E)</f>
        <v>2</v>
      </c>
      <c r="G870">
        <f>_xlfn.XLOOKUP(B870,Sheet1!A:A,Sheet1!F:F)</f>
        <v>5</v>
      </c>
      <c r="H870" t="str" cm="1">
        <f t="array" aca="1" ref="H870" ca="1">INDEX(Sheet1!$G$2:$G$3, RANDBETWEEN(1, ROWS(Sheet1!$G$2:$G$3)))</f>
        <v>No</v>
      </c>
    </row>
    <row r="871" spans="1:8" x14ac:dyDescent="0.3">
      <c r="A871" s="2" t="str" cm="1">
        <f t="array" aca="1" ref="A871" ca="1">INDEX(Sheet1!$A$2:$A$46, RANDBETWEEN(1,ROWS(Sheet1!$A$2:$A$46)))</f>
        <v>B012</v>
      </c>
      <c r="B871" s="2" t="s">
        <v>83</v>
      </c>
      <c r="C871" t="str">
        <f>_xlfn.XLOOKUP(B871, Sheet1!A:A, Sheet1!B:B)</f>
        <v>pumpkin spice muffins</v>
      </c>
      <c r="D871">
        <f>_xlfn.XLOOKUP(B871,Sheet1!A:A,Sheet1!C:C)</f>
        <v>10</v>
      </c>
      <c r="E871">
        <f>_xlfn.XLOOKUP(B871,Sheet1!A:A,Sheet1!D:D)</f>
        <v>4.5</v>
      </c>
      <c r="F871">
        <f>_xlfn.XLOOKUP(Sheet3!B871,Sheet1!A:A,Sheet1!E:E)</f>
        <v>4</v>
      </c>
      <c r="G871">
        <f>_xlfn.XLOOKUP(B871,Sheet1!A:A,Sheet1!F:F)</f>
        <v>10</v>
      </c>
      <c r="H871" t="str" cm="1">
        <f t="array" aca="1" ref="H871" ca="1">INDEX(Sheet1!$G$2:$G$3, RANDBETWEEN(1, ROWS(Sheet1!$G$2:$G$3)))</f>
        <v>No</v>
      </c>
    </row>
    <row r="872" spans="1:8" x14ac:dyDescent="0.3">
      <c r="A872" s="2" t="str" cm="1">
        <f t="array" aca="1" ref="A872" ca="1">INDEX(Sheet1!$A$2:$A$46, RANDBETWEEN(1,ROWS(Sheet1!$A$2:$A$46)))</f>
        <v>B012</v>
      </c>
      <c r="B872" s="2" t="s">
        <v>39</v>
      </c>
      <c r="C872" t="str">
        <f>_xlfn.XLOOKUP(B872, Sheet1!A:A, Sheet1!B:B)</f>
        <v>macadamia nut cookies</v>
      </c>
      <c r="D872">
        <f>_xlfn.XLOOKUP(B872,Sheet1!A:A,Sheet1!C:C)</f>
        <v>12</v>
      </c>
      <c r="E872">
        <f>_xlfn.XLOOKUP(B872,Sheet1!A:A,Sheet1!D:D)</f>
        <v>3.5</v>
      </c>
      <c r="F872">
        <f>_xlfn.XLOOKUP(Sheet3!B872,Sheet1!A:A,Sheet1!E:E)</f>
        <v>3</v>
      </c>
      <c r="G872">
        <f>_xlfn.XLOOKUP(B872,Sheet1!A:A,Sheet1!F:F)</f>
        <v>14</v>
      </c>
      <c r="H872" cm="1">
        <f t="array" aca="1" ref="H872" ca="1">INDEX(Sheet1!$G$2:$G$3, RANDBETWEEN(1, ROWS(Sheet1!$G$2:$G$3)))</f>
        <v>0</v>
      </c>
    </row>
    <row r="873" spans="1:8" x14ac:dyDescent="0.3">
      <c r="A873" s="2" t="str" cm="1">
        <f t="array" aca="1" ref="A873" ca="1">INDEX(Sheet1!$A$2:$A$46, RANDBETWEEN(1,ROWS(Sheet1!$A$2:$A$46)))</f>
        <v>B007</v>
      </c>
      <c r="B873" s="2" t="s">
        <v>71</v>
      </c>
      <c r="C873" t="str">
        <f>_xlfn.XLOOKUP(B873, Sheet1!A:A, Sheet1!B:B)</f>
        <v>blueberry pie</v>
      </c>
      <c r="D873">
        <f>_xlfn.XLOOKUP(B873,Sheet1!A:A,Sheet1!C:C)</f>
        <v>6</v>
      </c>
      <c r="E873">
        <f>_xlfn.XLOOKUP(B873,Sheet1!A:A,Sheet1!D:D)</f>
        <v>4</v>
      </c>
      <c r="F873">
        <f>_xlfn.XLOOKUP(Sheet3!B873,Sheet1!A:A,Sheet1!E:E)</f>
        <v>3</v>
      </c>
      <c r="G873">
        <f>_xlfn.XLOOKUP(B873,Sheet1!A:A,Sheet1!F:F)</f>
        <v>7</v>
      </c>
      <c r="H873" t="str" cm="1">
        <f t="array" aca="1" ref="H873" ca="1">INDEX(Sheet1!$G$2:$G$3, RANDBETWEEN(1, ROWS(Sheet1!$G$2:$G$3)))</f>
        <v>No</v>
      </c>
    </row>
    <row r="874" spans="1:8" x14ac:dyDescent="0.3">
      <c r="A874" s="2" t="str" cm="1">
        <f t="array" aca="1" ref="A874" ca="1">INDEX(Sheet1!$A$2:$A$46, RANDBETWEEN(1,ROWS(Sheet1!$A$2:$A$46)))</f>
        <v>B036</v>
      </c>
      <c r="B874" s="2" t="s">
        <v>36</v>
      </c>
      <c r="C874" t="str">
        <f>_xlfn.XLOOKUP(B874, Sheet1!A:A, Sheet1!B:B)</f>
        <v>oatmeal raisin cookies</v>
      </c>
      <c r="D874">
        <f>_xlfn.XLOOKUP(B874,Sheet1!A:A,Sheet1!C:C)</f>
        <v>12</v>
      </c>
      <c r="E874">
        <f>_xlfn.XLOOKUP(B874,Sheet1!A:A,Sheet1!D:D)</f>
        <v>3.5</v>
      </c>
      <c r="F874">
        <f>_xlfn.XLOOKUP(Sheet3!B874,Sheet1!A:A,Sheet1!E:E)</f>
        <v>3</v>
      </c>
      <c r="G874">
        <f>_xlfn.XLOOKUP(B874,Sheet1!A:A,Sheet1!F:F)</f>
        <v>14</v>
      </c>
      <c r="H874" t="str" cm="1">
        <f t="array" aca="1" ref="H874" ca="1">INDEX(Sheet1!$G$2:$G$3, RANDBETWEEN(1, ROWS(Sheet1!$G$2:$G$3)))</f>
        <v>No</v>
      </c>
    </row>
    <row r="875" spans="1:8" x14ac:dyDescent="0.3">
      <c r="A875" s="2" t="str" cm="1">
        <f t="array" aca="1" ref="A875" ca="1">INDEX(Sheet1!$A$2:$A$46, RANDBETWEEN(1,ROWS(Sheet1!$A$2:$A$46)))</f>
        <v>B015</v>
      </c>
      <c r="B875" s="2" t="s">
        <v>40</v>
      </c>
      <c r="C875" t="str">
        <f>_xlfn.XLOOKUP(B875, Sheet1!A:A, Sheet1!B:B)</f>
        <v>frosted pink cookies</v>
      </c>
      <c r="D875">
        <f>_xlfn.XLOOKUP(B875,Sheet1!A:A,Sheet1!C:C)</f>
        <v>15</v>
      </c>
      <c r="E875">
        <f>_xlfn.XLOOKUP(B875,Sheet1!A:A,Sheet1!D:D)</f>
        <v>3</v>
      </c>
      <c r="F875">
        <f>_xlfn.XLOOKUP(Sheet3!B875,Sheet1!A:A,Sheet1!E:E)</f>
        <v>2.5</v>
      </c>
      <c r="G875">
        <f>_xlfn.XLOOKUP(B875,Sheet1!A:A,Sheet1!F:F)</f>
        <v>14</v>
      </c>
      <c r="H875" cm="1">
        <f t="array" aca="1" ref="H875" ca="1">INDEX(Sheet1!$G$2:$G$3, RANDBETWEEN(1, ROWS(Sheet1!$G$2:$G$3)))</f>
        <v>0</v>
      </c>
    </row>
    <row r="876" spans="1:8" x14ac:dyDescent="0.3">
      <c r="A876" s="2" t="str" cm="1">
        <f t="array" aca="1" ref="A876" ca="1">INDEX(Sheet1!$A$2:$A$46, RANDBETWEEN(1,ROWS(Sheet1!$A$2:$A$46)))</f>
        <v>B026</v>
      </c>
      <c r="B876" s="2" t="s">
        <v>24</v>
      </c>
      <c r="C876" t="str">
        <f>_xlfn.XLOOKUP(B876, Sheet1!A:A, Sheet1!B:B)</f>
        <v>tiramisu</v>
      </c>
      <c r="D876">
        <f>_xlfn.XLOOKUP(B876,Sheet1!A:A,Sheet1!C:C)</f>
        <v>8</v>
      </c>
      <c r="E876">
        <f>_xlfn.XLOOKUP(B876,Sheet1!A:A,Sheet1!D:D)</f>
        <v>7.5</v>
      </c>
      <c r="F876">
        <f>_xlfn.XLOOKUP(Sheet3!B876,Sheet1!A:A,Sheet1!E:E)</f>
        <v>5.5</v>
      </c>
      <c r="G876">
        <f>_xlfn.XLOOKUP(B876,Sheet1!A:A,Sheet1!F:F)</f>
        <v>7</v>
      </c>
      <c r="H876" cm="1">
        <f t="array" aca="1" ref="H876" ca="1">INDEX(Sheet1!$G$2:$G$3, RANDBETWEEN(1, ROWS(Sheet1!$G$2:$G$3)))</f>
        <v>0</v>
      </c>
    </row>
    <row r="877" spans="1:8" x14ac:dyDescent="0.3">
      <c r="A877" s="2" t="str" cm="1">
        <f t="array" aca="1" ref="A877" ca="1">INDEX(Sheet1!$A$2:$A$46, RANDBETWEEN(1,ROWS(Sheet1!$A$2:$A$46)))</f>
        <v>B022</v>
      </c>
      <c r="B877" s="2" t="s">
        <v>92</v>
      </c>
      <c r="C877" t="str">
        <f>_xlfn.XLOOKUP(B877, Sheet1!A:A, Sheet1!B:B)</f>
        <v>square brownies</v>
      </c>
      <c r="D877">
        <f>_xlfn.XLOOKUP(B877,Sheet1!A:A,Sheet1!C:C)</f>
        <v>6</v>
      </c>
      <c r="E877">
        <f>_xlfn.XLOOKUP(B877,Sheet1!A:A,Sheet1!D:D)</f>
        <v>4.5</v>
      </c>
      <c r="F877">
        <f>_xlfn.XLOOKUP(Sheet3!B877,Sheet1!A:A,Sheet1!E:E)</f>
        <v>4</v>
      </c>
      <c r="G877">
        <f>_xlfn.XLOOKUP(B877,Sheet1!A:A,Sheet1!F:F)</f>
        <v>14</v>
      </c>
      <c r="H877" cm="1">
        <f t="array" aca="1" ref="H877" ca="1">INDEX(Sheet1!$G$2:$G$3, RANDBETWEEN(1, ROWS(Sheet1!$G$2:$G$3)))</f>
        <v>0</v>
      </c>
    </row>
    <row r="878" spans="1:8" x14ac:dyDescent="0.3">
      <c r="A878" s="2" t="str" cm="1">
        <f t="array" aca="1" ref="A878" ca="1">INDEX(Sheet1!$A$2:$A$46, RANDBETWEEN(1,ROWS(Sheet1!$A$2:$A$46)))</f>
        <v>B034</v>
      </c>
      <c r="B878" s="2" t="s">
        <v>64</v>
      </c>
      <c r="C878" t="str">
        <f>_xlfn.XLOOKUP(B878, Sheet1!A:A, Sheet1!B:B)</f>
        <v>marble bread</v>
      </c>
      <c r="D878">
        <f>_xlfn.XLOOKUP(B878,Sheet1!A:A,Sheet1!C:C)</f>
        <v>8</v>
      </c>
      <c r="E878">
        <f>_xlfn.XLOOKUP(B878,Sheet1!A:A,Sheet1!D:D)</f>
        <v>3.5</v>
      </c>
      <c r="F878">
        <f>_xlfn.XLOOKUP(Sheet3!B878,Sheet1!A:A,Sheet1!E:E)</f>
        <v>3</v>
      </c>
      <c r="G878">
        <f>_xlfn.XLOOKUP(B878,Sheet1!A:A,Sheet1!F:F)</f>
        <v>8</v>
      </c>
      <c r="H878" cm="1">
        <f t="array" aca="1" ref="H878" ca="1">INDEX(Sheet1!$G$2:$G$3, RANDBETWEEN(1, ROWS(Sheet1!$G$2:$G$3)))</f>
        <v>0</v>
      </c>
    </row>
    <row r="879" spans="1:8" x14ac:dyDescent="0.3">
      <c r="A879" s="2" t="str" cm="1">
        <f t="array" aca="1" ref="A879" ca="1">INDEX(Sheet1!$A$2:$A$46, RANDBETWEEN(1,ROWS(Sheet1!$A$2:$A$46)))</f>
        <v>B034</v>
      </c>
      <c r="B879" s="2" t="s">
        <v>64</v>
      </c>
      <c r="C879" t="str">
        <f>_xlfn.XLOOKUP(B879, Sheet1!A:A, Sheet1!B:B)</f>
        <v>marble bread</v>
      </c>
      <c r="D879">
        <f>_xlfn.XLOOKUP(B879,Sheet1!A:A,Sheet1!C:C)</f>
        <v>8</v>
      </c>
      <c r="E879">
        <f>_xlfn.XLOOKUP(B879,Sheet1!A:A,Sheet1!D:D)</f>
        <v>3.5</v>
      </c>
      <c r="F879">
        <f>_xlfn.XLOOKUP(Sheet3!B879,Sheet1!A:A,Sheet1!E:E)</f>
        <v>3</v>
      </c>
      <c r="G879">
        <f>_xlfn.XLOOKUP(B879,Sheet1!A:A,Sheet1!F:F)</f>
        <v>8</v>
      </c>
      <c r="H879" t="str" cm="1">
        <f t="array" aca="1" ref="H879" ca="1">INDEX(Sheet1!$G$2:$G$3, RANDBETWEEN(1, ROWS(Sheet1!$G$2:$G$3)))</f>
        <v>No</v>
      </c>
    </row>
    <row r="880" spans="1:8" x14ac:dyDescent="0.3">
      <c r="A880" s="2" t="str" cm="1">
        <f t="array" aca="1" ref="A880" ca="1">INDEX(Sheet1!$A$2:$A$46, RANDBETWEEN(1,ROWS(Sheet1!$A$2:$A$46)))</f>
        <v>B034</v>
      </c>
      <c r="B880" s="2" t="s">
        <v>66</v>
      </c>
      <c r="C880" t="str">
        <f>_xlfn.XLOOKUP(B880, Sheet1!A:A, Sheet1!B:B)</f>
        <v>pumpernickel bread</v>
      </c>
      <c r="D880">
        <f>_xlfn.XLOOKUP(B880,Sheet1!A:A,Sheet1!C:C)</f>
        <v>8</v>
      </c>
      <c r="E880">
        <f>_xlfn.XLOOKUP(B880,Sheet1!A:A,Sheet1!D:D)</f>
        <v>3.5</v>
      </c>
      <c r="F880">
        <f>_xlfn.XLOOKUP(Sheet3!B880,Sheet1!A:A,Sheet1!E:E)</f>
        <v>3</v>
      </c>
      <c r="G880">
        <f>_xlfn.XLOOKUP(B880,Sheet1!A:A,Sheet1!F:F)</f>
        <v>8</v>
      </c>
      <c r="H880" t="str" cm="1">
        <f t="array" aca="1" ref="H880" ca="1">INDEX(Sheet1!$G$2:$G$3, RANDBETWEEN(1, ROWS(Sheet1!$G$2:$G$3)))</f>
        <v>No</v>
      </c>
    </row>
    <row r="881" spans="1:8" x14ac:dyDescent="0.3">
      <c r="A881" s="2" t="str" cm="1">
        <f t="array" aca="1" ref="A881" ca="1">INDEX(Sheet1!$A$2:$A$46, RANDBETWEEN(1,ROWS(Sheet1!$A$2:$A$46)))</f>
        <v>B034</v>
      </c>
      <c r="B881" s="2" t="s">
        <v>57</v>
      </c>
      <c r="C881" t="str">
        <f>_xlfn.XLOOKUP(B881, Sheet1!A:A, Sheet1!B:B)</f>
        <v>vanilla cupcakes</v>
      </c>
      <c r="D881">
        <f>_xlfn.XLOOKUP(B881,Sheet1!A:A,Sheet1!C:C)</f>
        <v>8</v>
      </c>
      <c r="E881">
        <f>_xlfn.XLOOKUP(B881,Sheet1!A:A,Sheet1!D:D)</f>
        <v>6</v>
      </c>
      <c r="F881">
        <f>_xlfn.XLOOKUP(Sheet3!B881,Sheet1!A:A,Sheet1!E:E)</f>
        <v>5.5</v>
      </c>
      <c r="G881">
        <f>_xlfn.XLOOKUP(B881,Sheet1!A:A,Sheet1!F:F)</f>
        <v>20</v>
      </c>
      <c r="H881" cm="1">
        <f t="array" aca="1" ref="H881" ca="1">INDEX(Sheet1!$G$2:$G$3, RANDBETWEEN(1, ROWS(Sheet1!$G$2:$G$3)))</f>
        <v>0</v>
      </c>
    </row>
    <row r="882" spans="1:8" x14ac:dyDescent="0.3">
      <c r="A882" s="2" t="str" cm="1">
        <f t="array" aca="1" ref="A882" ca="1">INDEX(Sheet1!$A$2:$A$46, RANDBETWEEN(1,ROWS(Sheet1!$A$2:$A$46)))</f>
        <v>B009</v>
      </c>
      <c r="B882" s="2" t="s">
        <v>69</v>
      </c>
      <c r="C882" t="str">
        <f>_xlfn.XLOOKUP(B882, Sheet1!A:A, Sheet1!B:B)</f>
        <v>coconut creme pie</v>
      </c>
      <c r="D882">
        <f>_xlfn.XLOOKUP(B882,Sheet1!A:A,Sheet1!C:C)</f>
        <v>6</v>
      </c>
      <c r="E882">
        <f>_xlfn.XLOOKUP(B882,Sheet1!A:A,Sheet1!D:D)</f>
        <v>4</v>
      </c>
      <c r="F882">
        <f>_xlfn.XLOOKUP(Sheet3!B882,Sheet1!A:A,Sheet1!E:E)</f>
        <v>3</v>
      </c>
      <c r="G882">
        <f>_xlfn.XLOOKUP(B882,Sheet1!A:A,Sheet1!F:F)</f>
        <v>7</v>
      </c>
      <c r="H882" cm="1">
        <f t="array" aca="1" ref="H882" ca="1">INDEX(Sheet1!$G$2:$G$3, RANDBETWEEN(1, ROWS(Sheet1!$G$2:$G$3)))</f>
        <v>0</v>
      </c>
    </row>
    <row r="883" spans="1:8" x14ac:dyDescent="0.3">
      <c r="A883" s="2" t="str" cm="1">
        <f t="array" aca="1" ref="A883" ca="1">INDEX(Sheet1!$A$2:$A$46, RANDBETWEEN(1,ROWS(Sheet1!$A$2:$A$46)))</f>
        <v>B003</v>
      </c>
      <c r="B883" s="2" t="s">
        <v>71</v>
      </c>
      <c r="C883" t="str">
        <f>_xlfn.XLOOKUP(B883, Sheet1!A:A, Sheet1!B:B)</f>
        <v>blueberry pie</v>
      </c>
      <c r="D883">
        <f>_xlfn.XLOOKUP(B883,Sheet1!A:A,Sheet1!C:C)</f>
        <v>6</v>
      </c>
      <c r="E883">
        <f>_xlfn.XLOOKUP(B883,Sheet1!A:A,Sheet1!D:D)</f>
        <v>4</v>
      </c>
      <c r="F883">
        <f>_xlfn.XLOOKUP(Sheet3!B883,Sheet1!A:A,Sheet1!E:E)</f>
        <v>3</v>
      </c>
      <c r="G883">
        <f>_xlfn.XLOOKUP(B883,Sheet1!A:A,Sheet1!F:F)</f>
        <v>7</v>
      </c>
      <c r="H883" cm="1">
        <f t="array" aca="1" ref="H883" ca="1">INDEX(Sheet1!$G$2:$G$3, RANDBETWEEN(1, ROWS(Sheet1!$G$2:$G$3)))</f>
        <v>0</v>
      </c>
    </row>
    <row r="884" spans="1:8" x14ac:dyDescent="0.3">
      <c r="A884" s="2" t="str" cm="1">
        <f t="array" aca="1" ref="A884" ca="1">INDEX(Sheet1!$A$2:$A$46, RANDBETWEEN(1,ROWS(Sheet1!$A$2:$A$46)))</f>
        <v>B004</v>
      </c>
      <c r="B884" s="2" t="s">
        <v>23</v>
      </c>
      <c r="C884" t="str">
        <f>_xlfn.XLOOKUP(B884, Sheet1!A:A, Sheet1!B:B)</f>
        <v>cheese cake</v>
      </c>
      <c r="D884">
        <f>_xlfn.XLOOKUP(B884,Sheet1!A:A,Sheet1!C:C)</f>
        <v>9</v>
      </c>
      <c r="E884">
        <f>_xlfn.XLOOKUP(B884,Sheet1!A:A,Sheet1!D:D)</f>
        <v>6.5</v>
      </c>
      <c r="F884">
        <f>_xlfn.XLOOKUP(Sheet3!B884,Sheet1!A:A,Sheet1!E:E)</f>
        <v>5.5</v>
      </c>
      <c r="G884">
        <f>_xlfn.XLOOKUP(B884,Sheet1!A:A,Sheet1!F:F)</f>
        <v>9</v>
      </c>
      <c r="H884" t="str" cm="1">
        <f t="array" aca="1" ref="H884" ca="1">INDEX(Sheet1!$G$2:$G$3, RANDBETWEEN(1, ROWS(Sheet1!$G$2:$G$3)))</f>
        <v>No</v>
      </c>
    </row>
    <row r="885" spans="1:8" x14ac:dyDescent="0.3">
      <c r="A885" s="2" t="str" cm="1">
        <f t="array" aca="1" ref="A885" ca="1">INDEX(Sheet1!$A$2:$A$46, RANDBETWEEN(1,ROWS(Sheet1!$A$2:$A$46)))</f>
        <v>B005</v>
      </c>
      <c r="B885" s="2" t="s">
        <v>88</v>
      </c>
      <c r="C885" t="str">
        <f>_xlfn.XLOOKUP(B885, Sheet1!A:A, Sheet1!B:B)</f>
        <v>everything bagels</v>
      </c>
      <c r="D885">
        <f>_xlfn.XLOOKUP(B885,Sheet1!A:A,Sheet1!C:C)</f>
        <v>8</v>
      </c>
      <c r="E885">
        <f>_xlfn.XLOOKUP(B885,Sheet1!A:A,Sheet1!D:D)</f>
        <v>3.5</v>
      </c>
      <c r="F885">
        <f>_xlfn.XLOOKUP(Sheet3!B885,Sheet1!A:A,Sheet1!E:E)</f>
        <v>3</v>
      </c>
      <c r="G885">
        <f>_xlfn.XLOOKUP(B885,Sheet1!A:A,Sheet1!F:F)</f>
        <v>8</v>
      </c>
      <c r="H885" cm="1">
        <f t="array" aca="1" ref="H885" ca="1">INDEX(Sheet1!$G$2:$G$3, RANDBETWEEN(1, ROWS(Sheet1!$G$2:$G$3)))</f>
        <v>0</v>
      </c>
    </row>
    <row r="886" spans="1:8" x14ac:dyDescent="0.3">
      <c r="A886" s="2" t="str" cm="1">
        <f t="array" aca="1" ref="A886" ca="1">INDEX(Sheet1!$A$2:$A$46, RANDBETWEEN(1,ROWS(Sheet1!$A$2:$A$46)))</f>
        <v>B043</v>
      </c>
      <c r="B886" s="2" t="s">
        <v>70</v>
      </c>
      <c r="C886" t="str">
        <f>_xlfn.XLOOKUP(B886, Sheet1!A:A, Sheet1!B:B)</f>
        <v>pumpkin pie</v>
      </c>
      <c r="D886">
        <f>_xlfn.XLOOKUP(B886,Sheet1!A:A,Sheet1!C:C)</f>
        <v>6</v>
      </c>
      <c r="E886">
        <f>_xlfn.XLOOKUP(B886,Sheet1!A:A,Sheet1!D:D)</f>
        <v>4</v>
      </c>
      <c r="F886">
        <f>_xlfn.XLOOKUP(Sheet3!B886,Sheet1!A:A,Sheet1!E:E)</f>
        <v>3</v>
      </c>
      <c r="G886">
        <f>_xlfn.XLOOKUP(B886,Sheet1!A:A,Sheet1!F:F)</f>
        <v>7</v>
      </c>
      <c r="H886" cm="1">
        <f t="array" aca="1" ref="H886" ca="1">INDEX(Sheet1!$G$2:$G$3, RANDBETWEEN(1, ROWS(Sheet1!$G$2:$G$3)))</f>
        <v>0</v>
      </c>
    </row>
    <row r="887" spans="1:8" x14ac:dyDescent="0.3">
      <c r="A887" s="2" t="str" cm="1">
        <f t="array" aca="1" ref="A887" ca="1">INDEX(Sheet1!$A$2:$A$46, RANDBETWEEN(1,ROWS(Sheet1!$A$2:$A$46)))</f>
        <v>B035</v>
      </c>
      <c r="B887" s="2" t="s">
        <v>64</v>
      </c>
      <c r="C887" t="str">
        <f>_xlfn.XLOOKUP(B887, Sheet1!A:A, Sheet1!B:B)</f>
        <v>marble bread</v>
      </c>
      <c r="D887">
        <f>_xlfn.XLOOKUP(B887,Sheet1!A:A,Sheet1!C:C)</f>
        <v>8</v>
      </c>
      <c r="E887">
        <f>_xlfn.XLOOKUP(B887,Sheet1!A:A,Sheet1!D:D)</f>
        <v>3.5</v>
      </c>
      <c r="F887">
        <f>_xlfn.XLOOKUP(Sheet3!B887,Sheet1!A:A,Sheet1!E:E)</f>
        <v>3</v>
      </c>
      <c r="G887">
        <f>_xlfn.XLOOKUP(B887,Sheet1!A:A,Sheet1!F:F)</f>
        <v>8</v>
      </c>
      <c r="H887" t="str" cm="1">
        <f t="array" aca="1" ref="H887" ca="1">INDEX(Sheet1!$G$2:$G$3, RANDBETWEEN(1, ROWS(Sheet1!$G$2:$G$3)))</f>
        <v>No</v>
      </c>
    </row>
    <row r="888" spans="1:8" x14ac:dyDescent="0.3">
      <c r="A888" s="2" t="str" cm="1">
        <f t="array" aca="1" ref="A888" ca="1">INDEX(Sheet1!$A$2:$A$46, RANDBETWEEN(1,ROWS(Sheet1!$A$2:$A$46)))</f>
        <v>B024</v>
      </c>
      <c r="B888" s="2" t="s">
        <v>37</v>
      </c>
      <c r="C888" t="str">
        <f>_xlfn.XLOOKUP(B888, Sheet1!A:A, Sheet1!B:B)</f>
        <v>sugar cookies</v>
      </c>
      <c r="D888">
        <f>_xlfn.XLOOKUP(B888,Sheet1!A:A,Sheet1!C:C)</f>
        <v>12</v>
      </c>
      <c r="E888">
        <f>_xlfn.XLOOKUP(B888,Sheet1!A:A,Sheet1!D:D)</f>
        <v>3.5</v>
      </c>
      <c r="F888">
        <f>_xlfn.XLOOKUP(Sheet3!B888,Sheet1!A:A,Sheet1!E:E)</f>
        <v>3</v>
      </c>
      <c r="G888">
        <f>_xlfn.XLOOKUP(B888,Sheet1!A:A,Sheet1!F:F)</f>
        <v>14</v>
      </c>
      <c r="H888" cm="1">
        <f t="array" aca="1" ref="H888" ca="1">INDEX(Sheet1!$G$2:$G$3, RANDBETWEEN(1, ROWS(Sheet1!$G$2:$G$3)))</f>
        <v>0</v>
      </c>
    </row>
    <row r="889" spans="1:8" x14ac:dyDescent="0.3">
      <c r="A889" s="2" t="str" cm="1">
        <f t="array" aca="1" ref="A889" ca="1">INDEX(Sheet1!$A$2:$A$46, RANDBETWEEN(1,ROWS(Sheet1!$A$2:$A$46)))</f>
        <v>B012</v>
      </c>
      <c r="B889" s="2" t="s">
        <v>68</v>
      </c>
      <c r="C889" t="str">
        <f>_xlfn.XLOOKUP(B889, Sheet1!A:A, Sheet1!B:B)</f>
        <v>oreja cookies</v>
      </c>
      <c r="D889">
        <f>_xlfn.XLOOKUP(B889,Sheet1!A:A,Sheet1!C:C)</f>
        <v>15</v>
      </c>
      <c r="E889">
        <f>_xlfn.XLOOKUP(B889,Sheet1!A:A,Sheet1!D:D)</f>
        <v>4</v>
      </c>
      <c r="F889">
        <f>_xlfn.XLOOKUP(Sheet3!B889,Sheet1!A:A,Sheet1!E:E)</f>
        <v>3</v>
      </c>
      <c r="G889">
        <f>_xlfn.XLOOKUP(B889,Sheet1!A:A,Sheet1!F:F)</f>
        <v>14</v>
      </c>
      <c r="H889" t="str" cm="1">
        <f t="array" aca="1" ref="H889" ca="1">INDEX(Sheet1!$G$2:$G$3, RANDBETWEEN(1, ROWS(Sheet1!$G$2:$G$3)))</f>
        <v>No</v>
      </c>
    </row>
    <row r="890" spans="1:8" x14ac:dyDescent="0.3">
      <c r="A890" s="2" t="str" cm="1">
        <f t="array" aca="1" ref="A890" ca="1">INDEX(Sheet1!$A$2:$A$46, RANDBETWEEN(1,ROWS(Sheet1!$A$2:$A$46)))</f>
        <v>B043</v>
      </c>
      <c r="B890" s="2" t="s">
        <v>10</v>
      </c>
      <c r="C890" t="str">
        <f>_xlfn.XLOOKUP(B890, Sheet1!A:A, Sheet1!B:B)</f>
        <v>croissant</v>
      </c>
      <c r="D890">
        <f>_xlfn.XLOOKUP(B890,Sheet1!A:A,Sheet1!C:C)</f>
        <v>10</v>
      </c>
      <c r="E890">
        <f>_xlfn.XLOOKUP(B890,Sheet1!A:A,Sheet1!D:D)</f>
        <v>5.5</v>
      </c>
      <c r="F890">
        <f>_xlfn.XLOOKUP(Sheet3!B890,Sheet1!A:A,Sheet1!E:E)</f>
        <v>4.5</v>
      </c>
      <c r="G890">
        <f>_xlfn.XLOOKUP(B890,Sheet1!A:A,Sheet1!F:F)</f>
        <v>7</v>
      </c>
      <c r="H890" cm="1">
        <f t="array" aca="1" ref="H890" ca="1">INDEX(Sheet1!$G$2:$G$3, RANDBETWEEN(1, ROWS(Sheet1!$G$2:$G$3)))</f>
        <v>0</v>
      </c>
    </row>
    <row r="891" spans="1:8" x14ac:dyDescent="0.3">
      <c r="A891" s="2" t="str" cm="1">
        <f t="array" aca="1" ref="A891" ca="1">INDEX(Sheet1!$A$2:$A$46, RANDBETWEEN(1,ROWS(Sheet1!$A$2:$A$46)))</f>
        <v>B021</v>
      </c>
      <c r="B891" s="2" t="s">
        <v>19</v>
      </c>
      <c r="C891" t="str">
        <f>_xlfn.XLOOKUP(B891, Sheet1!A:A, Sheet1!B:B)</f>
        <v>blueberry muffins</v>
      </c>
      <c r="D891">
        <f>_xlfn.XLOOKUP(B891,Sheet1!A:A,Sheet1!C:C)</f>
        <v>10</v>
      </c>
      <c r="E891">
        <f>_xlfn.XLOOKUP(B891,Sheet1!A:A,Sheet1!D:D)</f>
        <v>4.5</v>
      </c>
      <c r="F891">
        <f>_xlfn.XLOOKUP(Sheet3!B891,Sheet1!A:A,Sheet1!E:E)</f>
        <v>4</v>
      </c>
      <c r="G891">
        <f>_xlfn.XLOOKUP(B891,Sheet1!A:A,Sheet1!F:F)</f>
        <v>10</v>
      </c>
      <c r="H891" t="str" cm="1">
        <f t="array" aca="1" ref="H891" ca="1">INDEX(Sheet1!$G$2:$G$3, RANDBETWEEN(1, ROWS(Sheet1!$G$2:$G$3)))</f>
        <v>No</v>
      </c>
    </row>
    <row r="892" spans="1:8" x14ac:dyDescent="0.3">
      <c r="A892" s="2" t="str" cm="1">
        <f t="array" aca="1" ref="A892" ca="1">INDEX(Sheet1!$A$2:$A$46, RANDBETWEEN(1,ROWS(Sheet1!$A$2:$A$46)))</f>
        <v>B011</v>
      </c>
      <c r="B892" s="2" t="s">
        <v>36</v>
      </c>
      <c r="C892" t="str">
        <f>_xlfn.XLOOKUP(B892, Sheet1!A:A, Sheet1!B:B)</f>
        <v>oatmeal raisin cookies</v>
      </c>
      <c r="D892">
        <f>_xlfn.XLOOKUP(B892,Sheet1!A:A,Sheet1!C:C)</f>
        <v>12</v>
      </c>
      <c r="E892">
        <f>_xlfn.XLOOKUP(B892,Sheet1!A:A,Sheet1!D:D)</f>
        <v>3.5</v>
      </c>
      <c r="F892">
        <f>_xlfn.XLOOKUP(Sheet3!B892,Sheet1!A:A,Sheet1!E:E)</f>
        <v>3</v>
      </c>
      <c r="G892">
        <f>_xlfn.XLOOKUP(B892,Sheet1!A:A,Sheet1!F:F)</f>
        <v>14</v>
      </c>
      <c r="H892" t="str" cm="1">
        <f t="array" aca="1" ref="H892" ca="1">INDEX(Sheet1!$G$2:$G$3, RANDBETWEEN(1, ROWS(Sheet1!$G$2:$G$3)))</f>
        <v>No</v>
      </c>
    </row>
    <row r="893" spans="1:8" x14ac:dyDescent="0.3">
      <c r="A893" s="2" t="str" cm="1">
        <f t="array" aca="1" ref="A893" ca="1">INDEX(Sheet1!$A$2:$A$46, RANDBETWEEN(1,ROWS(Sheet1!$A$2:$A$46)))</f>
        <v>B020</v>
      </c>
      <c r="B893" s="2" t="s">
        <v>71</v>
      </c>
      <c r="C893" t="str">
        <f>_xlfn.XLOOKUP(B893, Sheet1!A:A, Sheet1!B:B)</f>
        <v>blueberry pie</v>
      </c>
      <c r="D893">
        <f>_xlfn.XLOOKUP(B893,Sheet1!A:A,Sheet1!C:C)</f>
        <v>6</v>
      </c>
      <c r="E893">
        <f>_xlfn.XLOOKUP(B893,Sheet1!A:A,Sheet1!D:D)</f>
        <v>4</v>
      </c>
      <c r="F893">
        <f>_xlfn.XLOOKUP(Sheet3!B893,Sheet1!A:A,Sheet1!E:E)</f>
        <v>3</v>
      </c>
      <c r="G893">
        <f>_xlfn.XLOOKUP(B893,Sheet1!A:A,Sheet1!F:F)</f>
        <v>7</v>
      </c>
      <c r="H893" cm="1">
        <f t="array" aca="1" ref="H893" ca="1">INDEX(Sheet1!$G$2:$G$3, RANDBETWEEN(1, ROWS(Sheet1!$G$2:$G$3)))</f>
        <v>0</v>
      </c>
    </row>
    <row r="894" spans="1:8" x14ac:dyDescent="0.3">
      <c r="A894" s="2" t="str" cm="1">
        <f t="array" aca="1" ref="A894" ca="1">INDEX(Sheet1!$A$2:$A$46, RANDBETWEEN(1,ROWS(Sheet1!$A$2:$A$46)))</f>
        <v>B016</v>
      </c>
      <c r="B894" s="2" t="s">
        <v>88</v>
      </c>
      <c r="C894" t="str">
        <f>_xlfn.XLOOKUP(B894, Sheet1!A:A, Sheet1!B:B)</f>
        <v>everything bagels</v>
      </c>
      <c r="D894">
        <f>_xlfn.XLOOKUP(B894,Sheet1!A:A,Sheet1!C:C)</f>
        <v>8</v>
      </c>
      <c r="E894">
        <f>_xlfn.XLOOKUP(B894,Sheet1!A:A,Sheet1!D:D)</f>
        <v>3.5</v>
      </c>
      <c r="F894">
        <f>_xlfn.XLOOKUP(Sheet3!B894,Sheet1!A:A,Sheet1!E:E)</f>
        <v>3</v>
      </c>
      <c r="G894">
        <f>_xlfn.XLOOKUP(B894,Sheet1!A:A,Sheet1!F:F)</f>
        <v>8</v>
      </c>
      <c r="H894" t="str" cm="1">
        <f t="array" aca="1" ref="H894" ca="1">INDEX(Sheet1!$G$2:$G$3, RANDBETWEEN(1, ROWS(Sheet1!$G$2:$G$3)))</f>
        <v>No</v>
      </c>
    </row>
    <row r="895" spans="1:8" x14ac:dyDescent="0.3">
      <c r="A895" s="2" t="str" cm="1">
        <f t="array" aca="1" ref="A895" ca="1">INDEX(Sheet1!$A$2:$A$46, RANDBETWEEN(1,ROWS(Sheet1!$A$2:$A$46)))</f>
        <v>B018</v>
      </c>
      <c r="B895" s="2" t="s">
        <v>23</v>
      </c>
      <c r="C895" t="str">
        <f>_xlfn.XLOOKUP(B895, Sheet1!A:A, Sheet1!B:B)</f>
        <v>cheese cake</v>
      </c>
      <c r="D895">
        <f>_xlfn.XLOOKUP(B895,Sheet1!A:A,Sheet1!C:C)</f>
        <v>9</v>
      </c>
      <c r="E895">
        <f>_xlfn.XLOOKUP(B895,Sheet1!A:A,Sheet1!D:D)</f>
        <v>6.5</v>
      </c>
      <c r="F895">
        <f>_xlfn.XLOOKUP(Sheet3!B895,Sheet1!A:A,Sheet1!E:E)</f>
        <v>5.5</v>
      </c>
      <c r="G895">
        <f>_xlfn.XLOOKUP(B895,Sheet1!A:A,Sheet1!F:F)</f>
        <v>9</v>
      </c>
      <c r="H895" t="str" cm="1">
        <f t="array" aca="1" ref="H895" ca="1">INDEX(Sheet1!$G$2:$G$3, RANDBETWEEN(1, ROWS(Sheet1!$G$2:$G$3)))</f>
        <v>No</v>
      </c>
    </row>
    <row r="896" spans="1:8" x14ac:dyDescent="0.3">
      <c r="A896" s="2" t="str" cm="1">
        <f t="array" aca="1" ref="A896" ca="1">INDEX(Sheet1!$A$2:$A$46, RANDBETWEEN(1,ROWS(Sheet1!$A$2:$A$46)))</f>
        <v>B044</v>
      </c>
      <c r="B896" s="2" t="s">
        <v>68</v>
      </c>
      <c r="C896" t="str">
        <f>_xlfn.XLOOKUP(B896, Sheet1!A:A, Sheet1!B:B)</f>
        <v>oreja cookies</v>
      </c>
      <c r="D896">
        <f>_xlfn.XLOOKUP(B896,Sheet1!A:A,Sheet1!C:C)</f>
        <v>15</v>
      </c>
      <c r="E896">
        <f>_xlfn.XLOOKUP(B896,Sheet1!A:A,Sheet1!D:D)</f>
        <v>4</v>
      </c>
      <c r="F896">
        <f>_xlfn.XLOOKUP(Sheet3!B896,Sheet1!A:A,Sheet1!E:E)</f>
        <v>3</v>
      </c>
      <c r="G896">
        <f>_xlfn.XLOOKUP(B896,Sheet1!A:A,Sheet1!F:F)</f>
        <v>14</v>
      </c>
      <c r="H896" cm="1">
        <f t="array" aca="1" ref="H896" ca="1">INDEX(Sheet1!$G$2:$G$3, RANDBETWEEN(1, ROWS(Sheet1!$G$2:$G$3)))</f>
        <v>0</v>
      </c>
    </row>
    <row r="897" spans="1:8" x14ac:dyDescent="0.3">
      <c r="A897" s="2" t="str" cm="1">
        <f t="array" aca="1" ref="A897" ca="1">INDEX(Sheet1!$A$2:$A$46, RANDBETWEEN(1,ROWS(Sheet1!$A$2:$A$46)))</f>
        <v>B001</v>
      </c>
      <c r="B897" s="2" t="s">
        <v>62</v>
      </c>
      <c r="C897" t="str">
        <f>_xlfn.XLOOKUP(B897, Sheet1!A:A, Sheet1!B:B)</f>
        <v>vanilla sliced loaf cake</v>
      </c>
      <c r="D897">
        <f>_xlfn.XLOOKUP(B897,Sheet1!A:A,Sheet1!C:C)</f>
        <v>10</v>
      </c>
      <c r="E897">
        <f>_xlfn.XLOOKUP(B897,Sheet1!A:A,Sheet1!D:D)</f>
        <v>4</v>
      </c>
      <c r="F897">
        <f>_xlfn.XLOOKUP(Sheet3!B897,Sheet1!A:A,Sheet1!E:E)</f>
        <v>3.5</v>
      </c>
      <c r="G897">
        <f>_xlfn.XLOOKUP(B897,Sheet1!A:A,Sheet1!F:F)</f>
        <v>10</v>
      </c>
      <c r="H897" cm="1">
        <f t="array" aca="1" ref="H897" ca="1">INDEX(Sheet1!$G$2:$G$3, RANDBETWEEN(1, ROWS(Sheet1!$G$2:$G$3)))</f>
        <v>0</v>
      </c>
    </row>
    <row r="898" spans="1:8" x14ac:dyDescent="0.3">
      <c r="A898" s="2" t="str" cm="1">
        <f t="array" aca="1" ref="A898" ca="1">INDEX(Sheet1!$A$2:$A$46, RANDBETWEEN(1,ROWS(Sheet1!$A$2:$A$46)))</f>
        <v>B018</v>
      </c>
      <c r="B898" s="2" t="s">
        <v>70</v>
      </c>
      <c r="C898" t="str">
        <f>_xlfn.XLOOKUP(B898, Sheet1!A:A, Sheet1!B:B)</f>
        <v>pumpkin pie</v>
      </c>
      <c r="D898">
        <f>_xlfn.XLOOKUP(B898,Sheet1!A:A,Sheet1!C:C)</f>
        <v>6</v>
      </c>
      <c r="E898">
        <f>_xlfn.XLOOKUP(B898,Sheet1!A:A,Sheet1!D:D)</f>
        <v>4</v>
      </c>
      <c r="F898">
        <f>_xlfn.XLOOKUP(Sheet3!B898,Sheet1!A:A,Sheet1!E:E)</f>
        <v>3</v>
      </c>
      <c r="G898">
        <f>_xlfn.XLOOKUP(B898,Sheet1!A:A,Sheet1!F:F)</f>
        <v>7</v>
      </c>
      <c r="H898" t="str" cm="1">
        <f t="array" aca="1" ref="H898" ca="1">INDEX(Sheet1!$G$2:$G$3, RANDBETWEEN(1, ROWS(Sheet1!$G$2:$G$3)))</f>
        <v>No</v>
      </c>
    </row>
    <row r="899" spans="1:8" x14ac:dyDescent="0.3">
      <c r="A899" s="2" t="str" cm="1">
        <f t="array" aca="1" ref="A899" ca="1">INDEX(Sheet1!$A$2:$A$46, RANDBETWEEN(1,ROWS(Sheet1!$A$2:$A$46)))</f>
        <v>B027</v>
      </c>
      <c r="B899" s="2" t="s">
        <v>61</v>
      </c>
      <c r="C899" t="str">
        <f>_xlfn.XLOOKUP(B899, Sheet1!A:A, Sheet1!B:B)</f>
        <v>marble sliced loaf cake</v>
      </c>
      <c r="D899">
        <f>_xlfn.XLOOKUP(B899,Sheet1!A:A,Sheet1!C:C)</f>
        <v>10</v>
      </c>
      <c r="E899">
        <f>_xlfn.XLOOKUP(B899,Sheet1!A:A,Sheet1!D:D)</f>
        <v>4</v>
      </c>
      <c r="F899">
        <f>_xlfn.XLOOKUP(Sheet3!B899,Sheet1!A:A,Sheet1!E:E)</f>
        <v>3.5</v>
      </c>
      <c r="G899">
        <f>_xlfn.XLOOKUP(B899,Sheet1!A:A,Sheet1!F:F)</f>
        <v>10</v>
      </c>
      <c r="H899" t="str" cm="1">
        <f t="array" aca="1" ref="H899" ca="1">INDEX(Sheet1!$G$2:$G$3, RANDBETWEEN(1, ROWS(Sheet1!$G$2:$G$3)))</f>
        <v>No</v>
      </c>
    </row>
    <row r="900" spans="1:8" x14ac:dyDescent="0.3">
      <c r="A900" s="2" t="str" cm="1">
        <f t="array" aca="1" ref="A900" ca="1">INDEX(Sheet1!$A$2:$A$46, RANDBETWEEN(1,ROWS(Sheet1!$A$2:$A$46)))</f>
        <v>B014</v>
      </c>
      <c r="B900" s="2" t="s">
        <v>41</v>
      </c>
      <c r="C900" t="str">
        <f>_xlfn.XLOOKUP(B900, Sheet1!A:A, Sheet1!B:B)</f>
        <v>frosted blue cookies</v>
      </c>
      <c r="D900">
        <f>_xlfn.XLOOKUP(B900,Sheet1!A:A,Sheet1!C:C)</f>
        <v>15</v>
      </c>
      <c r="E900">
        <f>_xlfn.XLOOKUP(B900,Sheet1!A:A,Sheet1!D:D)</f>
        <v>3</v>
      </c>
      <c r="F900">
        <f>_xlfn.XLOOKUP(Sheet3!B900,Sheet1!A:A,Sheet1!E:E)</f>
        <v>2.5</v>
      </c>
      <c r="G900">
        <f>_xlfn.XLOOKUP(B900,Sheet1!A:A,Sheet1!F:F)</f>
        <v>14</v>
      </c>
      <c r="H900" t="str" cm="1">
        <f t="array" aca="1" ref="H900" ca="1">INDEX(Sheet1!$G$2:$G$3, RANDBETWEEN(1, ROWS(Sheet1!$G$2:$G$3)))</f>
        <v>No</v>
      </c>
    </row>
    <row r="901" spans="1:8" x14ac:dyDescent="0.3">
      <c r="A901" s="2" t="str" cm="1">
        <f t="array" aca="1" ref="A901" ca="1">INDEX(Sheet1!$A$2:$A$46, RANDBETWEEN(1,ROWS(Sheet1!$A$2:$A$46)))</f>
        <v>B030</v>
      </c>
      <c r="B901" s="2" t="s">
        <v>72</v>
      </c>
      <c r="C901" t="str">
        <f>_xlfn.XLOOKUP(B901, Sheet1!A:A, Sheet1!B:B)</f>
        <v>cherry pie</v>
      </c>
      <c r="D901">
        <f>_xlfn.XLOOKUP(B901,Sheet1!A:A,Sheet1!C:C)</f>
        <v>6</v>
      </c>
      <c r="E901">
        <f>_xlfn.XLOOKUP(B901,Sheet1!A:A,Sheet1!D:D)</f>
        <v>4</v>
      </c>
      <c r="F901">
        <f>_xlfn.XLOOKUP(Sheet3!B901,Sheet1!A:A,Sheet1!E:E)</f>
        <v>3</v>
      </c>
      <c r="G901">
        <f>_xlfn.XLOOKUP(B901,Sheet1!A:A,Sheet1!F:F)</f>
        <v>7</v>
      </c>
      <c r="H901" t="str" cm="1">
        <f t="array" aca="1" ref="H901" ca="1">INDEX(Sheet1!$G$2:$G$3, RANDBETWEEN(1, ROWS(Sheet1!$G$2:$G$3)))</f>
        <v>No</v>
      </c>
    </row>
    <row r="902" spans="1:8" x14ac:dyDescent="0.3">
      <c r="A902" s="2" t="str" cm="1">
        <f t="array" aca="1" ref="A902" ca="1">INDEX(Sheet1!$A$2:$A$46, RANDBETWEEN(1,ROWS(Sheet1!$A$2:$A$46)))</f>
        <v>B004</v>
      </c>
      <c r="B902" s="2" t="s">
        <v>67</v>
      </c>
      <c r="C902" t="str">
        <f>_xlfn.XLOOKUP(B902, Sheet1!A:A, Sheet1!B:B)</f>
        <v>seeded bread</v>
      </c>
      <c r="D902">
        <f>_xlfn.XLOOKUP(B902,Sheet1!A:A,Sheet1!C:C)</f>
        <v>8</v>
      </c>
      <c r="E902">
        <f>_xlfn.XLOOKUP(B902,Sheet1!A:A,Sheet1!D:D)</f>
        <v>3.5</v>
      </c>
      <c r="F902">
        <f>_xlfn.XLOOKUP(Sheet3!B902,Sheet1!A:A,Sheet1!E:E)</f>
        <v>3</v>
      </c>
      <c r="G902">
        <f>_xlfn.XLOOKUP(B902,Sheet1!A:A,Sheet1!F:F)</f>
        <v>8</v>
      </c>
      <c r="H902" t="str" cm="1">
        <f t="array" aca="1" ref="H902" ca="1">INDEX(Sheet1!$G$2:$G$3, RANDBETWEEN(1, ROWS(Sheet1!$G$2:$G$3)))</f>
        <v>No</v>
      </c>
    </row>
    <row r="903" spans="1:8" x14ac:dyDescent="0.3">
      <c r="A903" s="2" t="str" cm="1">
        <f t="array" aca="1" ref="A903" ca="1">INDEX(Sheet1!$A$2:$A$46, RANDBETWEEN(1,ROWS(Sheet1!$A$2:$A$46)))</f>
        <v>B019</v>
      </c>
      <c r="B903" s="2" t="s">
        <v>58</v>
      </c>
      <c r="C903" t="str">
        <f>_xlfn.XLOOKUP(B903, Sheet1!A:A, Sheet1!B:B)</f>
        <v>cookies &amp; creme cupcakes</v>
      </c>
      <c r="D903">
        <f>_xlfn.XLOOKUP(B903,Sheet1!A:A,Sheet1!C:C)</f>
        <v>15</v>
      </c>
      <c r="E903">
        <f>_xlfn.XLOOKUP(B903,Sheet1!A:A,Sheet1!D:D)</f>
        <v>6</v>
      </c>
      <c r="F903">
        <f>_xlfn.XLOOKUP(Sheet3!B903,Sheet1!A:A,Sheet1!E:E)</f>
        <v>5.5</v>
      </c>
      <c r="G903">
        <f>_xlfn.XLOOKUP(B903,Sheet1!A:A,Sheet1!F:F)</f>
        <v>20</v>
      </c>
      <c r="H903" cm="1">
        <f t="array" aca="1" ref="H903" ca="1">INDEX(Sheet1!$G$2:$G$3, RANDBETWEEN(1, ROWS(Sheet1!$G$2:$G$3)))</f>
        <v>0</v>
      </c>
    </row>
    <row r="904" spans="1:8" x14ac:dyDescent="0.3">
      <c r="A904" s="2" t="str" cm="1">
        <f t="array" aca="1" ref="A904" ca="1">INDEX(Sheet1!$A$2:$A$46, RANDBETWEEN(1,ROWS(Sheet1!$A$2:$A$46)))</f>
        <v>B024</v>
      </c>
      <c r="B904" s="2" t="s">
        <v>90</v>
      </c>
      <c r="C904" t="str">
        <f>_xlfn.XLOOKUP(B904, Sheet1!A:A, Sheet1!B:B)</f>
        <v>mini brownies</v>
      </c>
      <c r="D904">
        <f>_xlfn.XLOOKUP(B904,Sheet1!A:A,Sheet1!C:C)</f>
        <v>12</v>
      </c>
      <c r="E904">
        <f>_xlfn.XLOOKUP(B904,Sheet1!A:A,Sheet1!D:D)</f>
        <v>4.5</v>
      </c>
      <c r="F904">
        <f>_xlfn.XLOOKUP(Sheet3!B904,Sheet1!A:A,Sheet1!E:E)</f>
        <v>4</v>
      </c>
      <c r="G904">
        <f>_xlfn.XLOOKUP(B904,Sheet1!A:A,Sheet1!F:F)</f>
        <v>14</v>
      </c>
      <c r="H904" t="str" cm="1">
        <f t="array" aca="1" ref="H904" ca="1">INDEX(Sheet1!$G$2:$G$3, RANDBETWEEN(1, ROWS(Sheet1!$G$2:$G$3)))</f>
        <v>No</v>
      </c>
    </row>
    <row r="905" spans="1:8" x14ac:dyDescent="0.3">
      <c r="A905" s="2" t="str" cm="1">
        <f t="array" aca="1" ref="A905" ca="1">INDEX(Sheet1!$A$2:$A$46, RANDBETWEEN(1,ROWS(Sheet1!$A$2:$A$46)))</f>
        <v>B031</v>
      </c>
      <c r="B905" s="2" t="s">
        <v>66</v>
      </c>
      <c r="C905" t="str">
        <f>_xlfn.XLOOKUP(B905, Sheet1!A:A, Sheet1!B:B)</f>
        <v>pumpernickel bread</v>
      </c>
      <c r="D905">
        <f>_xlfn.XLOOKUP(B905,Sheet1!A:A,Sheet1!C:C)</f>
        <v>8</v>
      </c>
      <c r="E905">
        <f>_xlfn.XLOOKUP(B905,Sheet1!A:A,Sheet1!D:D)</f>
        <v>3.5</v>
      </c>
      <c r="F905">
        <f>_xlfn.XLOOKUP(Sheet3!B905,Sheet1!A:A,Sheet1!E:E)</f>
        <v>3</v>
      </c>
      <c r="G905">
        <f>_xlfn.XLOOKUP(B905,Sheet1!A:A,Sheet1!F:F)</f>
        <v>8</v>
      </c>
      <c r="H905" t="str" cm="1">
        <f t="array" aca="1" ref="H905" ca="1">INDEX(Sheet1!$G$2:$G$3, RANDBETWEEN(1, ROWS(Sheet1!$G$2:$G$3)))</f>
        <v>No</v>
      </c>
    </row>
    <row r="906" spans="1:8" x14ac:dyDescent="0.3">
      <c r="A906" s="2" t="str" cm="1">
        <f t="array" aca="1" ref="A906" ca="1">INDEX(Sheet1!$A$2:$A$46, RANDBETWEEN(1,ROWS(Sheet1!$A$2:$A$46)))</f>
        <v>B045</v>
      </c>
      <c r="B906" s="2" t="s">
        <v>39</v>
      </c>
      <c r="C906" t="str">
        <f>_xlfn.XLOOKUP(B906, Sheet1!A:A, Sheet1!B:B)</f>
        <v>macadamia nut cookies</v>
      </c>
      <c r="D906">
        <f>_xlfn.XLOOKUP(B906,Sheet1!A:A,Sheet1!C:C)</f>
        <v>12</v>
      </c>
      <c r="E906">
        <f>_xlfn.XLOOKUP(B906,Sheet1!A:A,Sheet1!D:D)</f>
        <v>3.5</v>
      </c>
      <c r="F906">
        <f>_xlfn.XLOOKUP(Sheet3!B906,Sheet1!A:A,Sheet1!E:E)</f>
        <v>3</v>
      </c>
      <c r="G906">
        <f>_xlfn.XLOOKUP(B906,Sheet1!A:A,Sheet1!F:F)</f>
        <v>14</v>
      </c>
      <c r="H906" cm="1">
        <f t="array" aca="1" ref="H906" ca="1">INDEX(Sheet1!$G$2:$G$3, RANDBETWEEN(1, ROWS(Sheet1!$G$2:$G$3)))</f>
        <v>0</v>
      </c>
    </row>
    <row r="907" spans="1:8" x14ac:dyDescent="0.3">
      <c r="A907" s="2" t="str" cm="1">
        <f t="array" aca="1" ref="A907" ca="1">INDEX(Sheet1!$A$2:$A$46, RANDBETWEEN(1,ROWS(Sheet1!$A$2:$A$46)))</f>
        <v>B040</v>
      </c>
      <c r="B907" s="2" t="s">
        <v>10</v>
      </c>
      <c r="C907" t="str">
        <f>_xlfn.XLOOKUP(B907, Sheet1!A:A, Sheet1!B:B)</f>
        <v>croissant</v>
      </c>
      <c r="D907">
        <f>_xlfn.XLOOKUP(B907,Sheet1!A:A,Sheet1!C:C)</f>
        <v>10</v>
      </c>
      <c r="E907">
        <f>_xlfn.XLOOKUP(B907,Sheet1!A:A,Sheet1!D:D)</f>
        <v>5.5</v>
      </c>
      <c r="F907">
        <f>_xlfn.XLOOKUP(Sheet3!B907,Sheet1!A:A,Sheet1!E:E)</f>
        <v>4.5</v>
      </c>
      <c r="G907">
        <f>_xlfn.XLOOKUP(B907,Sheet1!A:A,Sheet1!F:F)</f>
        <v>7</v>
      </c>
      <c r="H907" cm="1">
        <f t="array" aca="1" ref="H907" ca="1">INDEX(Sheet1!$G$2:$G$3, RANDBETWEEN(1, ROWS(Sheet1!$G$2:$G$3)))</f>
        <v>0</v>
      </c>
    </row>
    <row r="908" spans="1:8" x14ac:dyDescent="0.3">
      <c r="A908" s="2" t="str" cm="1">
        <f t="array" aca="1" ref="A908" ca="1">INDEX(Sheet1!$A$2:$A$46, RANDBETWEEN(1,ROWS(Sheet1!$A$2:$A$46)))</f>
        <v>B027</v>
      </c>
      <c r="B908" s="2" t="s">
        <v>40</v>
      </c>
      <c r="C908" t="str">
        <f>_xlfn.XLOOKUP(B908, Sheet1!A:A, Sheet1!B:B)</f>
        <v>frosted pink cookies</v>
      </c>
      <c r="D908">
        <f>_xlfn.XLOOKUP(B908,Sheet1!A:A,Sheet1!C:C)</f>
        <v>15</v>
      </c>
      <c r="E908">
        <f>_xlfn.XLOOKUP(B908,Sheet1!A:A,Sheet1!D:D)</f>
        <v>3</v>
      </c>
      <c r="F908">
        <f>_xlfn.XLOOKUP(Sheet3!B908,Sheet1!A:A,Sheet1!E:E)</f>
        <v>2.5</v>
      </c>
      <c r="G908">
        <f>_xlfn.XLOOKUP(B908,Sheet1!A:A,Sheet1!F:F)</f>
        <v>14</v>
      </c>
      <c r="H908" t="str" cm="1">
        <f t="array" aca="1" ref="H908" ca="1">INDEX(Sheet1!$G$2:$G$3, RANDBETWEEN(1, ROWS(Sheet1!$G$2:$G$3)))</f>
        <v>No</v>
      </c>
    </row>
    <row r="909" spans="1:8" x14ac:dyDescent="0.3">
      <c r="A909" s="2" t="str" cm="1">
        <f t="array" aca="1" ref="A909" ca="1">INDEX(Sheet1!$A$2:$A$46, RANDBETWEEN(1,ROWS(Sheet1!$A$2:$A$46)))</f>
        <v>B007</v>
      </c>
      <c r="B909" s="2" t="s">
        <v>71</v>
      </c>
      <c r="C909" t="str">
        <f>_xlfn.XLOOKUP(B909, Sheet1!A:A, Sheet1!B:B)</f>
        <v>blueberry pie</v>
      </c>
      <c r="D909">
        <f>_xlfn.XLOOKUP(B909,Sheet1!A:A,Sheet1!C:C)</f>
        <v>6</v>
      </c>
      <c r="E909">
        <f>_xlfn.XLOOKUP(B909,Sheet1!A:A,Sheet1!D:D)</f>
        <v>4</v>
      </c>
      <c r="F909">
        <f>_xlfn.XLOOKUP(Sheet3!B909,Sheet1!A:A,Sheet1!E:E)</f>
        <v>3</v>
      </c>
      <c r="G909">
        <f>_xlfn.XLOOKUP(B909,Sheet1!A:A,Sheet1!F:F)</f>
        <v>7</v>
      </c>
      <c r="H909" cm="1">
        <f t="array" aca="1" ref="H909" ca="1">INDEX(Sheet1!$G$2:$G$3, RANDBETWEEN(1, ROWS(Sheet1!$G$2:$G$3)))</f>
        <v>0</v>
      </c>
    </row>
    <row r="910" spans="1:8" x14ac:dyDescent="0.3">
      <c r="A910" s="2" t="str" cm="1">
        <f t="array" aca="1" ref="A910" ca="1">INDEX(Sheet1!$A$2:$A$46, RANDBETWEEN(1,ROWS(Sheet1!$A$2:$A$46)))</f>
        <v>B006</v>
      </c>
      <c r="B910" s="2" t="s">
        <v>35</v>
      </c>
      <c r="C910" t="str">
        <f>_xlfn.XLOOKUP(B910, Sheet1!A:A, Sheet1!B:B)</f>
        <v>orange pound</v>
      </c>
      <c r="D910">
        <f>_xlfn.XLOOKUP(B910,Sheet1!A:A,Sheet1!C:C)</f>
        <v>8</v>
      </c>
      <c r="E910">
        <f>_xlfn.XLOOKUP(B910,Sheet1!A:A,Sheet1!D:D)</f>
        <v>3.5</v>
      </c>
      <c r="F910">
        <f>_xlfn.XLOOKUP(Sheet3!B910,Sheet1!A:A,Sheet1!E:E)</f>
        <v>3</v>
      </c>
      <c r="G910">
        <f>_xlfn.XLOOKUP(B910,Sheet1!A:A,Sheet1!F:F)</f>
        <v>14</v>
      </c>
      <c r="H910" t="str" cm="1">
        <f t="array" aca="1" ref="H910" ca="1">INDEX(Sheet1!$G$2:$G$3, RANDBETWEEN(1, ROWS(Sheet1!$G$2:$G$3)))</f>
        <v>No</v>
      </c>
    </row>
    <row r="911" spans="1:8" x14ac:dyDescent="0.3">
      <c r="A911" s="2" t="str" cm="1">
        <f t="array" aca="1" ref="A911" ca="1">INDEX(Sheet1!$A$2:$A$46, RANDBETWEEN(1,ROWS(Sheet1!$A$2:$A$46)))</f>
        <v>B041</v>
      </c>
      <c r="B911" s="2" t="s">
        <v>88</v>
      </c>
      <c r="C911" t="str">
        <f>_xlfn.XLOOKUP(B911, Sheet1!A:A, Sheet1!B:B)</f>
        <v>everything bagels</v>
      </c>
      <c r="D911">
        <f>_xlfn.XLOOKUP(B911,Sheet1!A:A,Sheet1!C:C)</f>
        <v>8</v>
      </c>
      <c r="E911">
        <f>_xlfn.XLOOKUP(B911,Sheet1!A:A,Sheet1!D:D)</f>
        <v>3.5</v>
      </c>
      <c r="F911">
        <f>_xlfn.XLOOKUP(Sheet3!B911,Sheet1!A:A,Sheet1!E:E)</f>
        <v>3</v>
      </c>
      <c r="G911">
        <f>_xlfn.XLOOKUP(B911,Sheet1!A:A,Sheet1!F:F)</f>
        <v>8</v>
      </c>
      <c r="H911" t="str" cm="1">
        <f t="array" aca="1" ref="H911" ca="1">INDEX(Sheet1!$G$2:$G$3, RANDBETWEEN(1, ROWS(Sheet1!$G$2:$G$3)))</f>
        <v>No</v>
      </c>
    </row>
    <row r="912" spans="1:8" x14ac:dyDescent="0.3">
      <c r="A912" s="2" t="str" cm="1">
        <f t="array" aca="1" ref="A912" ca="1">INDEX(Sheet1!$A$2:$A$46, RANDBETWEEN(1,ROWS(Sheet1!$A$2:$A$46)))</f>
        <v>B039</v>
      </c>
      <c r="B912" s="2" t="s">
        <v>67</v>
      </c>
      <c r="C912" t="str">
        <f>_xlfn.XLOOKUP(B912, Sheet1!A:A, Sheet1!B:B)</f>
        <v>seeded bread</v>
      </c>
      <c r="D912">
        <f>_xlfn.XLOOKUP(B912,Sheet1!A:A,Sheet1!C:C)</f>
        <v>8</v>
      </c>
      <c r="E912">
        <f>_xlfn.XLOOKUP(B912,Sheet1!A:A,Sheet1!D:D)</f>
        <v>3.5</v>
      </c>
      <c r="F912">
        <f>_xlfn.XLOOKUP(Sheet3!B912,Sheet1!A:A,Sheet1!E:E)</f>
        <v>3</v>
      </c>
      <c r="G912">
        <f>_xlfn.XLOOKUP(B912,Sheet1!A:A,Sheet1!F:F)</f>
        <v>8</v>
      </c>
      <c r="H912" t="str" cm="1">
        <f t="array" aca="1" ref="H912" ca="1">INDEX(Sheet1!$G$2:$G$3, RANDBETWEEN(1, ROWS(Sheet1!$G$2:$G$3)))</f>
        <v>No</v>
      </c>
    </row>
    <row r="913" spans="1:8" x14ac:dyDescent="0.3">
      <c r="A913" s="2" t="str" cm="1">
        <f t="array" aca="1" ref="A913" ca="1">INDEX(Sheet1!$A$2:$A$46, RANDBETWEEN(1,ROWS(Sheet1!$A$2:$A$46)))</f>
        <v>B018</v>
      </c>
      <c r="B913" s="2" t="s">
        <v>38</v>
      </c>
      <c r="C913" t="str">
        <f>_xlfn.XLOOKUP(B913, Sheet1!A:A, Sheet1!B:B)</f>
        <v>snickerdoodle cookies</v>
      </c>
      <c r="D913">
        <f>_xlfn.XLOOKUP(B913,Sheet1!A:A,Sheet1!C:C)</f>
        <v>12</v>
      </c>
      <c r="E913">
        <f>_xlfn.XLOOKUP(B913,Sheet1!A:A,Sheet1!D:D)</f>
        <v>3.5</v>
      </c>
      <c r="F913">
        <f>_xlfn.XLOOKUP(Sheet3!B913,Sheet1!A:A,Sheet1!E:E)</f>
        <v>3</v>
      </c>
      <c r="G913">
        <f>_xlfn.XLOOKUP(B913,Sheet1!A:A,Sheet1!F:F)</f>
        <v>14</v>
      </c>
      <c r="H913" cm="1">
        <f t="array" aca="1" ref="H913" ca="1">INDEX(Sheet1!$G$2:$G$3, RANDBETWEEN(1, ROWS(Sheet1!$G$2:$G$3)))</f>
        <v>0</v>
      </c>
    </row>
    <row r="914" spans="1:8" x14ac:dyDescent="0.3">
      <c r="A914" s="2" t="str" cm="1">
        <f t="array" aca="1" ref="A914" ca="1">INDEX(Sheet1!$A$2:$A$46, RANDBETWEEN(1,ROWS(Sheet1!$A$2:$A$46)))</f>
        <v>B002</v>
      </c>
      <c r="B914" s="2" t="s">
        <v>81</v>
      </c>
      <c r="C914" t="str">
        <f>_xlfn.XLOOKUP(B914, Sheet1!A:A, Sheet1!B:B)</f>
        <v>red velvet square cake</v>
      </c>
      <c r="D914">
        <f>_xlfn.XLOOKUP(B914,Sheet1!A:A,Sheet1!C:C)</f>
        <v>8</v>
      </c>
      <c r="E914">
        <f>_xlfn.XLOOKUP(B914,Sheet1!A:A,Sheet1!D:D)</f>
        <v>2.5</v>
      </c>
      <c r="F914">
        <f>_xlfn.XLOOKUP(Sheet3!B914,Sheet1!A:A,Sheet1!E:E)</f>
        <v>2</v>
      </c>
      <c r="G914">
        <f>_xlfn.XLOOKUP(B914,Sheet1!A:A,Sheet1!F:F)</f>
        <v>5</v>
      </c>
      <c r="H914" t="str" cm="1">
        <f t="array" aca="1" ref="H914" ca="1">INDEX(Sheet1!$G$2:$G$3, RANDBETWEEN(1, ROWS(Sheet1!$G$2:$G$3)))</f>
        <v>No</v>
      </c>
    </row>
    <row r="915" spans="1:8" x14ac:dyDescent="0.3">
      <c r="A915" s="2" t="str" cm="1">
        <f t="array" aca="1" ref="A915" ca="1">INDEX(Sheet1!$A$2:$A$46, RANDBETWEEN(1,ROWS(Sheet1!$A$2:$A$46)))</f>
        <v>B005</v>
      </c>
      <c r="B915" s="2" t="s">
        <v>81</v>
      </c>
      <c r="C915" t="str">
        <f>_xlfn.XLOOKUP(B915, Sheet1!A:A, Sheet1!B:B)</f>
        <v>red velvet square cake</v>
      </c>
      <c r="D915">
        <f>_xlfn.XLOOKUP(B915,Sheet1!A:A,Sheet1!C:C)</f>
        <v>8</v>
      </c>
      <c r="E915">
        <f>_xlfn.XLOOKUP(B915,Sheet1!A:A,Sheet1!D:D)</f>
        <v>2.5</v>
      </c>
      <c r="F915">
        <f>_xlfn.XLOOKUP(Sheet3!B915,Sheet1!A:A,Sheet1!E:E)</f>
        <v>2</v>
      </c>
      <c r="G915">
        <f>_xlfn.XLOOKUP(B915,Sheet1!A:A,Sheet1!F:F)</f>
        <v>5</v>
      </c>
      <c r="H915" t="str" cm="1">
        <f t="array" aca="1" ref="H915" ca="1">INDEX(Sheet1!$G$2:$G$3, RANDBETWEEN(1, ROWS(Sheet1!$G$2:$G$3)))</f>
        <v>No</v>
      </c>
    </row>
    <row r="916" spans="1:8" x14ac:dyDescent="0.3">
      <c r="A916" s="2" t="str" cm="1">
        <f t="array" aca="1" ref="A916" ca="1">INDEX(Sheet1!$A$2:$A$46, RANDBETWEEN(1,ROWS(Sheet1!$A$2:$A$46)))</f>
        <v>B042</v>
      </c>
      <c r="B916" s="2" t="s">
        <v>71</v>
      </c>
      <c r="C916" t="str">
        <f>_xlfn.XLOOKUP(B916, Sheet1!A:A, Sheet1!B:B)</f>
        <v>blueberry pie</v>
      </c>
      <c r="D916">
        <f>_xlfn.XLOOKUP(B916,Sheet1!A:A,Sheet1!C:C)</f>
        <v>6</v>
      </c>
      <c r="E916">
        <f>_xlfn.XLOOKUP(B916,Sheet1!A:A,Sheet1!D:D)</f>
        <v>4</v>
      </c>
      <c r="F916">
        <f>_xlfn.XLOOKUP(Sheet3!B916,Sheet1!A:A,Sheet1!E:E)</f>
        <v>3</v>
      </c>
      <c r="G916">
        <f>_xlfn.XLOOKUP(B916,Sheet1!A:A,Sheet1!F:F)</f>
        <v>7</v>
      </c>
      <c r="H916" t="str" cm="1">
        <f t="array" aca="1" ref="H916" ca="1">INDEX(Sheet1!$G$2:$G$3, RANDBETWEEN(1, ROWS(Sheet1!$G$2:$G$3)))</f>
        <v>No</v>
      </c>
    </row>
    <row r="917" spans="1:8" x14ac:dyDescent="0.3">
      <c r="A917" s="2" t="str" cm="1">
        <f t="array" aca="1" ref="A917" ca="1">INDEX(Sheet1!$A$2:$A$46, RANDBETWEEN(1,ROWS(Sheet1!$A$2:$A$46)))</f>
        <v>B011</v>
      </c>
      <c r="B917" s="2" t="s">
        <v>71</v>
      </c>
      <c r="C917" t="str">
        <f>_xlfn.XLOOKUP(B917, Sheet1!A:A, Sheet1!B:B)</f>
        <v>blueberry pie</v>
      </c>
      <c r="D917">
        <f>_xlfn.XLOOKUP(B917,Sheet1!A:A,Sheet1!C:C)</f>
        <v>6</v>
      </c>
      <c r="E917">
        <f>_xlfn.XLOOKUP(B917,Sheet1!A:A,Sheet1!D:D)</f>
        <v>4</v>
      </c>
      <c r="F917">
        <f>_xlfn.XLOOKUP(Sheet3!B917,Sheet1!A:A,Sheet1!E:E)</f>
        <v>3</v>
      </c>
      <c r="G917">
        <f>_xlfn.XLOOKUP(B917,Sheet1!A:A,Sheet1!F:F)</f>
        <v>7</v>
      </c>
      <c r="H917" cm="1">
        <f t="array" aca="1" ref="H917" ca="1">INDEX(Sheet1!$G$2:$G$3, RANDBETWEEN(1, ROWS(Sheet1!$G$2:$G$3)))</f>
        <v>0</v>
      </c>
    </row>
    <row r="918" spans="1:8" x14ac:dyDescent="0.3">
      <c r="A918" s="2" t="str" cm="1">
        <f t="array" aca="1" ref="A918" ca="1">INDEX(Sheet1!$A$2:$A$46, RANDBETWEEN(1,ROWS(Sheet1!$A$2:$A$46)))</f>
        <v>B029</v>
      </c>
      <c r="B918" s="2" t="s">
        <v>83</v>
      </c>
      <c r="C918" t="str">
        <f>_xlfn.XLOOKUP(B918, Sheet1!A:A, Sheet1!B:B)</f>
        <v>pumpkin spice muffins</v>
      </c>
      <c r="D918">
        <f>_xlfn.XLOOKUP(B918,Sheet1!A:A,Sheet1!C:C)</f>
        <v>10</v>
      </c>
      <c r="E918">
        <f>_xlfn.XLOOKUP(B918,Sheet1!A:A,Sheet1!D:D)</f>
        <v>4.5</v>
      </c>
      <c r="F918">
        <f>_xlfn.XLOOKUP(Sheet3!B918,Sheet1!A:A,Sheet1!E:E)</f>
        <v>4</v>
      </c>
      <c r="G918">
        <f>_xlfn.XLOOKUP(B918,Sheet1!A:A,Sheet1!F:F)</f>
        <v>10</v>
      </c>
      <c r="H918" cm="1">
        <f t="array" aca="1" ref="H918" ca="1">INDEX(Sheet1!$G$2:$G$3, RANDBETWEEN(1, ROWS(Sheet1!$G$2:$G$3)))</f>
        <v>0</v>
      </c>
    </row>
    <row r="919" spans="1:8" x14ac:dyDescent="0.3">
      <c r="A919" s="2" t="str" cm="1">
        <f t="array" aca="1" ref="A919" ca="1">INDEX(Sheet1!$A$2:$A$46, RANDBETWEEN(1,ROWS(Sheet1!$A$2:$A$46)))</f>
        <v>B033</v>
      </c>
      <c r="B919" s="2" t="s">
        <v>80</v>
      </c>
      <c r="C919" t="str">
        <f>_xlfn.XLOOKUP(B919, Sheet1!A:A, Sheet1!B:B)</f>
        <v>carrot square cake</v>
      </c>
      <c r="D919">
        <f>_xlfn.XLOOKUP(B919,Sheet1!A:A,Sheet1!C:C)</f>
        <v>8</v>
      </c>
      <c r="E919">
        <f>_xlfn.XLOOKUP(B919,Sheet1!A:A,Sheet1!D:D)</f>
        <v>2.5</v>
      </c>
      <c r="F919">
        <f>_xlfn.XLOOKUP(Sheet3!B919,Sheet1!A:A,Sheet1!E:E)</f>
        <v>2</v>
      </c>
      <c r="G919">
        <f>_xlfn.XLOOKUP(B919,Sheet1!A:A,Sheet1!F:F)</f>
        <v>5</v>
      </c>
      <c r="H919" t="str" cm="1">
        <f t="array" aca="1" ref="H919" ca="1">INDEX(Sheet1!$G$2:$G$3, RANDBETWEEN(1, ROWS(Sheet1!$G$2:$G$3)))</f>
        <v>No</v>
      </c>
    </row>
    <row r="920" spans="1:8" x14ac:dyDescent="0.3">
      <c r="A920" s="2" t="str" cm="1">
        <f t="array" aca="1" ref="A920" ca="1">INDEX(Sheet1!$A$2:$A$46, RANDBETWEEN(1,ROWS(Sheet1!$A$2:$A$46)))</f>
        <v>B032</v>
      </c>
      <c r="B920" s="2" t="s">
        <v>89</v>
      </c>
      <c r="C920" t="str">
        <f>_xlfn.XLOOKUP(B920, Sheet1!A:A, Sheet1!B:B)</f>
        <v>blueberry bagels</v>
      </c>
      <c r="D920">
        <f>_xlfn.XLOOKUP(B920,Sheet1!A:A,Sheet1!C:C)</f>
        <v>8</v>
      </c>
      <c r="E920">
        <f>_xlfn.XLOOKUP(B920,Sheet1!A:A,Sheet1!D:D)</f>
        <v>3.5</v>
      </c>
      <c r="F920">
        <f>_xlfn.XLOOKUP(Sheet3!B920,Sheet1!A:A,Sheet1!E:E)</f>
        <v>3</v>
      </c>
      <c r="G920">
        <f>_xlfn.XLOOKUP(B920,Sheet1!A:A,Sheet1!F:F)</f>
        <v>8</v>
      </c>
      <c r="H920" t="str" cm="1">
        <f t="array" aca="1" ref="H920" ca="1">INDEX(Sheet1!$G$2:$G$3, RANDBETWEEN(1, ROWS(Sheet1!$G$2:$G$3)))</f>
        <v>No</v>
      </c>
    </row>
    <row r="921" spans="1:8" x14ac:dyDescent="0.3">
      <c r="A921" s="2" t="str" cm="1">
        <f t="array" aca="1" ref="A921" ca="1">INDEX(Sheet1!$A$2:$A$46, RANDBETWEEN(1,ROWS(Sheet1!$A$2:$A$46)))</f>
        <v>B019</v>
      </c>
      <c r="B921" s="2" t="s">
        <v>59</v>
      </c>
      <c r="C921" t="str">
        <f>_xlfn.XLOOKUP(B921, Sheet1!A:A, Sheet1!B:B)</f>
        <v>iced lemon sliced loaf cake</v>
      </c>
      <c r="D921">
        <f>_xlfn.XLOOKUP(B921,Sheet1!A:A,Sheet1!C:C)</f>
        <v>10</v>
      </c>
      <c r="E921">
        <f>_xlfn.XLOOKUP(B921,Sheet1!A:A,Sheet1!D:D)</f>
        <v>4</v>
      </c>
      <c r="F921">
        <f>_xlfn.XLOOKUP(Sheet3!B921,Sheet1!A:A,Sheet1!E:E)</f>
        <v>3.5</v>
      </c>
      <c r="G921">
        <f>_xlfn.XLOOKUP(B921,Sheet1!A:A,Sheet1!F:F)</f>
        <v>10</v>
      </c>
      <c r="H921" cm="1">
        <f t="array" aca="1" ref="H921" ca="1">INDEX(Sheet1!$G$2:$G$3, RANDBETWEEN(1, ROWS(Sheet1!$G$2:$G$3)))</f>
        <v>0</v>
      </c>
    </row>
    <row r="922" spans="1:8" x14ac:dyDescent="0.3">
      <c r="A922" s="2" t="str" cm="1">
        <f t="array" aca="1" ref="A922" ca="1">INDEX(Sheet1!$A$2:$A$46, RANDBETWEEN(1,ROWS(Sheet1!$A$2:$A$46)))</f>
        <v>B038</v>
      </c>
      <c r="B922" s="2" t="s">
        <v>24</v>
      </c>
      <c r="C922" t="str">
        <f>_xlfn.XLOOKUP(B922, Sheet1!A:A, Sheet1!B:B)</f>
        <v>tiramisu</v>
      </c>
      <c r="D922">
        <f>_xlfn.XLOOKUP(B922,Sheet1!A:A,Sheet1!C:C)</f>
        <v>8</v>
      </c>
      <c r="E922">
        <f>_xlfn.XLOOKUP(B922,Sheet1!A:A,Sheet1!D:D)</f>
        <v>7.5</v>
      </c>
      <c r="F922">
        <f>_xlfn.XLOOKUP(Sheet3!B922,Sheet1!A:A,Sheet1!E:E)</f>
        <v>5.5</v>
      </c>
      <c r="G922">
        <f>_xlfn.XLOOKUP(B922,Sheet1!A:A,Sheet1!F:F)</f>
        <v>7</v>
      </c>
      <c r="H922" t="str" cm="1">
        <f t="array" aca="1" ref="H922" ca="1">INDEX(Sheet1!$G$2:$G$3, RANDBETWEEN(1, ROWS(Sheet1!$G$2:$G$3)))</f>
        <v>No</v>
      </c>
    </row>
    <row r="923" spans="1:8" x14ac:dyDescent="0.3">
      <c r="A923" s="2" t="str" cm="1">
        <f t="array" aca="1" ref="A923" ca="1">INDEX(Sheet1!$A$2:$A$46, RANDBETWEEN(1,ROWS(Sheet1!$A$2:$A$46)))</f>
        <v>B008</v>
      </c>
      <c r="B923" s="2" t="s">
        <v>63</v>
      </c>
      <c r="C923" t="str">
        <f>_xlfn.XLOOKUP(B923, Sheet1!A:A, Sheet1!B:B)</f>
        <v>chocolate sliced loaf cake</v>
      </c>
      <c r="D923">
        <f>_xlfn.XLOOKUP(B923,Sheet1!A:A,Sheet1!C:C)</f>
        <v>10</v>
      </c>
      <c r="E923">
        <f>_xlfn.XLOOKUP(B923,Sheet1!A:A,Sheet1!D:D)</f>
        <v>4</v>
      </c>
      <c r="F923">
        <f>_xlfn.XLOOKUP(Sheet3!B923,Sheet1!A:A,Sheet1!E:E)</f>
        <v>3.5</v>
      </c>
      <c r="G923">
        <f>_xlfn.XLOOKUP(B923,Sheet1!A:A,Sheet1!F:F)</f>
        <v>10</v>
      </c>
      <c r="H923" cm="1">
        <f t="array" aca="1" ref="H923" ca="1">INDEX(Sheet1!$G$2:$G$3, RANDBETWEEN(1, ROWS(Sheet1!$G$2:$G$3)))</f>
        <v>0</v>
      </c>
    </row>
    <row r="924" spans="1:8" x14ac:dyDescent="0.3">
      <c r="A924" s="2" t="str" cm="1">
        <f t="array" aca="1" ref="A924" ca="1">INDEX(Sheet1!$A$2:$A$46, RANDBETWEEN(1,ROWS(Sheet1!$A$2:$A$46)))</f>
        <v>B020</v>
      </c>
      <c r="B924" s="2" t="s">
        <v>57</v>
      </c>
      <c r="C924" t="str">
        <f>_xlfn.XLOOKUP(B924, Sheet1!A:A, Sheet1!B:B)</f>
        <v>vanilla cupcakes</v>
      </c>
      <c r="D924">
        <f>_xlfn.XLOOKUP(B924,Sheet1!A:A,Sheet1!C:C)</f>
        <v>8</v>
      </c>
      <c r="E924">
        <f>_xlfn.XLOOKUP(B924,Sheet1!A:A,Sheet1!D:D)</f>
        <v>6</v>
      </c>
      <c r="F924">
        <f>_xlfn.XLOOKUP(Sheet3!B924,Sheet1!A:A,Sheet1!E:E)</f>
        <v>5.5</v>
      </c>
      <c r="G924">
        <f>_xlfn.XLOOKUP(B924,Sheet1!A:A,Sheet1!F:F)</f>
        <v>20</v>
      </c>
      <c r="H924" cm="1">
        <f t="array" aca="1" ref="H924" ca="1">INDEX(Sheet1!$G$2:$G$3, RANDBETWEEN(1, ROWS(Sheet1!$G$2:$G$3)))</f>
        <v>0</v>
      </c>
    </row>
    <row r="925" spans="1:8" x14ac:dyDescent="0.3">
      <c r="A925" s="2" t="str" cm="1">
        <f t="array" aca="1" ref="A925" ca="1">INDEX(Sheet1!$A$2:$A$46, RANDBETWEEN(1,ROWS(Sheet1!$A$2:$A$46)))</f>
        <v>B034</v>
      </c>
      <c r="B925" s="2" t="s">
        <v>59</v>
      </c>
      <c r="C925" t="str">
        <f>_xlfn.XLOOKUP(B925, Sheet1!A:A, Sheet1!B:B)</f>
        <v>iced lemon sliced loaf cake</v>
      </c>
      <c r="D925">
        <f>_xlfn.XLOOKUP(B925,Sheet1!A:A,Sheet1!C:C)</f>
        <v>10</v>
      </c>
      <c r="E925">
        <f>_xlfn.XLOOKUP(B925,Sheet1!A:A,Sheet1!D:D)</f>
        <v>4</v>
      </c>
      <c r="F925">
        <f>_xlfn.XLOOKUP(Sheet3!B925,Sheet1!A:A,Sheet1!E:E)</f>
        <v>3.5</v>
      </c>
      <c r="G925">
        <f>_xlfn.XLOOKUP(B925,Sheet1!A:A,Sheet1!F:F)</f>
        <v>10</v>
      </c>
      <c r="H925" t="str" cm="1">
        <f t="array" aca="1" ref="H925" ca="1">INDEX(Sheet1!$G$2:$G$3, RANDBETWEEN(1, ROWS(Sheet1!$G$2:$G$3)))</f>
        <v>No</v>
      </c>
    </row>
    <row r="926" spans="1:8" x14ac:dyDescent="0.3">
      <c r="A926" s="2" t="str" cm="1">
        <f t="array" aca="1" ref="A926" ca="1">INDEX(Sheet1!$A$2:$A$46, RANDBETWEEN(1,ROWS(Sheet1!$A$2:$A$46)))</f>
        <v>B021</v>
      </c>
      <c r="B926" s="2" t="s">
        <v>68</v>
      </c>
      <c r="C926" t="str">
        <f>_xlfn.XLOOKUP(B926, Sheet1!A:A, Sheet1!B:B)</f>
        <v>oreja cookies</v>
      </c>
      <c r="D926">
        <f>_xlfn.XLOOKUP(B926,Sheet1!A:A,Sheet1!C:C)</f>
        <v>15</v>
      </c>
      <c r="E926">
        <f>_xlfn.XLOOKUP(B926,Sheet1!A:A,Sheet1!D:D)</f>
        <v>4</v>
      </c>
      <c r="F926">
        <f>_xlfn.XLOOKUP(Sheet3!B926,Sheet1!A:A,Sheet1!E:E)</f>
        <v>3</v>
      </c>
      <c r="G926">
        <f>_xlfn.XLOOKUP(B926,Sheet1!A:A,Sheet1!F:F)</f>
        <v>14</v>
      </c>
      <c r="H926" t="str" cm="1">
        <f t="array" aca="1" ref="H926" ca="1">INDEX(Sheet1!$G$2:$G$3, RANDBETWEEN(1, ROWS(Sheet1!$G$2:$G$3)))</f>
        <v>No</v>
      </c>
    </row>
    <row r="927" spans="1:8" x14ac:dyDescent="0.3">
      <c r="A927" s="2" t="str" cm="1">
        <f t="array" aca="1" ref="A927" ca="1">INDEX(Sheet1!$A$2:$A$46, RANDBETWEEN(1,ROWS(Sheet1!$A$2:$A$46)))</f>
        <v>B039</v>
      </c>
      <c r="B927" s="2" t="s">
        <v>60</v>
      </c>
      <c r="C927" t="str">
        <f>_xlfn.XLOOKUP(B927, Sheet1!A:A, Sheet1!B:B)</f>
        <v>banana nut sliced loaf cake</v>
      </c>
      <c r="D927">
        <f>_xlfn.XLOOKUP(B927,Sheet1!A:A,Sheet1!C:C)</f>
        <v>10</v>
      </c>
      <c r="E927">
        <f>_xlfn.XLOOKUP(B927,Sheet1!A:A,Sheet1!D:D)</f>
        <v>4</v>
      </c>
      <c r="F927">
        <f>_xlfn.XLOOKUP(Sheet3!B927,Sheet1!A:A,Sheet1!E:E)</f>
        <v>3.5</v>
      </c>
      <c r="G927">
        <f>_xlfn.XLOOKUP(B927,Sheet1!A:A,Sheet1!F:F)</f>
        <v>10</v>
      </c>
      <c r="H927" t="str" cm="1">
        <f t="array" aca="1" ref="H927" ca="1">INDEX(Sheet1!$G$2:$G$3, RANDBETWEEN(1, ROWS(Sheet1!$G$2:$G$3)))</f>
        <v>No</v>
      </c>
    </row>
    <row r="928" spans="1:8" x14ac:dyDescent="0.3">
      <c r="A928" s="2" t="str" cm="1">
        <f t="array" aca="1" ref="A928" ca="1">INDEX(Sheet1!$A$2:$A$46, RANDBETWEEN(1,ROWS(Sheet1!$A$2:$A$46)))</f>
        <v>B033</v>
      </c>
      <c r="B928" s="2" t="s">
        <v>19</v>
      </c>
      <c r="C928" t="str">
        <f>_xlfn.XLOOKUP(B928, Sheet1!A:A, Sheet1!B:B)</f>
        <v>blueberry muffins</v>
      </c>
      <c r="D928">
        <f>_xlfn.XLOOKUP(B928,Sheet1!A:A,Sheet1!C:C)</f>
        <v>10</v>
      </c>
      <c r="E928">
        <f>_xlfn.XLOOKUP(B928,Sheet1!A:A,Sheet1!D:D)</f>
        <v>4.5</v>
      </c>
      <c r="F928">
        <f>_xlfn.XLOOKUP(Sheet3!B928,Sheet1!A:A,Sheet1!E:E)</f>
        <v>4</v>
      </c>
      <c r="G928">
        <f>_xlfn.XLOOKUP(B928,Sheet1!A:A,Sheet1!F:F)</f>
        <v>10</v>
      </c>
      <c r="H928" t="str" cm="1">
        <f t="array" aca="1" ref="H928" ca="1">INDEX(Sheet1!$G$2:$G$3, RANDBETWEEN(1, ROWS(Sheet1!$G$2:$G$3)))</f>
        <v>No</v>
      </c>
    </row>
    <row r="929" spans="1:8" x14ac:dyDescent="0.3">
      <c r="A929" s="2" t="str" cm="1">
        <f t="array" aca="1" ref="A929" ca="1">INDEX(Sheet1!$A$2:$A$46, RANDBETWEEN(1,ROWS(Sheet1!$A$2:$A$46)))</f>
        <v>B040</v>
      </c>
      <c r="B929" s="2" t="s">
        <v>56</v>
      </c>
      <c r="C929" t="str">
        <f>_xlfn.XLOOKUP(B929, Sheet1!A:A, Sheet1!B:B)</f>
        <v>assorted cupcakes </v>
      </c>
      <c r="D929">
        <f>_xlfn.XLOOKUP(B929,Sheet1!A:A,Sheet1!C:C)</f>
        <v>8</v>
      </c>
      <c r="E929">
        <f>_xlfn.XLOOKUP(B929,Sheet1!A:A,Sheet1!D:D)</f>
        <v>6</v>
      </c>
      <c r="F929">
        <f>_xlfn.XLOOKUP(Sheet3!B929,Sheet1!A:A,Sheet1!E:E)</f>
        <v>5.5</v>
      </c>
      <c r="G929">
        <f>_xlfn.XLOOKUP(B929,Sheet1!A:A,Sheet1!F:F)</f>
        <v>20</v>
      </c>
      <c r="H929" cm="1">
        <f t="array" aca="1" ref="H929" ca="1">INDEX(Sheet1!$G$2:$G$3, RANDBETWEEN(1, ROWS(Sheet1!$G$2:$G$3)))</f>
        <v>0</v>
      </c>
    </row>
    <row r="930" spans="1:8" x14ac:dyDescent="0.3">
      <c r="A930" s="2" t="str" cm="1">
        <f t="array" aca="1" ref="A930" ca="1">INDEX(Sheet1!$A$2:$A$46, RANDBETWEEN(1,ROWS(Sheet1!$A$2:$A$46)))</f>
        <v>B017</v>
      </c>
      <c r="B930" s="2" t="s">
        <v>39</v>
      </c>
      <c r="C930" t="str">
        <f>_xlfn.XLOOKUP(B930, Sheet1!A:A, Sheet1!B:B)</f>
        <v>macadamia nut cookies</v>
      </c>
      <c r="D930">
        <f>_xlfn.XLOOKUP(B930,Sheet1!A:A,Sheet1!C:C)</f>
        <v>12</v>
      </c>
      <c r="E930">
        <f>_xlfn.XLOOKUP(B930,Sheet1!A:A,Sheet1!D:D)</f>
        <v>3.5</v>
      </c>
      <c r="F930">
        <f>_xlfn.XLOOKUP(Sheet3!B930,Sheet1!A:A,Sheet1!E:E)</f>
        <v>3</v>
      </c>
      <c r="G930">
        <f>_xlfn.XLOOKUP(B930,Sheet1!A:A,Sheet1!F:F)</f>
        <v>14</v>
      </c>
      <c r="H930" cm="1">
        <f t="array" aca="1" ref="H930" ca="1">INDEX(Sheet1!$G$2:$G$3, RANDBETWEEN(1, ROWS(Sheet1!$G$2:$G$3)))</f>
        <v>0</v>
      </c>
    </row>
    <row r="931" spans="1:8" x14ac:dyDescent="0.3">
      <c r="A931" s="2" t="str" cm="1">
        <f t="array" aca="1" ref="A931" ca="1">INDEX(Sheet1!$A$2:$A$46, RANDBETWEEN(1,ROWS(Sheet1!$A$2:$A$46)))</f>
        <v>B028</v>
      </c>
      <c r="B931" s="2" t="s">
        <v>67</v>
      </c>
      <c r="C931" t="str">
        <f>_xlfn.XLOOKUP(B931, Sheet1!A:A, Sheet1!B:B)</f>
        <v>seeded bread</v>
      </c>
      <c r="D931">
        <f>_xlfn.XLOOKUP(B931,Sheet1!A:A,Sheet1!C:C)</f>
        <v>8</v>
      </c>
      <c r="E931">
        <f>_xlfn.XLOOKUP(B931,Sheet1!A:A,Sheet1!D:D)</f>
        <v>3.5</v>
      </c>
      <c r="F931">
        <f>_xlfn.XLOOKUP(Sheet3!B931,Sheet1!A:A,Sheet1!E:E)</f>
        <v>3</v>
      </c>
      <c r="G931">
        <f>_xlfn.XLOOKUP(B931,Sheet1!A:A,Sheet1!F:F)</f>
        <v>8</v>
      </c>
      <c r="H931" cm="1">
        <f t="array" aca="1" ref="H931" ca="1">INDEX(Sheet1!$G$2:$G$3, RANDBETWEEN(1, ROWS(Sheet1!$G$2:$G$3)))</f>
        <v>0</v>
      </c>
    </row>
    <row r="932" spans="1:8" x14ac:dyDescent="0.3">
      <c r="A932" s="2" t="str" cm="1">
        <f t="array" aca="1" ref="A932" ca="1">INDEX(Sheet1!$A$2:$A$46, RANDBETWEEN(1,ROWS(Sheet1!$A$2:$A$46)))</f>
        <v>B028</v>
      </c>
      <c r="B932" s="2" t="s">
        <v>39</v>
      </c>
      <c r="C932" t="str">
        <f>_xlfn.XLOOKUP(B932, Sheet1!A:A, Sheet1!B:B)</f>
        <v>macadamia nut cookies</v>
      </c>
      <c r="D932">
        <f>_xlfn.XLOOKUP(B932,Sheet1!A:A,Sheet1!C:C)</f>
        <v>12</v>
      </c>
      <c r="E932">
        <f>_xlfn.XLOOKUP(B932,Sheet1!A:A,Sheet1!D:D)</f>
        <v>3.5</v>
      </c>
      <c r="F932">
        <f>_xlfn.XLOOKUP(Sheet3!B932,Sheet1!A:A,Sheet1!E:E)</f>
        <v>3</v>
      </c>
      <c r="G932">
        <f>_xlfn.XLOOKUP(B932,Sheet1!A:A,Sheet1!F:F)</f>
        <v>14</v>
      </c>
      <c r="H932" cm="1">
        <f t="array" aca="1" ref="H932" ca="1">INDEX(Sheet1!$G$2:$G$3, RANDBETWEEN(1, ROWS(Sheet1!$G$2:$G$3)))</f>
        <v>0</v>
      </c>
    </row>
    <row r="933" spans="1:8" x14ac:dyDescent="0.3">
      <c r="A933" s="2" t="str" cm="1">
        <f t="array" aca="1" ref="A933" ca="1">INDEX(Sheet1!$A$2:$A$46, RANDBETWEEN(1,ROWS(Sheet1!$A$2:$A$46)))</f>
        <v>B016</v>
      </c>
      <c r="B933" s="2" t="s">
        <v>90</v>
      </c>
      <c r="C933" t="str">
        <f>_xlfn.XLOOKUP(B933, Sheet1!A:A, Sheet1!B:B)</f>
        <v>mini brownies</v>
      </c>
      <c r="D933">
        <f>_xlfn.XLOOKUP(B933,Sheet1!A:A,Sheet1!C:C)</f>
        <v>12</v>
      </c>
      <c r="E933">
        <f>_xlfn.XLOOKUP(B933,Sheet1!A:A,Sheet1!D:D)</f>
        <v>4.5</v>
      </c>
      <c r="F933">
        <f>_xlfn.XLOOKUP(Sheet3!B933,Sheet1!A:A,Sheet1!E:E)</f>
        <v>4</v>
      </c>
      <c r="G933">
        <f>_xlfn.XLOOKUP(B933,Sheet1!A:A,Sheet1!F:F)</f>
        <v>14</v>
      </c>
      <c r="H933" cm="1">
        <f t="array" aca="1" ref="H933" ca="1">INDEX(Sheet1!$G$2:$G$3, RANDBETWEEN(1, ROWS(Sheet1!$G$2:$G$3)))</f>
        <v>0</v>
      </c>
    </row>
    <row r="934" spans="1:8" x14ac:dyDescent="0.3">
      <c r="A934" s="2" t="str" cm="1">
        <f t="array" aca="1" ref="A934" ca="1">INDEX(Sheet1!$A$2:$A$46, RANDBETWEEN(1,ROWS(Sheet1!$A$2:$A$46)))</f>
        <v>B022</v>
      </c>
      <c r="B934" s="2" t="s">
        <v>19</v>
      </c>
      <c r="C934" t="str">
        <f>_xlfn.XLOOKUP(B934, Sheet1!A:A, Sheet1!B:B)</f>
        <v>blueberry muffins</v>
      </c>
      <c r="D934">
        <f>_xlfn.XLOOKUP(B934,Sheet1!A:A,Sheet1!C:C)</f>
        <v>10</v>
      </c>
      <c r="E934">
        <f>_xlfn.XLOOKUP(B934,Sheet1!A:A,Sheet1!D:D)</f>
        <v>4.5</v>
      </c>
      <c r="F934">
        <f>_xlfn.XLOOKUP(Sheet3!B934,Sheet1!A:A,Sheet1!E:E)</f>
        <v>4</v>
      </c>
      <c r="G934">
        <f>_xlfn.XLOOKUP(B934,Sheet1!A:A,Sheet1!F:F)</f>
        <v>10</v>
      </c>
      <c r="H934" cm="1">
        <f t="array" aca="1" ref="H934" ca="1">INDEX(Sheet1!$G$2:$G$3, RANDBETWEEN(1, ROWS(Sheet1!$G$2:$G$3)))</f>
        <v>0</v>
      </c>
    </row>
    <row r="935" spans="1:8" x14ac:dyDescent="0.3">
      <c r="A935" s="2" t="str" cm="1">
        <f t="array" aca="1" ref="A935" ca="1">INDEX(Sheet1!$A$2:$A$46, RANDBETWEEN(1,ROWS(Sheet1!$A$2:$A$46)))</f>
        <v>B004</v>
      </c>
      <c r="B935" s="2" t="s">
        <v>58</v>
      </c>
      <c r="C935" t="str">
        <f>_xlfn.XLOOKUP(B935, Sheet1!A:A, Sheet1!B:B)</f>
        <v>cookies &amp; creme cupcakes</v>
      </c>
      <c r="D935">
        <f>_xlfn.XLOOKUP(B935,Sheet1!A:A,Sheet1!C:C)</f>
        <v>15</v>
      </c>
      <c r="E935">
        <f>_xlfn.XLOOKUP(B935,Sheet1!A:A,Sheet1!D:D)</f>
        <v>6</v>
      </c>
      <c r="F935">
        <f>_xlfn.XLOOKUP(Sheet3!B935,Sheet1!A:A,Sheet1!E:E)</f>
        <v>5.5</v>
      </c>
      <c r="G935">
        <f>_xlfn.XLOOKUP(B935,Sheet1!A:A,Sheet1!F:F)</f>
        <v>20</v>
      </c>
      <c r="H935" t="str" cm="1">
        <f t="array" aca="1" ref="H935" ca="1">INDEX(Sheet1!$G$2:$G$3, RANDBETWEEN(1, ROWS(Sheet1!$G$2:$G$3)))</f>
        <v>No</v>
      </c>
    </row>
    <row r="936" spans="1:8" x14ac:dyDescent="0.3">
      <c r="A936" s="2" t="str" cm="1">
        <f t="array" aca="1" ref="A936" ca="1">INDEX(Sheet1!$A$2:$A$46, RANDBETWEEN(1,ROWS(Sheet1!$A$2:$A$46)))</f>
        <v>B025</v>
      </c>
      <c r="B936" s="2" t="s">
        <v>57</v>
      </c>
      <c r="C936" t="str">
        <f>_xlfn.XLOOKUP(B936, Sheet1!A:A, Sheet1!B:B)</f>
        <v>vanilla cupcakes</v>
      </c>
      <c r="D936">
        <f>_xlfn.XLOOKUP(B936,Sheet1!A:A,Sheet1!C:C)</f>
        <v>8</v>
      </c>
      <c r="E936">
        <f>_xlfn.XLOOKUP(B936,Sheet1!A:A,Sheet1!D:D)</f>
        <v>6</v>
      </c>
      <c r="F936">
        <f>_xlfn.XLOOKUP(Sheet3!B936,Sheet1!A:A,Sheet1!E:E)</f>
        <v>5.5</v>
      </c>
      <c r="G936">
        <f>_xlfn.XLOOKUP(B936,Sheet1!A:A,Sheet1!F:F)</f>
        <v>20</v>
      </c>
      <c r="H936" t="str" cm="1">
        <f t="array" aca="1" ref="H936" ca="1">INDEX(Sheet1!$G$2:$G$3, RANDBETWEEN(1, ROWS(Sheet1!$G$2:$G$3)))</f>
        <v>No</v>
      </c>
    </row>
    <row r="937" spans="1:8" x14ac:dyDescent="0.3">
      <c r="A937" s="2" t="str" cm="1">
        <f t="array" aca="1" ref="A937" ca="1">INDEX(Sheet1!$A$2:$A$46, RANDBETWEEN(1,ROWS(Sheet1!$A$2:$A$46)))</f>
        <v>B004</v>
      </c>
      <c r="B937" s="2" t="s">
        <v>24</v>
      </c>
      <c r="C937" t="str">
        <f>_xlfn.XLOOKUP(B937, Sheet1!A:A, Sheet1!B:B)</f>
        <v>tiramisu</v>
      </c>
      <c r="D937">
        <f>_xlfn.XLOOKUP(B937,Sheet1!A:A,Sheet1!C:C)</f>
        <v>8</v>
      </c>
      <c r="E937">
        <f>_xlfn.XLOOKUP(B937,Sheet1!A:A,Sheet1!D:D)</f>
        <v>7.5</v>
      </c>
      <c r="F937">
        <f>_xlfn.XLOOKUP(Sheet3!B937,Sheet1!A:A,Sheet1!E:E)</f>
        <v>5.5</v>
      </c>
      <c r="G937">
        <f>_xlfn.XLOOKUP(B937,Sheet1!A:A,Sheet1!F:F)</f>
        <v>7</v>
      </c>
      <c r="H937" t="str" cm="1">
        <f t="array" aca="1" ref="H937" ca="1">INDEX(Sheet1!$G$2:$G$3, RANDBETWEEN(1, ROWS(Sheet1!$G$2:$G$3)))</f>
        <v>No</v>
      </c>
    </row>
    <row r="938" spans="1:8" x14ac:dyDescent="0.3">
      <c r="A938" s="2" t="str" cm="1">
        <f t="array" aca="1" ref="A938" ca="1">INDEX(Sheet1!$A$2:$A$46, RANDBETWEEN(1,ROWS(Sheet1!$A$2:$A$46)))</f>
        <v>B021</v>
      </c>
      <c r="B938" s="2" t="s">
        <v>79</v>
      </c>
      <c r="C938" t="str">
        <f>_xlfn.XLOOKUP(B938, Sheet1!A:A, Sheet1!B:B)</f>
        <v>chocolate square cake</v>
      </c>
      <c r="D938">
        <f>_xlfn.XLOOKUP(B938,Sheet1!A:A,Sheet1!C:C)</f>
        <v>8</v>
      </c>
      <c r="E938">
        <f>_xlfn.XLOOKUP(B938,Sheet1!A:A,Sheet1!D:D)</f>
        <v>2.5</v>
      </c>
      <c r="F938">
        <f>_xlfn.XLOOKUP(Sheet3!B938,Sheet1!A:A,Sheet1!E:E)</f>
        <v>2</v>
      </c>
      <c r="G938">
        <f>_xlfn.XLOOKUP(B938,Sheet1!A:A,Sheet1!F:F)</f>
        <v>5</v>
      </c>
      <c r="H938" t="str" cm="1">
        <f t="array" aca="1" ref="H938" ca="1">INDEX(Sheet1!$G$2:$G$3, RANDBETWEEN(1, ROWS(Sheet1!$G$2:$G$3)))</f>
        <v>No</v>
      </c>
    </row>
    <row r="939" spans="1:8" x14ac:dyDescent="0.3">
      <c r="A939" s="2" t="str" cm="1">
        <f t="array" aca="1" ref="A939" ca="1">INDEX(Sheet1!$A$2:$A$46, RANDBETWEEN(1,ROWS(Sheet1!$A$2:$A$46)))</f>
        <v>B034</v>
      </c>
      <c r="B939" s="2" t="s">
        <v>78</v>
      </c>
      <c r="C939" t="str">
        <f>_xlfn.XLOOKUP(B939, Sheet1!A:A, Sheet1!B:B)</f>
        <v>caramel pie</v>
      </c>
      <c r="D939">
        <f>_xlfn.XLOOKUP(B939,Sheet1!A:A,Sheet1!C:C)</f>
        <v>6</v>
      </c>
      <c r="E939">
        <f>_xlfn.XLOOKUP(B939,Sheet1!A:A,Sheet1!D:D)</f>
        <v>4</v>
      </c>
      <c r="F939">
        <f>_xlfn.XLOOKUP(Sheet3!B939,Sheet1!A:A,Sheet1!E:E)</f>
        <v>3</v>
      </c>
      <c r="G939">
        <f>_xlfn.XLOOKUP(B939,Sheet1!A:A,Sheet1!F:F)</f>
        <v>7</v>
      </c>
      <c r="H939" cm="1">
        <f t="array" aca="1" ref="H939" ca="1">INDEX(Sheet1!$G$2:$G$3, RANDBETWEEN(1, ROWS(Sheet1!$G$2:$G$3)))</f>
        <v>0</v>
      </c>
    </row>
    <row r="940" spans="1:8" x14ac:dyDescent="0.3">
      <c r="A940" s="2" t="str" cm="1">
        <f t="array" aca="1" ref="A940" ca="1">INDEX(Sheet1!$A$2:$A$46, RANDBETWEEN(1,ROWS(Sheet1!$A$2:$A$46)))</f>
        <v>B040</v>
      </c>
      <c r="B940" s="2" t="s">
        <v>19</v>
      </c>
      <c r="C940" t="str">
        <f>_xlfn.XLOOKUP(B940, Sheet1!A:A, Sheet1!B:B)</f>
        <v>blueberry muffins</v>
      </c>
      <c r="D940">
        <f>_xlfn.XLOOKUP(B940,Sheet1!A:A,Sheet1!C:C)</f>
        <v>10</v>
      </c>
      <c r="E940">
        <f>_xlfn.XLOOKUP(B940,Sheet1!A:A,Sheet1!D:D)</f>
        <v>4.5</v>
      </c>
      <c r="F940">
        <f>_xlfn.XLOOKUP(Sheet3!B940,Sheet1!A:A,Sheet1!E:E)</f>
        <v>4</v>
      </c>
      <c r="G940">
        <f>_xlfn.XLOOKUP(B940,Sheet1!A:A,Sheet1!F:F)</f>
        <v>10</v>
      </c>
      <c r="H940" cm="1">
        <f t="array" aca="1" ref="H940" ca="1">INDEX(Sheet1!$G$2:$G$3, RANDBETWEEN(1, ROWS(Sheet1!$G$2:$G$3)))</f>
        <v>0</v>
      </c>
    </row>
    <row r="941" spans="1:8" x14ac:dyDescent="0.3">
      <c r="A941" s="2" t="str" cm="1">
        <f t="array" aca="1" ref="A941" ca="1">INDEX(Sheet1!$A$2:$A$46, RANDBETWEEN(1,ROWS(Sheet1!$A$2:$A$46)))</f>
        <v>B007</v>
      </c>
      <c r="B941" s="2" t="s">
        <v>34</v>
      </c>
      <c r="C941" t="str">
        <f>_xlfn.XLOOKUP(B941, Sheet1!A:A, Sheet1!B:B)</f>
        <v>almond croissant</v>
      </c>
      <c r="D941">
        <f>_xlfn.XLOOKUP(B941,Sheet1!A:A,Sheet1!C:C)</f>
        <v>6</v>
      </c>
      <c r="E941">
        <f>_xlfn.XLOOKUP(B941,Sheet1!A:A,Sheet1!D:D)</f>
        <v>3.5</v>
      </c>
      <c r="F941">
        <f>_xlfn.XLOOKUP(Sheet3!B941,Sheet1!A:A,Sheet1!E:E)</f>
        <v>3</v>
      </c>
      <c r="G941">
        <f>_xlfn.XLOOKUP(B941,Sheet1!A:A,Sheet1!F:F)</f>
        <v>10</v>
      </c>
      <c r="H941" t="str" cm="1">
        <f t="array" aca="1" ref="H941" ca="1">INDEX(Sheet1!$G$2:$G$3, RANDBETWEEN(1, ROWS(Sheet1!$G$2:$G$3)))</f>
        <v>No</v>
      </c>
    </row>
    <row r="942" spans="1:8" x14ac:dyDescent="0.3">
      <c r="A942" s="2" t="str" cm="1">
        <f t="array" aca="1" ref="A942" ca="1">INDEX(Sheet1!$A$2:$A$46, RANDBETWEEN(1,ROWS(Sheet1!$A$2:$A$46)))</f>
        <v>B025</v>
      </c>
      <c r="B942" s="2" t="s">
        <v>63</v>
      </c>
      <c r="C942" t="str">
        <f>_xlfn.XLOOKUP(B942, Sheet1!A:A, Sheet1!B:B)</f>
        <v>chocolate sliced loaf cake</v>
      </c>
      <c r="D942">
        <f>_xlfn.XLOOKUP(B942,Sheet1!A:A,Sheet1!C:C)</f>
        <v>10</v>
      </c>
      <c r="E942">
        <f>_xlfn.XLOOKUP(B942,Sheet1!A:A,Sheet1!D:D)</f>
        <v>4</v>
      </c>
      <c r="F942">
        <f>_xlfn.XLOOKUP(Sheet3!B942,Sheet1!A:A,Sheet1!E:E)</f>
        <v>3.5</v>
      </c>
      <c r="G942">
        <f>_xlfn.XLOOKUP(B942,Sheet1!A:A,Sheet1!F:F)</f>
        <v>10</v>
      </c>
      <c r="H942" t="str" cm="1">
        <f t="array" aca="1" ref="H942" ca="1">INDEX(Sheet1!$G$2:$G$3, RANDBETWEEN(1, ROWS(Sheet1!$G$2:$G$3)))</f>
        <v>No</v>
      </c>
    </row>
    <row r="943" spans="1:8" x14ac:dyDescent="0.3">
      <c r="A943" s="2" t="str" cm="1">
        <f t="array" aca="1" ref="A943" ca="1">INDEX(Sheet1!$A$2:$A$46, RANDBETWEEN(1,ROWS(Sheet1!$A$2:$A$46)))</f>
        <v>B013</v>
      </c>
      <c r="B943" s="2" t="s">
        <v>10</v>
      </c>
      <c r="C943" t="str">
        <f>_xlfn.XLOOKUP(B943, Sheet1!A:A, Sheet1!B:B)</f>
        <v>croissant</v>
      </c>
      <c r="D943">
        <f>_xlfn.XLOOKUP(B943,Sheet1!A:A,Sheet1!C:C)</f>
        <v>10</v>
      </c>
      <c r="E943">
        <f>_xlfn.XLOOKUP(B943,Sheet1!A:A,Sheet1!D:D)</f>
        <v>5.5</v>
      </c>
      <c r="F943">
        <f>_xlfn.XLOOKUP(Sheet3!B943,Sheet1!A:A,Sheet1!E:E)</f>
        <v>4.5</v>
      </c>
      <c r="G943">
        <f>_xlfn.XLOOKUP(B943,Sheet1!A:A,Sheet1!F:F)</f>
        <v>7</v>
      </c>
      <c r="H943" t="str" cm="1">
        <f t="array" aca="1" ref="H943" ca="1">INDEX(Sheet1!$G$2:$G$3, RANDBETWEEN(1, ROWS(Sheet1!$G$2:$G$3)))</f>
        <v>No</v>
      </c>
    </row>
    <row r="944" spans="1:8" x14ac:dyDescent="0.3">
      <c r="A944" s="2" t="str" cm="1">
        <f t="array" aca="1" ref="A944" ca="1">INDEX(Sheet1!$A$2:$A$46, RANDBETWEEN(1,ROWS(Sheet1!$A$2:$A$46)))</f>
        <v>B041</v>
      </c>
      <c r="B944" s="2" t="s">
        <v>81</v>
      </c>
      <c r="C944" t="str">
        <f>_xlfn.XLOOKUP(B944, Sheet1!A:A, Sheet1!B:B)</f>
        <v>red velvet square cake</v>
      </c>
      <c r="D944">
        <f>_xlfn.XLOOKUP(B944,Sheet1!A:A,Sheet1!C:C)</f>
        <v>8</v>
      </c>
      <c r="E944">
        <f>_xlfn.XLOOKUP(B944,Sheet1!A:A,Sheet1!D:D)</f>
        <v>2.5</v>
      </c>
      <c r="F944">
        <f>_xlfn.XLOOKUP(Sheet3!B944,Sheet1!A:A,Sheet1!E:E)</f>
        <v>2</v>
      </c>
      <c r="G944">
        <f>_xlfn.XLOOKUP(B944,Sheet1!A:A,Sheet1!F:F)</f>
        <v>5</v>
      </c>
      <c r="H944" cm="1">
        <f t="array" aca="1" ref="H944" ca="1">INDEX(Sheet1!$G$2:$G$3, RANDBETWEEN(1, ROWS(Sheet1!$G$2:$G$3)))</f>
        <v>0</v>
      </c>
    </row>
    <row r="945" spans="1:8" x14ac:dyDescent="0.3">
      <c r="A945" s="2" t="str" cm="1">
        <f t="array" aca="1" ref="A945" ca="1">INDEX(Sheet1!$A$2:$A$46, RANDBETWEEN(1,ROWS(Sheet1!$A$2:$A$46)))</f>
        <v>B042</v>
      </c>
      <c r="B945" s="2" t="s">
        <v>60</v>
      </c>
      <c r="C945" t="str">
        <f>_xlfn.XLOOKUP(B945, Sheet1!A:A, Sheet1!B:B)</f>
        <v>banana nut sliced loaf cake</v>
      </c>
      <c r="D945">
        <f>_xlfn.XLOOKUP(B945,Sheet1!A:A,Sheet1!C:C)</f>
        <v>10</v>
      </c>
      <c r="E945">
        <f>_xlfn.XLOOKUP(B945,Sheet1!A:A,Sheet1!D:D)</f>
        <v>4</v>
      </c>
      <c r="F945">
        <f>_xlfn.XLOOKUP(Sheet3!B945,Sheet1!A:A,Sheet1!E:E)</f>
        <v>3.5</v>
      </c>
      <c r="G945">
        <f>_xlfn.XLOOKUP(B945,Sheet1!A:A,Sheet1!F:F)</f>
        <v>10</v>
      </c>
      <c r="H945" cm="1">
        <f t="array" aca="1" ref="H945" ca="1">INDEX(Sheet1!$G$2:$G$3, RANDBETWEEN(1, ROWS(Sheet1!$G$2:$G$3)))</f>
        <v>0</v>
      </c>
    </row>
    <row r="946" spans="1:8" x14ac:dyDescent="0.3">
      <c r="A946" s="2" t="str" cm="1">
        <f t="array" aca="1" ref="A946" ca="1">INDEX(Sheet1!$A$2:$A$46, RANDBETWEEN(1,ROWS(Sheet1!$A$2:$A$46)))</f>
        <v>B031</v>
      </c>
      <c r="B946" s="2" t="s">
        <v>62</v>
      </c>
      <c r="C946" t="str">
        <f>_xlfn.XLOOKUP(B946, Sheet1!A:A, Sheet1!B:B)</f>
        <v>vanilla sliced loaf cake</v>
      </c>
      <c r="D946">
        <f>_xlfn.XLOOKUP(B946,Sheet1!A:A,Sheet1!C:C)</f>
        <v>10</v>
      </c>
      <c r="E946">
        <f>_xlfn.XLOOKUP(B946,Sheet1!A:A,Sheet1!D:D)</f>
        <v>4</v>
      </c>
      <c r="F946">
        <f>_xlfn.XLOOKUP(Sheet3!B946,Sheet1!A:A,Sheet1!E:E)</f>
        <v>3.5</v>
      </c>
      <c r="G946">
        <f>_xlfn.XLOOKUP(B946,Sheet1!A:A,Sheet1!F:F)</f>
        <v>10</v>
      </c>
      <c r="H946" t="str" cm="1">
        <f t="array" aca="1" ref="H946" ca="1">INDEX(Sheet1!$G$2:$G$3, RANDBETWEEN(1, ROWS(Sheet1!$G$2:$G$3)))</f>
        <v>No</v>
      </c>
    </row>
    <row r="947" spans="1:8" x14ac:dyDescent="0.3">
      <c r="A947" s="2" t="str" cm="1">
        <f t="array" aca="1" ref="A947" ca="1">INDEX(Sheet1!$A$2:$A$46, RANDBETWEEN(1,ROWS(Sheet1!$A$2:$A$46)))</f>
        <v>B001</v>
      </c>
      <c r="B947" s="2" t="s">
        <v>58</v>
      </c>
      <c r="C947" t="str">
        <f>_xlfn.XLOOKUP(B947, Sheet1!A:A, Sheet1!B:B)</f>
        <v>cookies &amp; creme cupcakes</v>
      </c>
      <c r="D947">
        <f>_xlfn.XLOOKUP(B947,Sheet1!A:A,Sheet1!C:C)</f>
        <v>15</v>
      </c>
      <c r="E947">
        <f>_xlfn.XLOOKUP(B947,Sheet1!A:A,Sheet1!D:D)</f>
        <v>6</v>
      </c>
      <c r="F947">
        <f>_xlfn.XLOOKUP(Sheet3!B947,Sheet1!A:A,Sheet1!E:E)</f>
        <v>5.5</v>
      </c>
      <c r="G947">
        <f>_xlfn.XLOOKUP(B947,Sheet1!A:A,Sheet1!F:F)</f>
        <v>20</v>
      </c>
      <c r="H947" t="str" cm="1">
        <f t="array" aca="1" ref="H947" ca="1">INDEX(Sheet1!$G$2:$G$3, RANDBETWEEN(1, ROWS(Sheet1!$G$2:$G$3)))</f>
        <v>No</v>
      </c>
    </row>
    <row r="948" spans="1:8" x14ac:dyDescent="0.3">
      <c r="A948" s="2" t="str" cm="1">
        <f t="array" aca="1" ref="A948" ca="1">INDEX(Sheet1!$A$2:$A$46, RANDBETWEEN(1,ROWS(Sheet1!$A$2:$A$46)))</f>
        <v>B001</v>
      </c>
      <c r="B948" s="2" t="s">
        <v>41</v>
      </c>
      <c r="C948" t="str">
        <f>_xlfn.XLOOKUP(B948, Sheet1!A:A, Sheet1!B:B)</f>
        <v>frosted blue cookies</v>
      </c>
      <c r="D948">
        <f>_xlfn.XLOOKUP(B948,Sheet1!A:A,Sheet1!C:C)</f>
        <v>15</v>
      </c>
      <c r="E948">
        <f>_xlfn.XLOOKUP(B948,Sheet1!A:A,Sheet1!D:D)</f>
        <v>3</v>
      </c>
      <c r="F948">
        <f>_xlfn.XLOOKUP(Sheet3!B948,Sheet1!A:A,Sheet1!E:E)</f>
        <v>2.5</v>
      </c>
      <c r="G948">
        <f>_xlfn.XLOOKUP(B948,Sheet1!A:A,Sheet1!F:F)</f>
        <v>14</v>
      </c>
      <c r="H948" t="str" cm="1">
        <f t="array" aca="1" ref="H948" ca="1">INDEX(Sheet1!$G$2:$G$3, RANDBETWEEN(1, ROWS(Sheet1!$G$2:$G$3)))</f>
        <v>No</v>
      </c>
    </row>
    <row r="949" spans="1:8" x14ac:dyDescent="0.3">
      <c r="A949" s="2" t="str" cm="1">
        <f t="array" aca="1" ref="A949" ca="1">INDEX(Sheet1!$A$2:$A$46, RANDBETWEEN(1,ROWS(Sheet1!$A$2:$A$46)))</f>
        <v>B019</v>
      </c>
      <c r="B949" s="2" t="s">
        <v>34</v>
      </c>
      <c r="C949" t="str">
        <f>_xlfn.XLOOKUP(B949, Sheet1!A:A, Sheet1!B:B)</f>
        <v>almond croissant</v>
      </c>
      <c r="D949">
        <f>_xlfn.XLOOKUP(B949,Sheet1!A:A,Sheet1!C:C)</f>
        <v>6</v>
      </c>
      <c r="E949">
        <f>_xlfn.XLOOKUP(B949,Sheet1!A:A,Sheet1!D:D)</f>
        <v>3.5</v>
      </c>
      <c r="F949">
        <f>_xlfn.XLOOKUP(Sheet3!B949,Sheet1!A:A,Sheet1!E:E)</f>
        <v>3</v>
      </c>
      <c r="G949">
        <f>_xlfn.XLOOKUP(B949,Sheet1!A:A,Sheet1!F:F)</f>
        <v>10</v>
      </c>
      <c r="H949" t="str" cm="1">
        <f t="array" aca="1" ref="H949" ca="1">INDEX(Sheet1!$G$2:$G$3, RANDBETWEEN(1, ROWS(Sheet1!$G$2:$G$3)))</f>
        <v>No</v>
      </c>
    </row>
    <row r="950" spans="1:8" x14ac:dyDescent="0.3">
      <c r="A950" s="2" t="str" cm="1">
        <f t="array" aca="1" ref="A950" ca="1">INDEX(Sheet1!$A$2:$A$46, RANDBETWEEN(1,ROWS(Sheet1!$A$2:$A$46)))</f>
        <v>B008</v>
      </c>
      <c r="B950" s="2" t="s">
        <v>92</v>
      </c>
      <c r="C950" t="str">
        <f>_xlfn.XLOOKUP(B950, Sheet1!A:A, Sheet1!B:B)</f>
        <v>square brownies</v>
      </c>
      <c r="D950">
        <f>_xlfn.XLOOKUP(B950,Sheet1!A:A,Sheet1!C:C)</f>
        <v>6</v>
      </c>
      <c r="E950">
        <f>_xlfn.XLOOKUP(B950,Sheet1!A:A,Sheet1!D:D)</f>
        <v>4.5</v>
      </c>
      <c r="F950">
        <f>_xlfn.XLOOKUP(Sheet3!B950,Sheet1!A:A,Sheet1!E:E)</f>
        <v>4</v>
      </c>
      <c r="G950">
        <f>_xlfn.XLOOKUP(B950,Sheet1!A:A,Sheet1!F:F)</f>
        <v>14</v>
      </c>
      <c r="H950" cm="1">
        <f t="array" aca="1" ref="H950" ca="1">INDEX(Sheet1!$G$2:$G$3, RANDBETWEEN(1, ROWS(Sheet1!$G$2:$G$3)))</f>
        <v>0</v>
      </c>
    </row>
    <row r="951" spans="1:8" x14ac:dyDescent="0.3">
      <c r="A951" s="2" t="str" cm="1">
        <f t="array" aca="1" ref="A951" ca="1">INDEX(Sheet1!$A$2:$A$46, RANDBETWEEN(1,ROWS(Sheet1!$A$2:$A$46)))</f>
        <v>B029</v>
      </c>
      <c r="B951" s="2" t="s">
        <v>38</v>
      </c>
      <c r="C951" t="str">
        <f>_xlfn.XLOOKUP(B951, Sheet1!A:A, Sheet1!B:B)</f>
        <v>snickerdoodle cookies</v>
      </c>
      <c r="D951">
        <f>_xlfn.XLOOKUP(B951,Sheet1!A:A,Sheet1!C:C)</f>
        <v>12</v>
      </c>
      <c r="E951">
        <f>_xlfn.XLOOKUP(B951,Sheet1!A:A,Sheet1!D:D)</f>
        <v>3.5</v>
      </c>
      <c r="F951">
        <f>_xlfn.XLOOKUP(Sheet3!B951,Sheet1!A:A,Sheet1!E:E)</f>
        <v>3</v>
      </c>
      <c r="G951">
        <f>_xlfn.XLOOKUP(B951,Sheet1!A:A,Sheet1!F:F)</f>
        <v>14</v>
      </c>
      <c r="H951" cm="1">
        <f t="array" aca="1" ref="H951" ca="1">INDEX(Sheet1!$G$2:$G$3, RANDBETWEEN(1, ROWS(Sheet1!$G$2:$G$3)))</f>
        <v>0</v>
      </c>
    </row>
    <row r="952" spans="1:8" x14ac:dyDescent="0.3">
      <c r="A952" s="2" t="str" cm="1">
        <f t="array" aca="1" ref="A952" ca="1">INDEX(Sheet1!$A$2:$A$46, RANDBETWEEN(1,ROWS(Sheet1!$A$2:$A$46)))</f>
        <v>B029</v>
      </c>
      <c r="B952" s="2" t="s">
        <v>61</v>
      </c>
      <c r="C952" t="str">
        <f>_xlfn.XLOOKUP(B952, Sheet1!A:A, Sheet1!B:B)</f>
        <v>marble sliced loaf cake</v>
      </c>
      <c r="D952">
        <f>_xlfn.XLOOKUP(B952,Sheet1!A:A,Sheet1!C:C)</f>
        <v>10</v>
      </c>
      <c r="E952">
        <f>_xlfn.XLOOKUP(B952,Sheet1!A:A,Sheet1!D:D)</f>
        <v>4</v>
      </c>
      <c r="F952">
        <f>_xlfn.XLOOKUP(Sheet3!B952,Sheet1!A:A,Sheet1!E:E)</f>
        <v>3.5</v>
      </c>
      <c r="G952">
        <f>_xlfn.XLOOKUP(B952,Sheet1!A:A,Sheet1!F:F)</f>
        <v>10</v>
      </c>
      <c r="H952" t="str" cm="1">
        <f t="array" aca="1" ref="H952" ca="1">INDEX(Sheet1!$G$2:$G$3, RANDBETWEEN(1, ROWS(Sheet1!$G$2:$G$3)))</f>
        <v>No</v>
      </c>
    </row>
    <row r="953" spans="1:8" x14ac:dyDescent="0.3">
      <c r="A953" s="2" t="str" cm="1">
        <f t="array" aca="1" ref="A953" ca="1">INDEX(Sheet1!$A$2:$A$46, RANDBETWEEN(1,ROWS(Sheet1!$A$2:$A$46)))</f>
        <v>B004</v>
      </c>
      <c r="B953" s="2" t="s">
        <v>92</v>
      </c>
      <c r="C953" t="str">
        <f>_xlfn.XLOOKUP(B953, Sheet1!A:A, Sheet1!B:B)</f>
        <v>square brownies</v>
      </c>
      <c r="D953">
        <f>_xlfn.XLOOKUP(B953,Sheet1!A:A,Sheet1!C:C)</f>
        <v>6</v>
      </c>
      <c r="E953">
        <f>_xlfn.XLOOKUP(B953,Sheet1!A:A,Sheet1!D:D)</f>
        <v>4.5</v>
      </c>
      <c r="F953">
        <f>_xlfn.XLOOKUP(Sheet3!B953,Sheet1!A:A,Sheet1!E:E)</f>
        <v>4</v>
      </c>
      <c r="G953">
        <f>_xlfn.XLOOKUP(B953,Sheet1!A:A,Sheet1!F:F)</f>
        <v>14</v>
      </c>
      <c r="H953" t="str" cm="1">
        <f t="array" aca="1" ref="H953" ca="1">INDEX(Sheet1!$G$2:$G$3, RANDBETWEEN(1, ROWS(Sheet1!$G$2:$G$3)))</f>
        <v>No</v>
      </c>
    </row>
    <row r="954" spans="1:8" x14ac:dyDescent="0.3">
      <c r="A954" s="2" t="str" cm="1">
        <f t="array" aca="1" ref="A954" ca="1">INDEX(Sheet1!$A$2:$A$46, RANDBETWEEN(1,ROWS(Sheet1!$A$2:$A$46)))</f>
        <v>B008</v>
      </c>
      <c r="B954" s="2" t="s">
        <v>60</v>
      </c>
      <c r="C954" t="str">
        <f>_xlfn.XLOOKUP(B954, Sheet1!A:A, Sheet1!B:B)</f>
        <v>banana nut sliced loaf cake</v>
      </c>
      <c r="D954">
        <f>_xlfn.XLOOKUP(B954,Sheet1!A:A,Sheet1!C:C)</f>
        <v>10</v>
      </c>
      <c r="E954">
        <f>_xlfn.XLOOKUP(B954,Sheet1!A:A,Sheet1!D:D)</f>
        <v>4</v>
      </c>
      <c r="F954">
        <f>_xlfn.XLOOKUP(Sheet3!B954,Sheet1!A:A,Sheet1!E:E)</f>
        <v>3.5</v>
      </c>
      <c r="G954">
        <f>_xlfn.XLOOKUP(B954,Sheet1!A:A,Sheet1!F:F)</f>
        <v>10</v>
      </c>
      <c r="H954" t="str" cm="1">
        <f t="array" aca="1" ref="H954" ca="1">INDEX(Sheet1!$G$2:$G$3, RANDBETWEEN(1, ROWS(Sheet1!$G$2:$G$3)))</f>
        <v>No</v>
      </c>
    </row>
    <row r="955" spans="1:8" x14ac:dyDescent="0.3">
      <c r="A955" s="2" t="str" cm="1">
        <f t="array" aca="1" ref="A955" ca="1">INDEX(Sheet1!$A$2:$A$46, RANDBETWEEN(1,ROWS(Sheet1!$A$2:$A$46)))</f>
        <v>B001</v>
      </c>
      <c r="B955" s="2" t="s">
        <v>22</v>
      </c>
      <c r="C955" t="str">
        <f>_xlfn.XLOOKUP(B955, Sheet1!A:A, Sheet1!B:B)</f>
        <v>chocolate chip cookies</v>
      </c>
      <c r="D955">
        <f>_xlfn.XLOOKUP(B955,Sheet1!A:A,Sheet1!C:C)</f>
        <v>12</v>
      </c>
      <c r="E955">
        <f>_xlfn.XLOOKUP(B955,Sheet1!A:A,Sheet1!D:D)</f>
        <v>3.5</v>
      </c>
      <c r="F955">
        <f>_xlfn.XLOOKUP(Sheet3!B955,Sheet1!A:A,Sheet1!E:E)</f>
        <v>3</v>
      </c>
      <c r="G955">
        <f>_xlfn.XLOOKUP(B955,Sheet1!A:A,Sheet1!F:F)</f>
        <v>14</v>
      </c>
      <c r="H955" t="str" cm="1">
        <f t="array" aca="1" ref="H955" ca="1">INDEX(Sheet1!$G$2:$G$3, RANDBETWEEN(1, ROWS(Sheet1!$G$2:$G$3)))</f>
        <v>No</v>
      </c>
    </row>
    <row r="956" spans="1:8" x14ac:dyDescent="0.3">
      <c r="A956" s="2" t="str" cm="1">
        <f t="array" aca="1" ref="A956" ca="1">INDEX(Sheet1!$A$2:$A$46, RANDBETWEEN(1,ROWS(Sheet1!$A$2:$A$46)))</f>
        <v>B040</v>
      </c>
      <c r="B956" s="2" t="s">
        <v>65</v>
      </c>
      <c r="C956" t="str">
        <f>_xlfn.XLOOKUP(B956, Sheet1!A:A, Sheet1!B:B)</f>
        <v>sourdough bread</v>
      </c>
      <c r="D956">
        <f>_xlfn.XLOOKUP(B956,Sheet1!A:A,Sheet1!C:C)</f>
        <v>10</v>
      </c>
      <c r="E956">
        <f>_xlfn.XLOOKUP(B956,Sheet1!A:A,Sheet1!D:D)</f>
        <v>3.5</v>
      </c>
      <c r="F956">
        <f>_xlfn.XLOOKUP(Sheet3!B956,Sheet1!A:A,Sheet1!E:E)</f>
        <v>3</v>
      </c>
      <c r="G956">
        <f>_xlfn.XLOOKUP(B956,Sheet1!A:A,Sheet1!F:F)</f>
        <v>8</v>
      </c>
      <c r="H956" t="str" cm="1">
        <f t="array" aca="1" ref="H956" ca="1">INDEX(Sheet1!$G$2:$G$3, RANDBETWEEN(1, ROWS(Sheet1!$G$2:$G$3)))</f>
        <v>No</v>
      </c>
    </row>
    <row r="957" spans="1:8" x14ac:dyDescent="0.3">
      <c r="A957" s="2" t="str" cm="1">
        <f t="array" aca="1" ref="A957" ca="1">INDEX(Sheet1!$A$2:$A$46, RANDBETWEEN(1,ROWS(Sheet1!$A$2:$A$46)))</f>
        <v>B029</v>
      </c>
      <c r="B957" s="2" t="s">
        <v>70</v>
      </c>
      <c r="C957" t="str">
        <f>_xlfn.XLOOKUP(B957, Sheet1!A:A, Sheet1!B:B)</f>
        <v>pumpkin pie</v>
      </c>
      <c r="D957">
        <f>_xlfn.XLOOKUP(B957,Sheet1!A:A,Sheet1!C:C)</f>
        <v>6</v>
      </c>
      <c r="E957">
        <f>_xlfn.XLOOKUP(B957,Sheet1!A:A,Sheet1!D:D)</f>
        <v>4</v>
      </c>
      <c r="F957">
        <f>_xlfn.XLOOKUP(Sheet3!B957,Sheet1!A:A,Sheet1!E:E)</f>
        <v>3</v>
      </c>
      <c r="G957">
        <f>_xlfn.XLOOKUP(B957,Sheet1!A:A,Sheet1!F:F)</f>
        <v>7</v>
      </c>
      <c r="H957" cm="1">
        <f t="array" aca="1" ref="H957" ca="1">INDEX(Sheet1!$G$2:$G$3, RANDBETWEEN(1, ROWS(Sheet1!$G$2:$G$3)))</f>
        <v>0</v>
      </c>
    </row>
    <row r="958" spans="1:8" x14ac:dyDescent="0.3">
      <c r="A958" s="2" t="str" cm="1">
        <f t="array" aca="1" ref="A958" ca="1">INDEX(Sheet1!$A$2:$A$46, RANDBETWEEN(1,ROWS(Sheet1!$A$2:$A$46)))</f>
        <v>B038</v>
      </c>
      <c r="B958" s="2" t="s">
        <v>92</v>
      </c>
      <c r="C958" t="str">
        <f>_xlfn.XLOOKUP(B958, Sheet1!A:A, Sheet1!B:B)</f>
        <v>square brownies</v>
      </c>
      <c r="D958">
        <f>_xlfn.XLOOKUP(B958,Sheet1!A:A,Sheet1!C:C)</f>
        <v>6</v>
      </c>
      <c r="E958">
        <f>_xlfn.XLOOKUP(B958,Sheet1!A:A,Sheet1!D:D)</f>
        <v>4.5</v>
      </c>
      <c r="F958">
        <f>_xlfn.XLOOKUP(Sheet3!B958,Sheet1!A:A,Sheet1!E:E)</f>
        <v>4</v>
      </c>
      <c r="G958">
        <f>_xlfn.XLOOKUP(B958,Sheet1!A:A,Sheet1!F:F)</f>
        <v>14</v>
      </c>
      <c r="H958" cm="1">
        <f t="array" aca="1" ref="H958" ca="1">INDEX(Sheet1!$G$2:$G$3, RANDBETWEEN(1, ROWS(Sheet1!$G$2:$G$3)))</f>
        <v>0</v>
      </c>
    </row>
    <row r="959" spans="1:8" x14ac:dyDescent="0.3">
      <c r="A959" s="2" t="str" cm="1">
        <f t="array" aca="1" ref="A959" ca="1">INDEX(Sheet1!$A$2:$A$46, RANDBETWEEN(1,ROWS(Sheet1!$A$2:$A$46)))</f>
        <v>B011</v>
      </c>
      <c r="B959" s="2" t="s">
        <v>89</v>
      </c>
      <c r="C959" t="str">
        <f>_xlfn.XLOOKUP(B959, Sheet1!A:A, Sheet1!B:B)</f>
        <v>blueberry bagels</v>
      </c>
      <c r="D959">
        <f>_xlfn.XLOOKUP(B959,Sheet1!A:A,Sheet1!C:C)</f>
        <v>8</v>
      </c>
      <c r="E959">
        <f>_xlfn.XLOOKUP(B959,Sheet1!A:A,Sheet1!D:D)</f>
        <v>3.5</v>
      </c>
      <c r="F959">
        <f>_xlfn.XLOOKUP(Sheet3!B959,Sheet1!A:A,Sheet1!E:E)</f>
        <v>3</v>
      </c>
      <c r="G959">
        <f>_xlfn.XLOOKUP(B959,Sheet1!A:A,Sheet1!F:F)</f>
        <v>8</v>
      </c>
      <c r="H959" t="str" cm="1">
        <f t="array" aca="1" ref="H959" ca="1">INDEX(Sheet1!$G$2:$G$3, RANDBETWEEN(1, ROWS(Sheet1!$G$2:$G$3)))</f>
        <v>No</v>
      </c>
    </row>
    <row r="960" spans="1:8" x14ac:dyDescent="0.3">
      <c r="A960" s="2" t="str" cm="1">
        <f t="array" aca="1" ref="A960" ca="1">INDEX(Sheet1!$A$2:$A$46, RANDBETWEEN(1,ROWS(Sheet1!$A$2:$A$46)))</f>
        <v>B005</v>
      </c>
      <c r="B960" s="2" t="s">
        <v>67</v>
      </c>
      <c r="C960" t="str">
        <f>_xlfn.XLOOKUP(B960, Sheet1!A:A, Sheet1!B:B)</f>
        <v>seeded bread</v>
      </c>
      <c r="D960">
        <f>_xlfn.XLOOKUP(B960,Sheet1!A:A,Sheet1!C:C)</f>
        <v>8</v>
      </c>
      <c r="E960">
        <f>_xlfn.XLOOKUP(B960,Sheet1!A:A,Sheet1!D:D)</f>
        <v>3.5</v>
      </c>
      <c r="F960">
        <f>_xlfn.XLOOKUP(Sheet3!B960,Sheet1!A:A,Sheet1!E:E)</f>
        <v>3</v>
      </c>
      <c r="G960">
        <f>_xlfn.XLOOKUP(B960,Sheet1!A:A,Sheet1!F:F)</f>
        <v>8</v>
      </c>
      <c r="H960" cm="1">
        <f t="array" aca="1" ref="H960" ca="1">INDEX(Sheet1!$G$2:$G$3, RANDBETWEEN(1, ROWS(Sheet1!$G$2:$G$3)))</f>
        <v>0</v>
      </c>
    </row>
    <row r="961" spans="1:8" x14ac:dyDescent="0.3">
      <c r="A961" s="2" t="str" cm="1">
        <f t="array" aca="1" ref="A961" ca="1">INDEX(Sheet1!$A$2:$A$46, RANDBETWEEN(1,ROWS(Sheet1!$A$2:$A$46)))</f>
        <v>B016</v>
      </c>
      <c r="B961" s="2" t="s">
        <v>72</v>
      </c>
      <c r="C961" t="str">
        <f>_xlfn.XLOOKUP(B961, Sheet1!A:A, Sheet1!B:B)</f>
        <v>cherry pie</v>
      </c>
      <c r="D961">
        <f>_xlfn.XLOOKUP(B961,Sheet1!A:A,Sheet1!C:C)</f>
        <v>6</v>
      </c>
      <c r="E961">
        <f>_xlfn.XLOOKUP(B961,Sheet1!A:A,Sheet1!D:D)</f>
        <v>4</v>
      </c>
      <c r="F961">
        <f>_xlfn.XLOOKUP(Sheet3!B961,Sheet1!A:A,Sheet1!E:E)</f>
        <v>3</v>
      </c>
      <c r="G961">
        <f>_xlfn.XLOOKUP(B961,Sheet1!A:A,Sheet1!F:F)</f>
        <v>7</v>
      </c>
      <c r="H961" cm="1">
        <f t="array" aca="1" ref="H961" ca="1">INDEX(Sheet1!$G$2:$G$3, RANDBETWEEN(1, ROWS(Sheet1!$G$2:$G$3)))</f>
        <v>0</v>
      </c>
    </row>
    <row r="962" spans="1:8" x14ac:dyDescent="0.3">
      <c r="A962" s="2" t="str" cm="1">
        <f t="array" aca="1" ref="A962" ca="1">INDEX(Sheet1!$A$2:$A$46, RANDBETWEEN(1,ROWS(Sheet1!$A$2:$A$46)))</f>
        <v>B039</v>
      </c>
      <c r="B962" s="2" t="s">
        <v>81</v>
      </c>
      <c r="C962" t="str">
        <f>_xlfn.XLOOKUP(B962, Sheet1!A:A, Sheet1!B:B)</f>
        <v>red velvet square cake</v>
      </c>
      <c r="D962">
        <f>_xlfn.XLOOKUP(B962,Sheet1!A:A,Sheet1!C:C)</f>
        <v>8</v>
      </c>
      <c r="E962">
        <f>_xlfn.XLOOKUP(B962,Sheet1!A:A,Sheet1!D:D)</f>
        <v>2.5</v>
      </c>
      <c r="F962">
        <f>_xlfn.XLOOKUP(Sheet3!B962,Sheet1!A:A,Sheet1!E:E)</f>
        <v>2</v>
      </c>
      <c r="G962">
        <f>_xlfn.XLOOKUP(B962,Sheet1!A:A,Sheet1!F:F)</f>
        <v>5</v>
      </c>
      <c r="H962" cm="1">
        <f t="array" aca="1" ref="H962" ca="1">INDEX(Sheet1!$G$2:$G$3, RANDBETWEEN(1, ROWS(Sheet1!$G$2:$G$3)))</f>
        <v>0</v>
      </c>
    </row>
    <row r="963" spans="1:8" x14ac:dyDescent="0.3">
      <c r="A963" s="2" t="str" cm="1">
        <f t="array" aca="1" ref="A963" ca="1">INDEX(Sheet1!$A$2:$A$46, RANDBETWEEN(1,ROWS(Sheet1!$A$2:$A$46)))</f>
        <v>B040</v>
      </c>
      <c r="B963" s="2" t="s">
        <v>58</v>
      </c>
      <c r="C963" t="str">
        <f>_xlfn.XLOOKUP(B963, Sheet1!A:A, Sheet1!B:B)</f>
        <v>cookies &amp; creme cupcakes</v>
      </c>
      <c r="D963">
        <f>_xlfn.XLOOKUP(B963,Sheet1!A:A,Sheet1!C:C)</f>
        <v>15</v>
      </c>
      <c r="E963">
        <f>_xlfn.XLOOKUP(B963,Sheet1!A:A,Sheet1!D:D)</f>
        <v>6</v>
      </c>
      <c r="F963">
        <f>_xlfn.XLOOKUP(Sheet3!B963,Sheet1!A:A,Sheet1!E:E)</f>
        <v>5.5</v>
      </c>
      <c r="G963">
        <f>_xlfn.XLOOKUP(B963,Sheet1!A:A,Sheet1!F:F)</f>
        <v>20</v>
      </c>
      <c r="H963" cm="1">
        <f t="array" aca="1" ref="H963" ca="1">INDEX(Sheet1!$G$2:$G$3, RANDBETWEEN(1, ROWS(Sheet1!$G$2:$G$3)))</f>
        <v>0</v>
      </c>
    </row>
    <row r="964" spans="1:8" x14ac:dyDescent="0.3">
      <c r="A964" s="2" t="str" cm="1">
        <f t="array" aca="1" ref="A964" ca="1">INDEX(Sheet1!$A$2:$A$46, RANDBETWEEN(1,ROWS(Sheet1!$A$2:$A$46)))</f>
        <v>B001</v>
      </c>
      <c r="B964" s="2" t="s">
        <v>16</v>
      </c>
      <c r="C964" t="str">
        <f>_xlfn.XLOOKUP(B964, Sheet1!A:A, Sheet1!B:B)</f>
        <v>mini croissant</v>
      </c>
      <c r="D964">
        <f>_xlfn.XLOOKUP(B964,Sheet1!A:A,Sheet1!C:C)</f>
        <v>10</v>
      </c>
      <c r="E964">
        <f>_xlfn.XLOOKUP(B964,Sheet1!A:A,Sheet1!D:D)</f>
        <v>5.5</v>
      </c>
      <c r="F964">
        <f>_xlfn.XLOOKUP(Sheet3!B964,Sheet1!A:A,Sheet1!E:E)</f>
        <v>4.5</v>
      </c>
      <c r="G964">
        <f>_xlfn.XLOOKUP(B964,Sheet1!A:A,Sheet1!F:F)</f>
        <v>7</v>
      </c>
      <c r="H964" cm="1">
        <f t="array" aca="1" ref="H964" ca="1">INDEX(Sheet1!$G$2:$G$3, RANDBETWEEN(1, ROWS(Sheet1!$G$2:$G$3)))</f>
        <v>0</v>
      </c>
    </row>
    <row r="965" spans="1:8" x14ac:dyDescent="0.3">
      <c r="A965" s="2" t="str" cm="1">
        <f t="array" aca="1" ref="A965" ca="1">INDEX(Sheet1!$A$2:$A$46, RANDBETWEEN(1,ROWS(Sheet1!$A$2:$A$46)))</f>
        <v>B045</v>
      </c>
      <c r="B965" s="2" t="s">
        <v>39</v>
      </c>
      <c r="C965" t="str">
        <f>_xlfn.XLOOKUP(B965, Sheet1!A:A, Sheet1!B:B)</f>
        <v>macadamia nut cookies</v>
      </c>
      <c r="D965">
        <f>_xlfn.XLOOKUP(B965,Sheet1!A:A,Sheet1!C:C)</f>
        <v>12</v>
      </c>
      <c r="E965">
        <f>_xlfn.XLOOKUP(B965,Sheet1!A:A,Sheet1!D:D)</f>
        <v>3.5</v>
      </c>
      <c r="F965">
        <f>_xlfn.XLOOKUP(Sheet3!B965,Sheet1!A:A,Sheet1!E:E)</f>
        <v>3</v>
      </c>
      <c r="G965">
        <f>_xlfn.XLOOKUP(B965,Sheet1!A:A,Sheet1!F:F)</f>
        <v>14</v>
      </c>
      <c r="H965" t="str" cm="1">
        <f t="array" aca="1" ref="H965" ca="1">INDEX(Sheet1!$G$2:$G$3, RANDBETWEEN(1, ROWS(Sheet1!$G$2:$G$3)))</f>
        <v>No</v>
      </c>
    </row>
    <row r="966" spans="1:8" x14ac:dyDescent="0.3">
      <c r="A966" s="2" t="str" cm="1">
        <f t="array" aca="1" ref="A966" ca="1">INDEX(Sheet1!$A$2:$A$46, RANDBETWEEN(1,ROWS(Sheet1!$A$2:$A$46)))</f>
        <v>B010</v>
      </c>
      <c r="B966" s="2" t="s">
        <v>67</v>
      </c>
      <c r="C966" t="str">
        <f>_xlfn.XLOOKUP(B966, Sheet1!A:A, Sheet1!B:B)</f>
        <v>seeded bread</v>
      </c>
      <c r="D966">
        <f>_xlfn.XLOOKUP(B966,Sheet1!A:A,Sheet1!C:C)</f>
        <v>8</v>
      </c>
      <c r="E966">
        <f>_xlfn.XLOOKUP(B966,Sheet1!A:A,Sheet1!D:D)</f>
        <v>3.5</v>
      </c>
      <c r="F966">
        <f>_xlfn.XLOOKUP(Sheet3!B966,Sheet1!A:A,Sheet1!E:E)</f>
        <v>3</v>
      </c>
      <c r="G966">
        <f>_xlfn.XLOOKUP(B966,Sheet1!A:A,Sheet1!F:F)</f>
        <v>8</v>
      </c>
      <c r="H966" t="str" cm="1">
        <f t="array" aca="1" ref="H966" ca="1">INDEX(Sheet1!$G$2:$G$3, RANDBETWEEN(1, ROWS(Sheet1!$G$2:$G$3)))</f>
        <v>No</v>
      </c>
    </row>
    <row r="967" spans="1:8" x14ac:dyDescent="0.3">
      <c r="A967" s="2" t="str" cm="1">
        <f t="array" aca="1" ref="A967" ca="1">INDEX(Sheet1!$A$2:$A$46, RANDBETWEEN(1,ROWS(Sheet1!$A$2:$A$46)))</f>
        <v>B041</v>
      </c>
      <c r="B967" s="2" t="s">
        <v>61</v>
      </c>
      <c r="C967" t="str">
        <f>_xlfn.XLOOKUP(B967, Sheet1!A:A, Sheet1!B:B)</f>
        <v>marble sliced loaf cake</v>
      </c>
      <c r="D967">
        <f>_xlfn.XLOOKUP(B967,Sheet1!A:A,Sheet1!C:C)</f>
        <v>10</v>
      </c>
      <c r="E967">
        <f>_xlfn.XLOOKUP(B967,Sheet1!A:A,Sheet1!D:D)</f>
        <v>4</v>
      </c>
      <c r="F967">
        <f>_xlfn.XLOOKUP(Sheet3!B967,Sheet1!A:A,Sheet1!E:E)</f>
        <v>3.5</v>
      </c>
      <c r="G967">
        <f>_xlfn.XLOOKUP(B967,Sheet1!A:A,Sheet1!F:F)</f>
        <v>10</v>
      </c>
      <c r="H967" cm="1">
        <f t="array" aca="1" ref="H967" ca="1">INDEX(Sheet1!$G$2:$G$3, RANDBETWEEN(1, ROWS(Sheet1!$G$2:$G$3)))</f>
        <v>0</v>
      </c>
    </row>
    <row r="968" spans="1:8" x14ac:dyDescent="0.3">
      <c r="A968" s="2" t="str" cm="1">
        <f t="array" aca="1" ref="A968" ca="1">INDEX(Sheet1!$A$2:$A$46, RANDBETWEEN(1,ROWS(Sheet1!$A$2:$A$46)))</f>
        <v>B044</v>
      </c>
      <c r="B968" s="2" t="s">
        <v>82</v>
      </c>
      <c r="C968" t="str">
        <f>_xlfn.XLOOKUP(B968, Sheet1!A:A, Sheet1!B:B)</f>
        <v>white square cake</v>
      </c>
      <c r="D968">
        <f>_xlfn.XLOOKUP(B968,Sheet1!A:A,Sheet1!C:C)</f>
        <v>8</v>
      </c>
      <c r="E968">
        <f>_xlfn.XLOOKUP(B968,Sheet1!A:A,Sheet1!D:D)</f>
        <v>2.5</v>
      </c>
      <c r="F968">
        <f>_xlfn.XLOOKUP(Sheet3!B968,Sheet1!A:A,Sheet1!E:E)</f>
        <v>2</v>
      </c>
      <c r="G968">
        <f>_xlfn.XLOOKUP(B968,Sheet1!A:A,Sheet1!F:F)</f>
        <v>5</v>
      </c>
      <c r="H968" cm="1">
        <f t="array" aca="1" ref="H968" ca="1">INDEX(Sheet1!$G$2:$G$3, RANDBETWEEN(1, ROWS(Sheet1!$G$2:$G$3)))</f>
        <v>0</v>
      </c>
    </row>
    <row r="969" spans="1:8" x14ac:dyDescent="0.3">
      <c r="A969" s="2" t="str" cm="1">
        <f t="array" aca="1" ref="A969" ca="1">INDEX(Sheet1!$A$2:$A$46, RANDBETWEEN(1,ROWS(Sheet1!$A$2:$A$46)))</f>
        <v>B005</v>
      </c>
      <c r="B969" s="2" t="s">
        <v>61</v>
      </c>
      <c r="C969" t="str">
        <f>_xlfn.XLOOKUP(B969, Sheet1!A:A, Sheet1!B:B)</f>
        <v>marble sliced loaf cake</v>
      </c>
      <c r="D969">
        <f>_xlfn.XLOOKUP(B969,Sheet1!A:A,Sheet1!C:C)</f>
        <v>10</v>
      </c>
      <c r="E969">
        <f>_xlfn.XLOOKUP(B969,Sheet1!A:A,Sheet1!D:D)</f>
        <v>4</v>
      </c>
      <c r="F969">
        <f>_xlfn.XLOOKUP(Sheet3!B969,Sheet1!A:A,Sheet1!E:E)</f>
        <v>3.5</v>
      </c>
      <c r="G969">
        <f>_xlfn.XLOOKUP(B969,Sheet1!A:A,Sheet1!F:F)</f>
        <v>10</v>
      </c>
      <c r="H969" t="str" cm="1">
        <f t="array" aca="1" ref="H969" ca="1">INDEX(Sheet1!$G$2:$G$3, RANDBETWEEN(1, ROWS(Sheet1!$G$2:$G$3)))</f>
        <v>No</v>
      </c>
    </row>
    <row r="970" spans="1:8" x14ac:dyDescent="0.3">
      <c r="A970" s="2" t="str" cm="1">
        <f t="array" aca="1" ref="A970" ca="1">INDEX(Sheet1!$A$2:$A$46, RANDBETWEEN(1,ROWS(Sheet1!$A$2:$A$46)))</f>
        <v>B045</v>
      </c>
      <c r="B970" s="2" t="s">
        <v>34</v>
      </c>
      <c r="C970" t="str">
        <f>_xlfn.XLOOKUP(B970, Sheet1!A:A, Sheet1!B:B)</f>
        <v>almond croissant</v>
      </c>
      <c r="D970">
        <f>_xlfn.XLOOKUP(B970,Sheet1!A:A,Sheet1!C:C)</f>
        <v>6</v>
      </c>
      <c r="E970">
        <f>_xlfn.XLOOKUP(B970,Sheet1!A:A,Sheet1!D:D)</f>
        <v>3.5</v>
      </c>
      <c r="F970">
        <f>_xlfn.XLOOKUP(Sheet3!B970,Sheet1!A:A,Sheet1!E:E)</f>
        <v>3</v>
      </c>
      <c r="G970">
        <f>_xlfn.XLOOKUP(B970,Sheet1!A:A,Sheet1!F:F)</f>
        <v>10</v>
      </c>
      <c r="H970" cm="1">
        <f t="array" aca="1" ref="H970" ca="1">INDEX(Sheet1!$G$2:$G$3, RANDBETWEEN(1, ROWS(Sheet1!$G$2:$G$3)))</f>
        <v>0</v>
      </c>
    </row>
    <row r="971" spans="1:8" x14ac:dyDescent="0.3">
      <c r="A971" s="2" t="str" cm="1">
        <f t="array" aca="1" ref="A971" ca="1">INDEX(Sheet1!$A$2:$A$46, RANDBETWEEN(1,ROWS(Sheet1!$A$2:$A$46)))</f>
        <v>B017</v>
      </c>
      <c r="B971" s="2" t="s">
        <v>71</v>
      </c>
      <c r="C971" t="str">
        <f>_xlfn.XLOOKUP(B971, Sheet1!A:A, Sheet1!B:B)</f>
        <v>blueberry pie</v>
      </c>
      <c r="D971">
        <f>_xlfn.XLOOKUP(B971,Sheet1!A:A,Sheet1!C:C)</f>
        <v>6</v>
      </c>
      <c r="E971">
        <f>_xlfn.XLOOKUP(B971,Sheet1!A:A,Sheet1!D:D)</f>
        <v>4</v>
      </c>
      <c r="F971">
        <f>_xlfn.XLOOKUP(Sheet3!B971,Sheet1!A:A,Sheet1!E:E)</f>
        <v>3</v>
      </c>
      <c r="G971">
        <f>_xlfn.XLOOKUP(B971,Sheet1!A:A,Sheet1!F:F)</f>
        <v>7</v>
      </c>
      <c r="H971" t="str" cm="1">
        <f t="array" aca="1" ref="H971" ca="1">INDEX(Sheet1!$G$2:$G$3, RANDBETWEEN(1, ROWS(Sheet1!$G$2:$G$3)))</f>
        <v>No</v>
      </c>
    </row>
    <row r="972" spans="1:8" x14ac:dyDescent="0.3">
      <c r="A972" s="2" t="str" cm="1">
        <f t="array" aca="1" ref="A972" ca="1">INDEX(Sheet1!$A$2:$A$46, RANDBETWEEN(1,ROWS(Sheet1!$A$2:$A$46)))</f>
        <v>B026</v>
      </c>
      <c r="B972" s="2" t="s">
        <v>65</v>
      </c>
      <c r="C972" t="str">
        <f>_xlfn.XLOOKUP(B972, Sheet1!A:A, Sheet1!B:B)</f>
        <v>sourdough bread</v>
      </c>
      <c r="D972">
        <f>_xlfn.XLOOKUP(B972,Sheet1!A:A,Sheet1!C:C)</f>
        <v>10</v>
      </c>
      <c r="E972">
        <f>_xlfn.XLOOKUP(B972,Sheet1!A:A,Sheet1!D:D)</f>
        <v>3.5</v>
      </c>
      <c r="F972">
        <f>_xlfn.XLOOKUP(Sheet3!B972,Sheet1!A:A,Sheet1!E:E)</f>
        <v>3</v>
      </c>
      <c r="G972">
        <f>_xlfn.XLOOKUP(B972,Sheet1!A:A,Sheet1!F:F)</f>
        <v>8</v>
      </c>
      <c r="H972" cm="1">
        <f t="array" aca="1" ref="H972" ca="1">INDEX(Sheet1!$G$2:$G$3, RANDBETWEEN(1, ROWS(Sheet1!$G$2:$G$3)))</f>
        <v>0</v>
      </c>
    </row>
    <row r="973" spans="1:8" x14ac:dyDescent="0.3">
      <c r="A973" s="2" t="str" cm="1">
        <f t="array" aca="1" ref="A973" ca="1">INDEX(Sheet1!$A$2:$A$46, RANDBETWEEN(1,ROWS(Sheet1!$A$2:$A$46)))</f>
        <v>B033</v>
      </c>
      <c r="B973" s="2" t="s">
        <v>16</v>
      </c>
      <c r="C973" t="str">
        <f>_xlfn.XLOOKUP(B973, Sheet1!A:A, Sheet1!B:B)</f>
        <v>mini croissant</v>
      </c>
      <c r="D973">
        <f>_xlfn.XLOOKUP(B973,Sheet1!A:A,Sheet1!C:C)</f>
        <v>10</v>
      </c>
      <c r="E973">
        <f>_xlfn.XLOOKUP(B973,Sheet1!A:A,Sheet1!D:D)</f>
        <v>5.5</v>
      </c>
      <c r="F973">
        <f>_xlfn.XLOOKUP(Sheet3!B973,Sheet1!A:A,Sheet1!E:E)</f>
        <v>4.5</v>
      </c>
      <c r="G973">
        <f>_xlfn.XLOOKUP(B973,Sheet1!A:A,Sheet1!F:F)</f>
        <v>7</v>
      </c>
      <c r="H973" t="str" cm="1">
        <f t="array" aca="1" ref="H973" ca="1">INDEX(Sheet1!$G$2:$G$3, RANDBETWEEN(1, ROWS(Sheet1!$G$2:$G$3)))</f>
        <v>No</v>
      </c>
    </row>
    <row r="974" spans="1:8" x14ac:dyDescent="0.3">
      <c r="A974" s="2" t="str" cm="1">
        <f t="array" aca="1" ref="A974" ca="1">INDEX(Sheet1!$A$2:$A$46, RANDBETWEEN(1,ROWS(Sheet1!$A$2:$A$46)))</f>
        <v>B028</v>
      </c>
      <c r="B974" s="2" t="s">
        <v>59</v>
      </c>
      <c r="C974" t="str">
        <f>_xlfn.XLOOKUP(B974, Sheet1!A:A, Sheet1!B:B)</f>
        <v>iced lemon sliced loaf cake</v>
      </c>
      <c r="D974">
        <f>_xlfn.XLOOKUP(B974,Sheet1!A:A,Sheet1!C:C)</f>
        <v>10</v>
      </c>
      <c r="E974">
        <f>_xlfn.XLOOKUP(B974,Sheet1!A:A,Sheet1!D:D)</f>
        <v>4</v>
      </c>
      <c r="F974">
        <f>_xlfn.XLOOKUP(Sheet3!B974,Sheet1!A:A,Sheet1!E:E)</f>
        <v>3.5</v>
      </c>
      <c r="G974">
        <f>_xlfn.XLOOKUP(B974,Sheet1!A:A,Sheet1!F:F)</f>
        <v>10</v>
      </c>
      <c r="H974" t="str" cm="1">
        <f t="array" aca="1" ref="H974" ca="1">INDEX(Sheet1!$G$2:$G$3, RANDBETWEEN(1, ROWS(Sheet1!$G$2:$G$3)))</f>
        <v>No</v>
      </c>
    </row>
    <row r="975" spans="1:8" x14ac:dyDescent="0.3">
      <c r="A975" s="2" t="str" cm="1">
        <f t="array" aca="1" ref="A975" ca="1">INDEX(Sheet1!$A$2:$A$46, RANDBETWEEN(1,ROWS(Sheet1!$A$2:$A$46)))</f>
        <v>B020</v>
      </c>
      <c r="B975" s="2" t="s">
        <v>90</v>
      </c>
      <c r="C975" t="str">
        <f>_xlfn.XLOOKUP(B975, Sheet1!A:A, Sheet1!B:B)</f>
        <v>mini brownies</v>
      </c>
      <c r="D975">
        <f>_xlfn.XLOOKUP(B975,Sheet1!A:A,Sheet1!C:C)</f>
        <v>12</v>
      </c>
      <c r="E975">
        <f>_xlfn.XLOOKUP(B975,Sheet1!A:A,Sheet1!D:D)</f>
        <v>4.5</v>
      </c>
      <c r="F975">
        <f>_xlfn.XLOOKUP(Sheet3!B975,Sheet1!A:A,Sheet1!E:E)</f>
        <v>4</v>
      </c>
      <c r="G975">
        <f>_xlfn.XLOOKUP(B975,Sheet1!A:A,Sheet1!F:F)</f>
        <v>14</v>
      </c>
      <c r="H975" cm="1">
        <f t="array" aca="1" ref="H975" ca="1">INDEX(Sheet1!$G$2:$G$3, RANDBETWEEN(1, ROWS(Sheet1!$G$2:$G$3)))</f>
        <v>0</v>
      </c>
    </row>
    <row r="976" spans="1:8" x14ac:dyDescent="0.3">
      <c r="A976" s="2" t="str" cm="1">
        <f t="array" aca="1" ref="A976" ca="1">INDEX(Sheet1!$A$2:$A$46, RANDBETWEEN(1,ROWS(Sheet1!$A$2:$A$46)))</f>
        <v>B033</v>
      </c>
      <c r="B976" s="2" t="s">
        <v>22</v>
      </c>
      <c r="C976" t="str">
        <f>_xlfn.XLOOKUP(B976, Sheet1!A:A, Sheet1!B:B)</f>
        <v>chocolate chip cookies</v>
      </c>
      <c r="D976">
        <f>_xlfn.XLOOKUP(B976,Sheet1!A:A,Sheet1!C:C)</f>
        <v>12</v>
      </c>
      <c r="E976">
        <f>_xlfn.XLOOKUP(B976,Sheet1!A:A,Sheet1!D:D)</f>
        <v>3.5</v>
      </c>
      <c r="F976">
        <f>_xlfn.XLOOKUP(Sheet3!B976,Sheet1!A:A,Sheet1!E:E)</f>
        <v>3</v>
      </c>
      <c r="G976">
        <f>_xlfn.XLOOKUP(B976,Sheet1!A:A,Sheet1!F:F)</f>
        <v>14</v>
      </c>
      <c r="H976" t="str" cm="1">
        <f t="array" aca="1" ref="H976" ca="1">INDEX(Sheet1!$G$2:$G$3, RANDBETWEEN(1, ROWS(Sheet1!$G$2:$G$3)))</f>
        <v>No</v>
      </c>
    </row>
    <row r="977" spans="1:8" x14ac:dyDescent="0.3">
      <c r="A977" s="2" t="str" cm="1">
        <f t="array" aca="1" ref="A977" ca="1">INDEX(Sheet1!$A$2:$A$46, RANDBETWEEN(1,ROWS(Sheet1!$A$2:$A$46)))</f>
        <v>B026</v>
      </c>
      <c r="B977" s="2" t="s">
        <v>66</v>
      </c>
      <c r="C977" t="str">
        <f>_xlfn.XLOOKUP(B977, Sheet1!A:A, Sheet1!B:B)</f>
        <v>pumpernickel bread</v>
      </c>
      <c r="D977">
        <f>_xlfn.XLOOKUP(B977,Sheet1!A:A,Sheet1!C:C)</f>
        <v>8</v>
      </c>
      <c r="E977">
        <f>_xlfn.XLOOKUP(B977,Sheet1!A:A,Sheet1!D:D)</f>
        <v>3.5</v>
      </c>
      <c r="F977">
        <f>_xlfn.XLOOKUP(Sheet3!B977,Sheet1!A:A,Sheet1!E:E)</f>
        <v>3</v>
      </c>
      <c r="G977">
        <f>_xlfn.XLOOKUP(B977,Sheet1!A:A,Sheet1!F:F)</f>
        <v>8</v>
      </c>
      <c r="H977" t="str" cm="1">
        <f t="array" aca="1" ref="H977" ca="1">INDEX(Sheet1!$G$2:$G$3, RANDBETWEEN(1, ROWS(Sheet1!$G$2:$G$3)))</f>
        <v>No</v>
      </c>
    </row>
    <row r="978" spans="1:8" x14ac:dyDescent="0.3">
      <c r="A978" s="2" t="str" cm="1">
        <f t="array" aca="1" ref="A978" ca="1">INDEX(Sheet1!$A$2:$A$46, RANDBETWEEN(1,ROWS(Sheet1!$A$2:$A$46)))</f>
        <v>B010</v>
      </c>
      <c r="B978" s="2" t="s">
        <v>21</v>
      </c>
      <c r="C978" t="str">
        <f>_xlfn.XLOOKUP(B978, Sheet1!A:A, Sheet1!B:B)</f>
        <v>butter cake</v>
      </c>
      <c r="D978">
        <f>_xlfn.XLOOKUP(B978,Sheet1!A:A,Sheet1!C:C)</f>
        <v>8</v>
      </c>
      <c r="E978">
        <f>_xlfn.XLOOKUP(B978,Sheet1!A:A,Sheet1!D:D)</f>
        <v>4</v>
      </c>
      <c r="F978">
        <f>_xlfn.XLOOKUP(Sheet3!B978,Sheet1!A:A,Sheet1!E:E)</f>
        <v>3</v>
      </c>
      <c r="G978">
        <f>_xlfn.XLOOKUP(B978,Sheet1!A:A,Sheet1!F:F)</f>
        <v>14</v>
      </c>
      <c r="H978" cm="1">
        <f t="array" aca="1" ref="H978" ca="1">INDEX(Sheet1!$G$2:$G$3, RANDBETWEEN(1, ROWS(Sheet1!$G$2:$G$3)))</f>
        <v>0</v>
      </c>
    </row>
    <row r="979" spans="1:8" x14ac:dyDescent="0.3">
      <c r="A979" s="2" t="str" cm="1">
        <f t="array" aca="1" ref="A979" ca="1">INDEX(Sheet1!$A$2:$A$46, RANDBETWEEN(1,ROWS(Sheet1!$A$2:$A$46)))</f>
        <v>B043</v>
      </c>
      <c r="B979" s="2" t="s">
        <v>69</v>
      </c>
      <c r="C979" t="str">
        <f>_xlfn.XLOOKUP(B979, Sheet1!A:A, Sheet1!B:B)</f>
        <v>coconut creme pie</v>
      </c>
      <c r="D979">
        <f>_xlfn.XLOOKUP(B979,Sheet1!A:A,Sheet1!C:C)</f>
        <v>6</v>
      </c>
      <c r="E979">
        <f>_xlfn.XLOOKUP(B979,Sheet1!A:A,Sheet1!D:D)</f>
        <v>4</v>
      </c>
      <c r="F979">
        <f>_xlfn.XLOOKUP(Sheet3!B979,Sheet1!A:A,Sheet1!E:E)</f>
        <v>3</v>
      </c>
      <c r="G979">
        <f>_xlfn.XLOOKUP(B979,Sheet1!A:A,Sheet1!F:F)</f>
        <v>7</v>
      </c>
      <c r="H979" t="str" cm="1">
        <f t="array" aca="1" ref="H979" ca="1">INDEX(Sheet1!$G$2:$G$3, RANDBETWEEN(1, ROWS(Sheet1!$G$2:$G$3)))</f>
        <v>No</v>
      </c>
    </row>
    <row r="980" spans="1:8" x14ac:dyDescent="0.3">
      <c r="A980" s="2" t="str" cm="1">
        <f t="array" aca="1" ref="A980" ca="1">INDEX(Sheet1!$A$2:$A$46, RANDBETWEEN(1,ROWS(Sheet1!$A$2:$A$46)))</f>
        <v>B044</v>
      </c>
      <c r="B980" s="2" t="s">
        <v>16</v>
      </c>
      <c r="C980" t="str">
        <f>_xlfn.XLOOKUP(B980, Sheet1!A:A, Sheet1!B:B)</f>
        <v>mini croissant</v>
      </c>
      <c r="D980">
        <f>_xlfn.XLOOKUP(B980,Sheet1!A:A,Sheet1!C:C)</f>
        <v>10</v>
      </c>
      <c r="E980">
        <f>_xlfn.XLOOKUP(B980,Sheet1!A:A,Sheet1!D:D)</f>
        <v>5.5</v>
      </c>
      <c r="F980">
        <f>_xlfn.XLOOKUP(Sheet3!B980,Sheet1!A:A,Sheet1!E:E)</f>
        <v>4.5</v>
      </c>
      <c r="G980">
        <f>_xlfn.XLOOKUP(B980,Sheet1!A:A,Sheet1!F:F)</f>
        <v>7</v>
      </c>
      <c r="H980" cm="1">
        <f t="array" aca="1" ref="H980" ca="1">INDEX(Sheet1!$G$2:$G$3, RANDBETWEEN(1, ROWS(Sheet1!$G$2:$G$3)))</f>
        <v>0</v>
      </c>
    </row>
    <row r="981" spans="1:8" x14ac:dyDescent="0.3">
      <c r="A981" s="2" t="str" cm="1">
        <f t="array" aca="1" ref="A981" ca="1">INDEX(Sheet1!$A$2:$A$46, RANDBETWEEN(1,ROWS(Sheet1!$A$2:$A$46)))</f>
        <v>B027</v>
      </c>
      <c r="B981" s="2" t="s">
        <v>65</v>
      </c>
      <c r="C981" t="str">
        <f>_xlfn.XLOOKUP(B981, Sheet1!A:A, Sheet1!B:B)</f>
        <v>sourdough bread</v>
      </c>
      <c r="D981">
        <f>_xlfn.XLOOKUP(B981,Sheet1!A:A,Sheet1!C:C)</f>
        <v>10</v>
      </c>
      <c r="E981">
        <f>_xlfn.XLOOKUP(B981,Sheet1!A:A,Sheet1!D:D)</f>
        <v>3.5</v>
      </c>
      <c r="F981">
        <f>_xlfn.XLOOKUP(Sheet3!B981,Sheet1!A:A,Sheet1!E:E)</f>
        <v>3</v>
      </c>
      <c r="G981">
        <f>_xlfn.XLOOKUP(B981,Sheet1!A:A,Sheet1!F:F)</f>
        <v>8</v>
      </c>
      <c r="H981" t="str" cm="1">
        <f t="array" aca="1" ref="H981" ca="1">INDEX(Sheet1!$G$2:$G$3, RANDBETWEEN(1, ROWS(Sheet1!$G$2:$G$3)))</f>
        <v>No</v>
      </c>
    </row>
    <row r="982" spans="1:8" x14ac:dyDescent="0.3">
      <c r="A982" s="2" t="str" cm="1">
        <f t="array" aca="1" ref="A982" ca="1">INDEX(Sheet1!$A$2:$A$46, RANDBETWEEN(1,ROWS(Sheet1!$A$2:$A$46)))</f>
        <v>B006</v>
      </c>
      <c r="B982" s="2" t="s">
        <v>34</v>
      </c>
      <c r="C982" t="str">
        <f>_xlfn.XLOOKUP(B982, Sheet1!A:A, Sheet1!B:B)</f>
        <v>almond croissant</v>
      </c>
      <c r="D982">
        <f>_xlfn.XLOOKUP(B982,Sheet1!A:A,Sheet1!C:C)</f>
        <v>6</v>
      </c>
      <c r="E982">
        <f>_xlfn.XLOOKUP(B982,Sheet1!A:A,Sheet1!D:D)</f>
        <v>3.5</v>
      </c>
      <c r="F982">
        <f>_xlfn.XLOOKUP(Sheet3!B982,Sheet1!A:A,Sheet1!E:E)</f>
        <v>3</v>
      </c>
      <c r="G982">
        <f>_xlfn.XLOOKUP(B982,Sheet1!A:A,Sheet1!F:F)</f>
        <v>10</v>
      </c>
      <c r="H982" cm="1">
        <f t="array" aca="1" ref="H982" ca="1">INDEX(Sheet1!$G$2:$G$3, RANDBETWEEN(1, ROWS(Sheet1!$G$2:$G$3)))</f>
        <v>0</v>
      </c>
    </row>
    <row r="983" spans="1:8" x14ac:dyDescent="0.3">
      <c r="A983" s="2" t="str" cm="1">
        <f t="array" aca="1" ref="A983" ca="1">INDEX(Sheet1!$A$2:$A$46, RANDBETWEEN(1,ROWS(Sheet1!$A$2:$A$46)))</f>
        <v>B029</v>
      </c>
      <c r="B983" s="2" t="s">
        <v>92</v>
      </c>
      <c r="C983" t="str">
        <f>_xlfn.XLOOKUP(B983, Sheet1!A:A, Sheet1!B:B)</f>
        <v>square brownies</v>
      </c>
      <c r="D983">
        <f>_xlfn.XLOOKUP(B983,Sheet1!A:A,Sheet1!C:C)</f>
        <v>6</v>
      </c>
      <c r="E983">
        <f>_xlfn.XLOOKUP(B983,Sheet1!A:A,Sheet1!D:D)</f>
        <v>4.5</v>
      </c>
      <c r="F983">
        <f>_xlfn.XLOOKUP(Sheet3!B983,Sheet1!A:A,Sheet1!E:E)</f>
        <v>4</v>
      </c>
      <c r="G983">
        <f>_xlfn.XLOOKUP(B983,Sheet1!A:A,Sheet1!F:F)</f>
        <v>14</v>
      </c>
      <c r="H983" t="str" cm="1">
        <f t="array" aca="1" ref="H983" ca="1">INDEX(Sheet1!$G$2:$G$3, RANDBETWEEN(1, ROWS(Sheet1!$G$2:$G$3)))</f>
        <v>No</v>
      </c>
    </row>
    <row r="984" spans="1:8" x14ac:dyDescent="0.3">
      <c r="A984" s="2" t="str" cm="1">
        <f t="array" aca="1" ref="A984" ca="1">INDEX(Sheet1!$A$2:$A$46, RANDBETWEEN(1,ROWS(Sheet1!$A$2:$A$46)))</f>
        <v>B012</v>
      </c>
      <c r="B984" s="2" t="s">
        <v>63</v>
      </c>
      <c r="C984" t="str">
        <f>_xlfn.XLOOKUP(B984, Sheet1!A:A, Sheet1!B:B)</f>
        <v>chocolate sliced loaf cake</v>
      </c>
      <c r="D984">
        <f>_xlfn.XLOOKUP(B984,Sheet1!A:A,Sheet1!C:C)</f>
        <v>10</v>
      </c>
      <c r="E984">
        <f>_xlfn.XLOOKUP(B984,Sheet1!A:A,Sheet1!D:D)</f>
        <v>4</v>
      </c>
      <c r="F984">
        <f>_xlfn.XLOOKUP(Sheet3!B984,Sheet1!A:A,Sheet1!E:E)</f>
        <v>3.5</v>
      </c>
      <c r="G984">
        <f>_xlfn.XLOOKUP(B984,Sheet1!A:A,Sheet1!F:F)</f>
        <v>10</v>
      </c>
      <c r="H984" cm="1">
        <f t="array" aca="1" ref="H984" ca="1">INDEX(Sheet1!$G$2:$G$3, RANDBETWEEN(1, ROWS(Sheet1!$G$2:$G$3)))</f>
        <v>0</v>
      </c>
    </row>
    <row r="985" spans="1:8" x14ac:dyDescent="0.3">
      <c r="A985" s="2" t="str" cm="1">
        <f t="array" aca="1" ref="A985" ca="1">INDEX(Sheet1!$A$2:$A$46, RANDBETWEEN(1,ROWS(Sheet1!$A$2:$A$46)))</f>
        <v>B028</v>
      </c>
      <c r="B985" s="2" t="s">
        <v>66</v>
      </c>
      <c r="C985" t="str">
        <f>_xlfn.XLOOKUP(B985, Sheet1!A:A, Sheet1!B:B)</f>
        <v>pumpernickel bread</v>
      </c>
      <c r="D985">
        <f>_xlfn.XLOOKUP(B985,Sheet1!A:A,Sheet1!C:C)</f>
        <v>8</v>
      </c>
      <c r="E985">
        <f>_xlfn.XLOOKUP(B985,Sheet1!A:A,Sheet1!D:D)</f>
        <v>3.5</v>
      </c>
      <c r="F985">
        <f>_xlfn.XLOOKUP(Sheet3!B985,Sheet1!A:A,Sheet1!E:E)</f>
        <v>3</v>
      </c>
      <c r="G985">
        <f>_xlfn.XLOOKUP(B985,Sheet1!A:A,Sheet1!F:F)</f>
        <v>8</v>
      </c>
      <c r="H985" t="str" cm="1">
        <f t="array" aca="1" ref="H985" ca="1">INDEX(Sheet1!$G$2:$G$3, RANDBETWEEN(1, ROWS(Sheet1!$G$2:$G$3)))</f>
        <v>No</v>
      </c>
    </row>
    <row r="986" spans="1:8" x14ac:dyDescent="0.3">
      <c r="A986" s="2" t="str" cm="1">
        <f t="array" aca="1" ref="A986" ca="1">INDEX(Sheet1!$A$2:$A$46, RANDBETWEEN(1,ROWS(Sheet1!$A$2:$A$46)))</f>
        <v>B014</v>
      </c>
      <c r="B986" s="2" t="s">
        <v>71</v>
      </c>
      <c r="C986" t="str">
        <f>_xlfn.XLOOKUP(B986, Sheet1!A:A, Sheet1!B:B)</f>
        <v>blueberry pie</v>
      </c>
      <c r="D986">
        <f>_xlfn.XLOOKUP(B986,Sheet1!A:A,Sheet1!C:C)</f>
        <v>6</v>
      </c>
      <c r="E986">
        <f>_xlfn.XLOOKUP(B986,Sheet1!A:A,Sheet1!D:D)</f>
        <v>4</v>
      </c>
      <c r="F986">
        <f>_xlfn.XLOOKUP(Sheet3!B986,Sheet1!A:A,Sheet1!E:E)</f>
        <v>3</v>
      </c>
      <c r="G986">
        <f>_xlfn.XLOOKUP(B986,Sheet1!A:A,Sheet1!F:F)</f>
        <v>7</v>
      </c>
      <c r="H986" cm="1">
        <f t="array" aca="1" ref="H986" ca="1">INDEX(Sheet1!$G$2:$G$3, RANDBETWEEN(1, ROWS(Sheet1!$G$2:$G$3)))</f>
        <v>0</v>
      </c>
    </row>
    <row r="987" spans="1:8" x14ac:dyDescent="0.3">
      <c r="A987" s="2" t="str" cm="1">
        <f t="array" aca="1" ref="A987" ca="1">INDEX(Sheet1!$A$2:$A$46, RANDBETWEEN(1,ROWS(Sheet1!$A$2:$A$46)))</f>
        <v>B010</v>
      </c>
      <c r="B987" s="2" t="s">
        <v>64</v>
      </c>
      <c r="C987" t="str">
        <f>_xlfn.XLOOKUP(B987, Sheet1!A:A, Sheet1!B:B)</f>
        <v>marble bread</v>
      </c>
      <c r="D987">
        <f>_xlfn.XLOOKUP(B987,Sheet1!A:A,Sheet1!C:C)</f>
        <v>8</v>
      </c>
      <c r="E987">
        <f>_xlfn.XLOOKUP(B987,Sheet1!A:A,Sheet1!D:D)</f>
        <v>3.5</v>
      </c>
      <c r="F987">
        <f>_xlfn.XLOOKUP(Sheet3!B987,Sheet1!A:A,Sheet1!E:E)</f>
        <v>3</v>
      </c>
      <c r="G987">
        <f>_xlfn.XLOOKUP(B987,Sheet1!A:A,Sheet1!F:F)</f>
        <v>8</v>
      </c>
      <c r="H987" cm="1">
        <f t="array" aca="1" ref="H987" ca="1">INDEX(Sheet1!$G$2:$G$3, RANDBETWEEN(1, ROWS(Sheet1!$G$2:$G$3)))</f>
        <v>0</v>
      </c>
    </row>
    <row r="988" spans="1:8" x14ac:dyDescent="0.3">
      <c r="A988" s="2" t="str" cm="1">
        <f t="array" aca="1" ref="A988" ca="1">INDEX(Sheet1!$A$2:$A$46, RANDBETWEEN(1,ROWS(Sheet1!$A$2:$A$46)))</f>
        <v>B010</v>
      </c>
      <c r="B988" s="2" t="s">
        <v>56</v>
      </c>
      <c r="C988" t="str">
        <f>_xlfn.XLOOKUP(B988, Sheet1!A:A, Sheet1!B:B)</f>
        <v>assorted cupcakes </v>
      </c>
      <c r="D988">
        <f>_xlfn.XLOOKUP(B988,Sheet1!A:A,Sheet1!C:C)</f>
        <v>8</v>
      </c>
      <c r="E988">
        <f>_xlfn.XLOOKUP(B988,Sheet1!A:A,Sheet1!D:D)</f>
        <v>6</v>
      </c>
      <c r="F988">
        <f>_xlfn.XLOOKUP(Sheet3!B988,Sheet1!A:A,Sheet1!E:E)</f>
        <v>5.5</v>
      </c>
      <c r="G988">
        <f>_xlfn.XLOOKUP(B988,Sheet1!A:A,Sheet1!F:F)</f>
        <v>20</v>
      </c>
      <c r="H988" t="str" cm="1">
        <f t="array" aca="1" ref="H988" ca="1">INDEX(Sheet1!$G$2:$G$3, RANDBETWEEN(1, ROWS(Sheet1!$G$2:$G$3)))</f>
        <v>No</v>
      </c>
    </row>
    <row r="989" spans="1:8" x14ac:dyDescent="0.3">
      <c r="A989" s="2" t="str" cm="1">
        <f t="array" aca="1" ref="A989" ca="1">INDEX(Sheet1!$A$2:$A$46, RANDBETWEEN(1,ROWS(Sheet1!$A$2:$A$46)))</f>
        <v>B043</v>
      </c>
      <c r="B989" s="2" t="s">
        <v>66</v>
      </c>
      <c r="C989" t="str">
        <f>_xlfn.XLOOKUP(B989, Sheet1!A:A, Sheet1!B:B)</f>
        <v>pumpernickel bread</v>
      </c>
      <c r="D989">
        <f>_xlfn.XLOOKUP(B989,Sheet1!A:A,Sheet1!C:C)</f>
        <v>8</v>
      </c>
      <c r="E989">
        <f>_xlfn.XLOOKUP(B989,Sheet1!A:A,Sheet1!D:D)</f>
        <v>3.5</v>
      </c>
      <c r="F989">
        <f>_xlfn.XLOOKUP(Sheet3!B989,Sheet1!A:A,Sheet1!E:E)</f>
        <v>3</v>
      </c>
      <c r="G989">
        <f>_xlfn.XLOOKUP(B989,Sheet1!A:A,Sheet1!F:F)</f>
        <v>8</v>
      </c>
      <c r="H989" t="str" cm="1">
        <f t="array" aca="1" ref="H989" ca="1">INDEX(Sheet1!$G$2:$G$3, RANDBETWEEN(1, ROWS(Sheet1!$G$2:$G$3)))</f>
        <v>No</v>
      </c>
    </row>
    <row r="990" spans="1:8" x14ac:dyDescent="0.3">
      <c r="A990" s="2" t="str" cm="1">
        <f t="array" aca="1" ref="A990" ca="1">INDEX(Sheet1!$A$2:$A$46, RANDBETWEEN(1,ROWS(Sheet1!$A$2:$A$46)))</f>
        <v>B008</v>
      </c>
      <c r="B990" s="2" t="s">
        <v>71</v>
      </c>
      <c r="C990" t="str">
        <f>_xlfn.XLOOKUP(B990, Sheet1!A:A, Sheet1!B:B)</f>
        <v>blueberry pie</v>
      </c>
      <c r="D990">
        <f>_xlfn.XLOOKUP(B990,Sheet1!A:A,Sheet1!C:C)</f>
        <v>6</v>
      </c>
      <c r="E990">
        <f>_xlfn.XLOOKUP(B990,Sheet1!A:A,Sheet1!D:D)</f>
        <v>4</v>
      </c>
      <c r="F990">
        <f>_xlfn.XLOOKUP(Sheet3!B990,Sheet1!A:A,Sheet1!E:E)</f>
        <v>3</v>
      </c>
      <c r="G990">
        <f>_xlfn.XLOOKUP(B990,Sheet1!A:A,Sheet1!F:F)</f>
        <v>7</v>
      </c>
      <c r="H990" t="str" cm="1">
        <f t="array" aca="1" ref="H990" ca="1">INDEX(Sheet1!$G$2:$G$3, RANDBETWEEN(1, ROWS(Sheet1!$G$2:$G$3)))</f>
        <v>No</v>
      </c>
    </row>
    <row r="991" spans="1:8" x14ac:dyDescent="0.3">
      <c r="A991" s="2" t="str" cm="1">
        <f t="array" aca="1" ref="A991" ca="1">INDEX(Sheet1!$A$2:$A$46, RANDBETWEEN(1,ROWS(Sheet1!$A$2:$A$46)))</f>
        <v>B041</v>
      </c>
      <c r="B991" s="2" t="s">
        <v>41</v>
      </c>
      <c r="C991" t="str">
        <f>_xlfn.XLOOKUP(B991, Sheet1!A:A, Sheet1!B:B)</f>
        <v>frosted blue cookies</v>
      </c>
      <c r="D991">
        <f>_xlfn.XLOOKUP(B991,Sheet1!A:A,Sheet1!C:C)</f>
        <v>15</v>
      </c>
      <c r="E991">
        <f>_xlfn.XLOOKUP(B991,Sheet1!A:A,Sheet1!D:D)</f>
        <v>3</v>
      </c>
      <c r="F991">
        <f>_xlfn.XLOOKUP(Sheet3!B991,Sheet1!A:A,Sheet1!E:E)</f>
        <v>2.5</v>
      </c>
      <c r="G991">
        <f>_xlfn.XLOOKUP(B991,Sheet1!A:A,Sheet1!F:F)</f>
        <v>14</v>
      </c>
      <c r="H991" cm="1">
        <f t="array" aca="1" ref="H991" ca="1">INDEX(Sheet1!$G$2:$G$3, RANDBETWEEN(1, ROWS(Sheet1!$G$2:$G$3)))</f>
        <v>0</v>
      </c>
    </row>
    <row r="992" spans="1:8" x14ac:dyDescent="0.3">
      <c r="A992" s="2" t="str" cm="1">
        <f t="array" aca="1" ref="A992" ca="1">INDEX(Sheet1!$A$2:$A$46, RANDBETWEEN(1,ROWS(Sheet1!$A$2:$A$46)))</f>
        <v>B038</v>
      </c>
      <c r="B992" s="2" t="s">
        <v>78</v>
      </c>
      <c r="C992" t="str">
        <f>_xlfn.XLOOKUP(B992, Sheet1!A:A, Sheet1!B:B)</f>
        <v>caramel pie</v>
      </c>
      <c r="D992">
        <f>_xlfn.XLOOKUP(B992,Sheet1!A:A,Sheet1!C:C)</f>
        <v>6</v>
      </c>
      <c r="E992">
        <f>_xlfn.XLOOKUP(B992,Sheet1!A:A,Sheet1!D:D)</f>
        <v>4</v>
      </c>
      <c r="F992">
        <f>_xlfn.XLOOKUP(Sheet3!B992,Sheet1!A:A,Sheet1!E:E)</f>
        <v>3</v>
      </c>
      <c r="G992">
        <f>_xlfn.XLOOKUP(B992,Sheet1!A:A,Sheet1!F:F)</f>
        <v>7</v>
      </c>
      <c r="H992" t="str" cm="1">
        <f t="array" aca="1" ref="H992" ca="1">INDEX(Sheet1!$G$2:$G$3, RANDBETWEEN(1, ROWS(Sheet1!$G$2:$G$3)))</f>
        <v>No</v>
      </c>
    </row>
    <row r="993" spans="1:8" x14ac:dyDescent="0.3">
      <c r="A993" s="2" t="str" cm="1">
        <f t="array" aca="1" ref="A993" ca="1">INDEX(Sheet1!$A$2:$A$46, RANDBETWEEN(1,ROWS(Sheet1!$A$2:$A$46)))</f>
        <v>B027</v>
      </c>
      <c r="B993" s="2" t="s">
        <v>35</v>
      </c>
      <c r="C993" t="str">
        <f>_xlfn.XLOOKUP(B993, Sheet1!A:A, Sheet1!B:B)</f>
        <v>orange pound</v>
      </c>
      <c r="D993">
        <f>_xlfn.XLOOKUP(B993,Sheet1!A:A,Sheet1!C:C)</f>
        <v>8</v>
      </c>
      <c r="E993">
        <f>_xlfn.XLOOKUP(B993,Sheet1!A:A,Sheet1!D:D)</f>
        <v>3.5</v>
      </c>
      <c r="F993">
        <f>_xlfn.XLOOKUP(Sheet3!B993,Sheet1!A:A,Sheet1!E:E)</f>
        <v>3</v>
      </c>
      <c r="G993">
        <f>_xlfn.XLOOKUP(B993,Sheet1!A:A,Sheet1!F:F)</f>
        <v>14</v>
      </c>
      <c r="H993" cm="1">
        <f t="array" aca="1" ref="H993" ca="1">INDEX(Sheet1!$G$2:$G$3, RANDBETWEEN(1, ROWS(Sheet1!$G$2:$G$3)))</f>
        <v>0</v>
      </c>
    </row>
    <row r="994" spans="1:8" x14ac:dyDescent="0.3">
      <c r="A994" s="2" t="str" cm="1">
        <f t="array" aca="1" ref="A994" ca="1">INDEX(Sheet1!$A$2:$A$46, RANDBETWEEN(1,ROWS(Sheet1!$A$2:$A$46)))</f>
        <v>B024</v>
      </c>
      <c r="B994" s="2" t="s">
        <v>69</v>
      </c>
      <c r="C994" t="str">
        <f>_xlfn.XLOOKUP(B994, Sheet1!A:A, Sheet1!B:B)</f>
        <v>coconut creme pie</v>
      </c>
      <c r="D994">
        <f>_xlfn.XLOOKUP(B994,Sheet1!A:A,Sheet1!C:C)</f>
        <v>6</v>
      </c>
      <c r="E994">
        <f>_xlfn.XLOOKUP(B994,Sheet1!A:A,Sheet1!D:D)</f>
        <v>4</v>
      </c>
      <c r="F994">
        <f>_xlfn.XLOOKUP(Sheet3!B994,Sheet1!A:A,Sheet1!E:E)</f>
        <v>3</v>
      </c>
      <c r="G994">
        <f>_xlfn.XLOOKUP(B994,Sheet1!A:A,Sheet1!F:F)</f>
        <v>7</v>
      </c>
      <c r="H994" t="str" cm="1">
        <f t="array" aca="1" ref="H994" ca="1">INDEX(Sheet1!$G$2:$G$3, RANDBETWEEN(1, ROWS(Sheet1!$G$2:$G$3)))</f>
        <v>No</v>
      </c>
    </row>
    <row r="995" spans="1:8" x14ac:dyDescent="0.3">
      <c r="A995" s="2" t="str" cm="1">
        <f t="array" aca="1" ref="A995" ca="1">INDEX(Sheet1!$A$2:$A$46, RANDBETWEEN(1,ROWS(Sheet1!$A$2:$A$46)))</f>
        <v>B041</v>
      </c>
      <c r="B995" s="2" t="s">
        <v>62</v>
      </c>
      <c r="C995" t="str">
        <f>_xlfn.XLOOKUP(B995, Sheet1!A:A, Sheet1!B:B)</f>
        <v>vanilla sliced loaf cake</v>
      </c>
      <c r="D995">
        <f>_xlfn.XLOOKUP(B995,Sheet1!A:A,Sheet1!C:C)</f>
        <v>10</v>
      </c>
      <c r="E995">
        <f>_xlfn.XLOOKUP(B995,Sheet1!A:A,Sheet1!D:D)</f>
        <v>4</v>
      </c>
      <c r="F995">
        <f>_xlfn.XLOOKUP(Sheet3!B995,Sheet1!A:A,Sheet1!E:E)</f>
        <v>3.5</v>
      </c>
      <c r="G995">
        <f>_xlfn.XLOOKUP(B995,Sheet1!A:A,Sheet1!F:F)</f>
        <v>10</v>
      </c>
      <c r="H995" cm="1">
        <f t="array" aca="1" ref="H995" ca="1">INDEX(Sheet1!$G$2:$G$3, RANDBETWEEN(1, ROWS(Sheet1!$G$2:$G$3)))</f>
        <v>0</v>
      </c>
    </row>
    <row r="996" spans="1:8" x14ac:dyDescent="0.3">
      <c r="A996" s="2" t="str" cm="1">
        <f t="array" aca="1" ref="A996" ca="1">INDEX(Sheet1!$A$2:$A$46, RANDBETWEEN(1,ROWS(Sheet1!$A$2:$A$46)))</f>
        <v>B022</v>
      </c>
      <c r="B996" s="2" t="s">
        <v>64</v>
      </c>
      <c r="C996" t="str">
        <f>_xlfn.XLOOKUP(B996, Sheet1!A:A, Sheet1!B:B)</f>
        <v>marble bread</v>
      </c>
      <c r="D996">
        <f>_xlfn.XLOOKUP(B996,Sheet1!A:A,Sheet1!C:C)</f>
        <v>8</v>
      </c>
      <c r="E996">
        <f>_xlfn.XLOOKUP(B996,Sheet1!A:A,Sheet1!D:D)</f>
        <v>3.5</v>
      </c>
      <c r="F996">
        <f>_xlfn.XLOOKUP(Sheet3!B996,Sheet1!A:A,Sheet1!E:E)</f>
        <v>3</v>
      </c>
      <c r="G996">
        <f>_xlfn.XLOOKUP(B996,Sheet1!A:A,Sheet1!F:F)</f>
        <v>8</v>
      </c>
      <c r="H996" cm="1">
        <f t="array" aca="1" ref="H996" ca="1">INDEX(Sheet1!$G$2:$G$3, RANDBETWEEN(1, ROWS(Sheet1!$G$2:$G$3)))</f>
        <v>0</v>
      </c>
    </row>
    <row r="997" spans="1:8" x14ac:dyDescent="0.3">
      <c r="A997" s="2" t="str" cm="1">
        <f t="array" aca="1" ref="A997" ca="1">INDEX(Sheet1!$A$2:$A$46, RANDBETWEEN(1,ROWS(Sheet1!$A$2:$A$46)))</f>
        <v>B027</v>
      </c>
      <c r="B997" s="2" t="s">
        <v>36</v>
      </c>
      <c r="C997" t="str">
        <f>_xlfn.XLOOKUP(B997, Sheet1!A:A, Sheet1!B:B)</f>
        <v>oatmeal raisin cookies</v>
      </c>
      <c r="D997">
        <f>_xlfn.XLOOKUP(B997,Sheet1!A:A,Sheet1!C:C)</f>
        <v>12</v>
      </c>
      <c r="E997">
        <f>_xlfn.XLOOKUP(B997,Sheet1!A:A,Sheet1!D:D)</f>
        <v>3.5</v>
      </c>
      <c r="F997">
        <f>_xlfn.XLOOKUP(Sheet3!B997,Sheet1!A:A,Sheet1!E:E)</f>
        <v>3</v>
      </c>
      <c r="G997">
        <f>_xlfn.XLOOKUP(B997,Sheet1!A:A,Sheet1!F:F)</f>
        <v>14</v>
      </c>
      <c r="H997" cm="1">
        <f t="array" aca="1" ref="H997" ca="1">INDEX(Sheet1!$G$2:$G$3, RANDBETWEEN(1, ROWS(Sheet1!$G$2:$G$3)))</f>
        <v>0</v>
      </c>
    </row>
    <row r="998" spans="1:8" x14ac:dyDescent="0.3">
      <c r="A998" s="2" t="str" cm="1">
        <f t="array" aca="1" ref="A998" ca="1">INDEX(Sheet1!$A$2:$A$46, RANDBETWEEN(1,ROWS(Sheet1!$A$2:$A$46)))</f>
        <v>B019</v>
      </c>
      <c r="B998" s="2" t="s">
        <v>55</v>
      </c>
      <c r="C998" t="str">
        <f>_xlfn.XLOOKUP(B998, Sheet1!A:A, Sheet1!B:B)</f>
        <v>cookies &amp; creme cake</v>
      </c>
      <c r="D998">
        <f>_xlfn.XLOOKUP(B998,Sheet1!A:A,Sheet1!C:C)</f>
        <v>4</v>
      </c>
      <c r="E998">
        <f>_xlfn.XLOOKUP(B998,Sheet1!A:A,Sheet1!D:D)</f>
        <v>8.5</v>
      </c>
      <c r="F998">
        <f>_xlfn.XLOOKUP(Sheet3!B998,Sheet1!A:A,Sheet1!E:E)</f>
        <v>6</v>
      </c>
      <c r="G998">
        <f>_xlfn.XLOOKUP(B998,Sheet1!A:A,Sheet1!F:F)</f>
        <v>7</v>
      </c>
      <c r="H998" cm="1">
        <f t="array" aca="1" ref="H998" ca="1">INDEX(Sheet1!$G$2:$G$3, RANDBETWEEN(1, ROWS(Sheet1!$G$2:$G$3)))</f>
        <v>0</v>
      </c>
    </row>
    <row r="999" spans="1:8" x14ac:dyDescent="0.3">
      <c r="A999" s="2" t="str" cm="1">
        <f t="array" aca="1" ref="A999" ca="1">INDEX(Sheet1!$A$2:$A$46, RANDBETWEEN(1,ROWS(Sheet1!$A$2:$A$46)))</f>
        <v>B022</v>
      </c>
      <c r="B999" s="2" t="s">
        <v>58</v>
      </c>
      <c r="C999" t="str">
        <f>_xlfn.XLOOKUP(B999, Sheet1!A:A, Sheet1!B:B)</f>
        <v>cookies &amp; creme cupcakes</v>
      </c>
      <c r="D999">
        <f>_xlfn.XLOOKUP(B999,Sheet1!A:A,Sheet1!C:C)</f>
        <v>15</v>
      </c>
      <c r="E999">
        <f>_xlfn.XLOOKUP(B999,Sheet1!A:A,Sheet1!D:D)</f>
        <v>6</v>
      </c>
      <c r="F999">
        <f>_xlfn.XLOOKUP(Sheet3!B999,Sheet1!A:A,Sheet1!E:E)</f>
        <v>5.5</v>
      </c>
      <c r="G999">
        <f>_xlfn.XLOOKUP(B999,Sheet1!A:A,Sheet1!F:F)</f>
        <v>20</v>
      </c>
      <c r="H999" t="str" cm="1">
        <f t="array" aca="1" ref="H999" ca="1">INDEX(Sheet1!$G$2:$G$3, RANDBETWEEN(1, ROWS(Sheet1!$G$2:$G$3)))</f>
        <v>No</v>
      </c>
    </row>
    <row r="1000" spans="1:8" x14ac:dyDescent="0.3">
      <c r="A1000" s="2" t="str" cm="1">
        <f t="array" aca="1" ref="A1000" ca="1">INDEX(Sheet1!$A$2:$A$46, RANDBETWEEN(1,ROWS(Sheet1!$A$2:$A$46)))</f>
        <v>B013</v>
      </c>
      <c r="B1000" s="2" t="s">
        <v>67</v>
      </c>
      <c r="C1000" t="str">
        <f>_xlfn.XLOOKUP(B1000, Sheet1!A:A, Sheet1!B:B)</f>
        <v>seeded bread</v>
      </c>
      <c r="D1000">
        <f>_xlfn.XLOOKUP(B1000,Sheet1!A:A,Sheet1!C:C)</f>
        <v>8</v>
      </c>
      <c r="E1000">
        <f>_xlfn.XLOOKUP(B1000,Sheet1!A:A,Sheet1!D:D)</f>
        <v>3.5</v>
      </c>
      <c r="F1000">
        <f>_xlfn.XLOOKUP(Sheet3!B1000,Sheet1!A:A,Sheet1!E:E)</f>
        <v>3</v>
      </c>
      <c r="G1000">
        <f>_xlfn.XLOOKUP(B1000,Sheet1!A:A,Sheet1!F:F)</f>
        <v>8</v>
      </c>
      <c r="H1000" t="str" cm="1">
        <f t="array" aca="1" ref="H1000" ca="1">INDEX(Sheet1!$G$2:$G$3, RANDBETWEEN(1, ROWS(Sheet1!$G$2:$G$3)))</f>
        <v>No</v>
      </c>
    </row>
    <row r="1001" spans="1:8" x14ac:dyDescent="0.3">
      <c r="A1001" s="2" t="str" cm="1">
        <f t="array" aca="1" ref="A1001" ca="1">INDEX(Sheet1!$A$2:$A$46, RANDBETWEEN(1,ROWS(Sheet1!$A$2:$A$46)))</f>
        <v>B001</v>
      </c>
      <c r="B1001" s="2" t="s">
        <v>41</v>
      </c>
      <c r="C1001" t="str">
        <f>_xlfn.XLOOKUP(B1001, Sheet1!A:A, Sheet1!B:B)</f>
        <v>frosted blue cookies</v>
      </c>
      <c r="D1001">
        <f>_xlfn.XLOOKUP(B1001,Sheet1!A:A,Sheet1!C:C)</f>
        <v>15</v>
      </c>
      <c r="E1001">
        <f>_xlfn.XLOOKUP(B1001,Sheet1!A:A,Sheet1!D:D)</f>
        <v>3</v>
      </c>
      <c r="F1001">
        <f>_xlfn.XLOOKUP(Sheet3!B1001,Sheet1!A:A,Sheet1!E:E)</f>
        <v>2.5</v>
      </c>
      <c r="G1001">
        <f>_xlfn.XLOOKUP(B1001,Sheet1!A:A,Sheet1!F:F)</f>
        <v>14</v>
      </c>
      <c r="H1001" cm="1">
        <f t="array" aca="1" ref="H1001" ca="1">INDEX(Sheet1!$G$2:$G$3, RANDBETWEEN(1, ROWS(Sheet1!$G$2:$G$3)))</f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086C-FF65-40C9-9B73-DE779BF1862C}">
  <dimension ref="A1:O1001"/>
  <sheetViews>
    <sheetView tabSelected="1" workbookViewId="0">
      <selection activeCell="G11" sqref="G11"/>
    </sheetView>
  </sheetViews>
  <sheetFormatPr defaultRowHeight="14.4" x14ac:dyDescent="0.3"/>
  <cols>
    <col min="1" max="1" width="9.33203125" style="3" bestFit="1" customWidth="1"/>
    <col min="2" max="2" width="10.6640625" customWidth="1"/>
    <col min="3" max="3" width="22.88671875" bestFit="1" customWidth="1"/>
    <col min="4" max="4" width="22.88671875" customWidth="1"/>
    <col min="5" max="5" width="9" bestFit="1" customWidth="1"/>
    <col min="6" max="6" width="9.21875" bestFit="1" customWidth="1"/>
    <col min="7" max="9" width="23.5546875" customWidth="1"/>
    <col min="10" max="10" width="5.33203125" bestFit="1" customWidth="1"/>
    <col min="11" max="11" width="14.77734375" bestFit="1" customWidth="1"/>
    <col min="12" max="12" width="9" bestFit="1" customWidth="1"/>
    <col min="13" max="14" width="9.33203125" bestFit="1" customWidth="1"/>
    <col min="15" max="15" width="9.33203125" style="3" bestFit="1" customWidth="1"/>
  </cols>
  <sheetData>
    <row r="1" spans="1:15" x14ac:dyDescent="0.3">
      <c r="A1" s="10" t="s">
        <v>12</v>
      </c>
      <c r="B1" s="12" t="s">
        <v>1</v>
      </c>
      <c r="C1" s="12" t="s">
        <v>0</v>
      </c>
      <c r="D1" s="12" t="s">
        <v>13</v>
      </c>
      <c r="E1" s="12" t="s">
        <v>2</v>
      </c>
      <c r="F1" s="11" t="s">
        <v>3</v>
      </c>
      <c r="G1" s="12" t="s">
        <v>14</v>
      </c>
      <c r="H1" s="11" t="s">
        <v>4</v>
      </c>
      <c r="I1" s="11" t="s">
        <v>15</v>
      </c>
      <c r="J1" s="12" t="s">
        <v>5</v>
      </c>
      <c r="K1" s="12" t="s">
        <v>6</v>
      </c>
      <c r="L1" s="12" t="s">
        <v>7</v>
      </c>
      <c r="O1" s="10" t="s">
        <v>12</v>
      </c>
    </row>
    <row r="2" spans="1:15" x14ac:dyDescent="0.3">
      <c r="A2" s="3">
        <v>45292</v>
      </c>
      <c r="B2" t="s">
        <v>68</v>
      </c>
      <c r="C2" t="s">
        <v>43</v>
      </c>
      <c r="D2" s="4" cm="1">
        <f t="array" aca="1" ref="D2" ca="1">IFERROR( _xlfn.XLOOKUP(B2, B$2:INDEX(B:B,ROW()-1), I$2:INDEX(I:I,ROW()-1), 0, 0, -1),0)</f>
        <v>6</v>
      </c>
      <c r="E2">
        <v>15</v>
      </c>
      <c r="F2">
        <f t="shared" ref="F2:F65" ca="1" si="0">RANDBETWEEN(0, ROUND((D2+E2)*0.6,0))</f>
        <v>8</v>
      </c>
      <c r="G2">
        <f t="shared" ref="G2:G65" ca="1" si="1">RANDBETWEEN(0,ROUND((D2+E2-F2)*0.6,0))</f>
        <v>3</v>
      </c>
      <c r="H2">
        <f t="shared" ref="H2:H65" ca="1" si="2">RANDBETWEEN(0,ROUND((D2+E2-F2-G2)*0.6,0))</f>
        <v>5</v>
      </c>
      <c r="I2">
        <f t="shared" ref="I2:I65" ca="1" si="3">D2+E2-F2-G2-H2</f>
        <v>5</v>
      </c>
      <c r="J2">
        <v>4</v>
      </c>
      <c r="K2">
        <v>3</v>
      </c>
      <c r="L2">
        <v>14</v>
      </c>
      <c r="M2" s="3">
        <f t="shared" ref="M2:N21" ca="1" si="4">DATE(2024,1,1) + RANDBETWEEN(0, DATE(2024,5,25) - DATE(2024,1,1))</f>
        <v>45343</v>
      </c>
      <c r="N2" s="3">
        <f t="shared" ca="1" si="4"/>
        <v>45336</v>
      </c>
      <c r="O2" s="3">
        <v>45331</v>
      </c>
    </row>
    <row r="3" spans="1:15" x14ac:dyDescent="0.3">
      <c r="A3" s="3">
        <v>45292</v>
      </c>
      <c r="B3" t="s">
        <v>41</v>
      </c>
      <c r="C3" t="s">
        <v>86</v>
      </c>
      <c r="D3" s="4" cm="1">
        <f t="array" ref="D3">IFERROR( _xlfn.XLOOKUP(B3, B$2:INDEX(B:B,ROW()-1), I$2:INDEX(I:I,ROW()-1), 0, 0, -1),0)</f>
        <v>0</v>
      </c>
      <c r="E3">
        <v>15</v>
      </c>
      <c r="F3">
        <f t="shared" ca="1" si="0"/>
        <v>8</v>
      </c>
      <c r="G3">
        <f t="shared" ca="1" si="1"/>
        <v>2</v>
      </c>
      <c r="H3">
        <f t="shared" ca="1" si="2"/>
        <v>1</v>
      </c>
      <c r="I3">
        <f t="shared" ca="1" si="3"/>
        <v>4</v>
      </c>
      <c r="J3">
        <v>3</v>
      </c>
      <c r="K3">
        <v>2.5</v>
      </c>
      <c r="L3">
        <v>14</v>
      </c>
      <c r="M3" s="3">
        <f t="shared" ca="1" si="4"/>
        <v>45337</v>
      </c>
      <c r="N3" s="3">
        <f t="shared" ca="1" si="4"/>
        <v>45405</v>
      </c>
      <c r="O3" s="3">
        <v>45355</v>
      </c>
    </row>
    <row r="4" spans="1:15" x14ac:dyDescent="0.3">
      <c r="A4" s="3">
        <v>45292</v>
      </c>
      <c r="B4" t="s">
        <v>21</v>
      </c>
      <c r="C4" t="s">
        <v>27</v>
      </c>
      <c r="D4" s="4" cm="1">
        <f t="array" ref="D4">IFERROR( _xlfn.XLOOKUP(B4, B$2:INDEX(B:B,ROW()-1), I$2:INDEX(I:I,ROW()-1), 0, 0, -1),0)</f>
        <v>0</v>
      </c>
      <c r="E4">
        <v>8</v>
      </c>
      <c r="F4">
        <f t="shared" ca="1" si="0"/>
        <v>3</v>
      </c>
      <c r="G4">
        <f t="shared" ca="1" si="1"/>
        <v>0</v>
      </c>
      <c r="H4">
        <f t="shared" ca="1" si="2"/>
        <v>3</v>
      </c>
      <c r="I4">
        <f t="shared" ca="1" si="3"/>
        <v>2</v>
      </c>
      <c r="J4">
        <v>4</v>
      </c>
      <c r="K4">
        <v>3</v>
      </c>
      <c r="L4">
        <v>14</v>
      </c>
      <c r="M4" s="3">
        <f t="shared" ca="1" si="4"/>
        <v>45396</v>
      </c>
      <c r="N4" s="3">
        <f t="shared" ca="1" si="4"/>
        <v>45345</v>
      </c>
      <c r="O4" s="3">
        <v>45401</v>
      </c>
    </row>
    <row r="5" spans="1:15" x14ac:dyDescent="0.3">
      <c r="A5" s="3">
        <v>45292</v>
      </c>
      <c r="B5" t="s">
        <v>35</v>
      </c>
      <c r="C5" t="s">
        <v>31</v>
      </c>
      <c r="D5" s="4" cm="1">
        <f t="array" ref="D5">IFERROR( _xlfn.XLOOKUP(B5, B$2:INDEX(B:B,ROW()-1), I$2:INDEX(I:I,ROW()-1), 0, 0, -1),0)</f>
        <v>0</v>
      </c>
      <c r="E5">
        <v>8</v>
      </c>
      <c r="F5">
        <f t="shared" ca="1" si="0"/>
        <v>3</v>
      </c>
      <c r="G5">
        <f t="shared" ca="1" si="1"/>
        <v>3</v>
      </c>
      <c r="H5">
        <f t="shared" ca="1" si="2"/>
        <v>1</v>
      </c>
      <c r="I5">
        <f t="shared" ca="1" si="3"/>
        <v>1</v>
      </c>
      <c r="J5">
        <v>3.5</v>
      </c>
      <c r="K5">
        <v>3</v>
      </c>
      <c r="L5">
        <v>14</v>
      </c>
      <c r="M5" s="3">
        <f t="shared" ca="1" si="4"/>
        <v>45428</v>
      </c>
      <c r="N5" s="3">
        <f t="shared" ca="1" si="4"/>
        <v>45429</v>
      </c>
      <c r="O5" s="3">
        <v>45302</v>
      </c>
    </row>
    <row r="6" spans="1:15" x14ac:dyDescent="0.3">
      <c r="A6" s="3">
        <v>45292</v>
      </c>
      <c r="B6" t="s">
        <v>23</v>
      </c>
      <c r="C6" t="s">
        <v>28</v>
      </c>
      <c r="D6" s="4" cm="1">
        <f t="array" ref="D6">IFERROR( _xlfn.XLOOKUP(B6, B$2:INDEX(B:B,ROW()-1), I$2:INDEX(I:I,ROW()-1), 0, 0, -1),0)</f>
        <v>0</v>
      </c>
      <c r="E6">
        <v>9</v>
      </c>
      <c r="F6">
        <f t="shared" ca="1" si="0"/>
        <v>0</v>
      </c>
      <c r="G6">
        <f t="shared" ca="1" si="1"/>
        <v>1</v>
      </c>
      <c r="H6">
        <f t="shared" ca="1" si="2"/>
        <v>0</v>
      </c>
      <c r="I6">
        <f t="shared" ca="1" si="3"/>
        <v>8</v>
      </c>
      <c r="J6">
        <v>6.5</v>
      </c>
      <c r="K6">
        <v>5.5</v>
      </c>
      <c r="L6">
        <v>9</v>
      </c>
      <c r="M6" s="3">
        <f t="shared" ca="1" si="4"/>
        <v>45338</v>
      </c>
      <c r="N6" s="3">
        <f t="shared" ca="1" si="4"/>
        <v>45404</v>
      </c>
      <c r="O6" s="3">
        <v>45341</v>
      </c>
    </row>
    <row r="7" spans="1:15" x14ac:dyDescent="0.3">
      <c r="A7" s="3">
        <v>45292</v>
      </c>
      <c r="B7" t="s">
        <v>35</v>
      </c>
      <c r="C7" t="s">
        <v>31</v>
      </c>
      <c r="D7" s="4" cm="1">
        <f t="array" aca="1" ref="D7" ca="1">IFERROR( _xlfn.XLOOKUP(B7, B$2:INDEX(B:B,ROW()-1), I$2:INDEX(I:I,ROW()-1), 0, 0, -1),0)</f>
        <v>1</v>
      </c>
      <c r="E7">
        <v>8</v>
      </c>
      <c r="F7">
        <f t="shared" ca="1" si="0"/>
        <v>0</v>
      </c>
      <c r="G7">
        <f t="shared" ca="1" si="1"/>
        <v>5</v>
      </c>
      <c r="H7">
        <f t="shared" ca="1" si="2"/>
        <v>2</v>
      </c>
      <c r="I7">
        <f t="shared" ca="1" si="3"/>
        <v>2</v>
      </c>
      <c r="J7">
        <v>3.5</v>
      </c>
      <c r="K7">
        <v>3</v>
      </c>
      <c r="L7">
        <v>14</v>
      </c>
      <c r="M7" s="3">
        <f t="shared" ca="1" si="4"/>
        <v>45366</v>
      </c>
      <c r="N7" s="3">
        <f t="shared" ca="1" si="4"/>
        <v>45342</v>
      </c>
      <c r="O7" s="3">
        <v>45382</v>
      </c>
    </row>
    <row r="8" spans="1:15" x14ac:dyDescent="0.3">
      <c r="A8" s="3">
        <v>45292</v>
      </c>
      <c r="B8" t="s">
        <v>70</v>
      </c>
      <c r="C8" t="s">
        <v>99</v>
      </c>
      <c r="D8" s="4" cm="1">
        <f t="array" ref="D8">IFERROR( _xlfn.XLOOKUP(B8, B$2:INDEX(B:B,ROW()-1), I$2:INDEX(I:I,ROW()-1), 0, 0, -1),0)</f>
        <v>0</v>
      </c>
      <c r="E8">
        <v>6</v>
      </c>
      <c r="F8">
        <f t="shared" ca="1" si="0"/>
        <v>3</v>
      </c>
      <c r="G8">
        <f t="shared" ca="1" si="1"/>
        <v>0</v>
      </c>
      <c r="H8">
        <f t="shared" ca="1" si="2"/>
        <v>0</v>
      </c>
      <c r="I8">
        <f t="shared" ca="1" si="3"/>
        <v>3</v>
      </c>
      <c r="J8">
        <v>4</v>
      </c>
      <c r="K8">
        <v>3</v>
      </c>
      <c r="L8">
        <v>7</v>
      </c>
      <c r="M8" s="3">
        <f t="shared" ca="1" si="4"/>
        <v>45387</v>
      </c>
      <c r="N8" s="3">
        <f t="shared" ca="1" si="4"/>
        <v>45356</v>
      </c>
      <c r="O8" s="3">
        <v>45427</v>
      </c>
    </row>
    <row r="9" spans="1:15" x14ac:dyDescent="0.3">
      <c r="A9" s="3">
        <v>45292</v>
      </c>
      <c r="B9" t="s">
        <v>58</v>
      </c>
      <c r="C9" t="s">
        <v>76</v>
      </c>
      <c r="D9" s="4" cm="1">
        <f t="array" ref="D9">IFERROR( _xlfn.XLOOKUP(B9, B$2:INDEX(B:B,ROW()-1), I$2:INDEX(I:I,ROW()-1), 0, 0, -1),0)</f>
        <v>0</v>
      </c>
      <c r="E9">
        <v>15</v>
      </c>
      <c r="F9">
        <f t="shared" ca="1" si="0"/>
        <v>7</v>
      </c>
      <c r="G9">
        <f t="shared" ca="1" si="1"/>
        <v>3</v>
      </c>
      <c r="H9">
        <f t="shared" ca="1" si="2"/>
        <v>3</v>
      </c>
      <c r="I9">
        <f t="shared" ca="1" si="3"/>
        <v>2</v>
      </c>
      <c r="J9">
        <v>6</v>
      </c>
      <c r="K9">
        <v>5.5</v>
      </c>
      <c r="L9">
        <v>20</v>
      </c>
      <c r="M9" s="3">
        <f t="shared" ca="1" si="4"/>
        <v>45369</v>
      </c>
      <c r="N9" s="3">
        <f t="shared" ca="1" si="4"/>
        <v>45305</v>
      </c>
      <c r="O9" s="3">
        <v>45362</v>
      </c>
    </row>
    <row r="10" spans="1:15" x14ac:dyDescent="0.3">
      <c r="A10" s="3">
        <v>45293</v>
      </c>
      <c r="B10" t="s">
        <v>90</v>
      </c>
      <c r="C10" t="s">
        <v>87</v>
      </c>
      <c r="D10" s="4" cm="1">
        <f t="array" ref="D10">IFERROR( _xlfn.XLOOKUP(B10, B$2:INDEX(B:B,ROW()-1), I$2:INDEX(I:I,ROW()-1), 0, 0, -1),0)</f>
        <v>0</v>
      </c>
      <c r="E10">
        <v>12</v>
      </c>
      <c r="F10">
        <f t="shared" ca="1" si="0"/>
        <v>3</v>
      </c>
      <c r="G10">
        <f t="shared" ca="1" si="1"/>
        <v>0</v>
      </c>
      <c r="H10">
        <f t="shared" ca="1" si="2"/>
        <v>0</v>
      </c>
      <c r="I10">
        <f t="shared" ca="1" si="3"/>
        <v>9</v>
      </c>
      <c r="J10">
        <v>4.5</v>
      </c>
      <c r="K10">
        <v>4</v>
      </c>
      <c r="L10">
        <v>14</v>
      </c>
      <c r="M10" s="3">
        <f t="shared" ca="1" si="4"/>
        <v>45353</v>
      </c>
      <c r="N10" s="3">
        <f t="shared" ca="1" si="4"/>
        <v>45381</v>
      </c>
      <c r="O10" s="3">
        <v>45297</v>
      </c>
    </row>
    <row r="11" spans="1:15" x14ac:dyDescent="0.3">
      <c r="A11" s="3">
        <v>45293</v>
      </c>
      <c r="B11" t="s">
        <v>65</v>
      </c>
      <c r="C11" t="s">
        <v>44</v>
      </c>
      <c r="D11" s="4" cm="1">
        <f t="array" ref="D11">IFERROR( _xlfn.XLOOKUP(B11, B$2:INDEX(B:B,ROW()-1), I$2:INDEX(I:I,ROW()-1), 0, 0, -1),0)</f>
        <v>0</v>
      </c>
      <c r="E11">
        <v>10</v>
      </c>
      <c r="F11">
        <f t="shared" ca="1" si="0"/>
        <v>2</v>
      </c>
      <c r="G11">
        <f t="shared" ca="1" si="1"/>
        <v>4</v>
      </c>
      <c r="H11">
        <f t="shared" ca="1" si="2"/>
        <v>0</v>
      </c>
      <c r="I11">
        <f t="shared" ca="1" si="3"/>
        <v>4</v>
      </c>
      <c r="J11">
        <v>3.5</v>
      </c>
      <c r="K11">
        <v>3</v>
      </c>
      <c r="L11">
        <v>8</v>
      </c>
      <c r="M11" s="3">
        <f t="shared" ca="1" si="4"/>
        <v>45383</v>
      </c>
      <c r="N11" s="3">
        <f t="shared" ca="1" si="4"/>
        <v>45432</v>
      </c>
      <c r="O11" s="3">
        <v>45303</v>
      </c>
    </row>
    <row r="12" spans="1:15" x14ac:dyDescent="0.3">
      <c r="A12" s="3">
        <v>45293</v>
      </c>
      <c r="B12" t="s">
        <v>78</v>
      </c>
      <c r="C12" t="s">
        <v>74</v>
      </c>
      <c r="D12" s="4" cm="1">
        <f t="array" ref="D12">IFERROR( _xlfn.XLOOKUP(B12, B$2:INDEX(B:B,ROW()-1), I$2:INDEX(I:I,ROW()-1), 0, 0, -1),0)</f>
        <v>0</v>
      </c>
      <c r="E12">
        <v>6</v>
      </c>
      <c r="F12">
        <f t="shared" ca="1" si="0"/>
        <v>3</v>
      </c>
      <c r="G12">
        <f t="shared" ca="1" si="1"/>
        <v>2</v>
      </c>
      <c r="H12">
        <f t="shared" ca="1" si="2"/>
        <v>1</v>
      </c>
      <c r="I12">
        <f t="shared" ca="1" si="3"/>
        <v>0</v>
      </c>
      <c r="J12">
        <v>4</v>
      </c>
      <c r="K12">
        <v>3</v>
      </c>
      <c r="L12">
        <v>7</v>
      </c>
      <c r="M12" s="3">
        <f t="shared" ca="1" si="4"/>
        <v>45413</v>
      </c>
      <c r="N12" s="3">
        <f t="shared" ca="1" si="4"/>
        <v>45317</v>
      </c>
      <c r="O12" s="3">
        <v>45348</v>
      </c>
    </row>
    <row r="13" spans="1:15" x14ac:dyDescent="0.3">
      <c r="A13" s="3">
        <v>45293</v>
      </c>
      <c r="B13" t="s">
        <v>65</v>
      </c>
      <c r="C13" t="s">
        <v>44</v>
      </c>
      <c r="D13" s="4" cm="1">
        <f t="array" aca="1" ref="D13" ca="1">IFERROR( _xlfn.XLOOKUP(B13, B$2:INDEX(B:B,ROW()-1), I$2:INDEX(I:I,ROW()-1), 0, 0, -1),0)</f>
        <v>4</v>
      </c>
      <c r="E13">
        <v>10</v>
      </c>
      <c r="F13">
        <f t="shared" ca="1" si="0"/>
        <v>2</v>
      </c>
      <c r="G13">
        <f t="shared" ca="1" si="1"/>
        <v>5</v>
      </c>
      <c r="H13">
        <f t="shared" ca="1" si="2"/>
        <v>1</v>
      </c>
      <c r="I13">
        <f t="shared" ca="1" si="3"/>
        <v>6</v>
      </c>
      <c r="J13">
        <v>3.5</v>
      </c>
      <c r="K13">
        <v>3</v>
      </c>
      <c r="L13">
        <v>8</v>
      </c>
      <c r="M13" s="3">
        <f t="shared" ca="1" si="4"/>
        <v>45297</v>
      </c>
      <c r="N13" s="3">
        <f t="shared" ca="1" si="4"/>
        <v>45432</v>
      </c>
      <c r="O13" s="3">
        <v>45414</v>
      </c>
    </row>
    <row r="14" spans="1:15" x14ac:dyDescent="0.3">
      <c r="A14" s="3">
        <v>45293</v>
      </c>
      <c r="B14" t="s">
        <v>34</v>
      </c>
      <c r="C14" t="s">
        <v>30</v>
      </c>
      <c r="D14" s="4" cm="1">
        <f t="array" ref="D14">IFERROR( _xlfn.XLOOKUP(B14, B$2:INDEX(B:B,ROW()-1), I$2:INDEX(I:I,ROW()-1), 0, 0, -1),0)</f>
        <v>0</v>
      </c>
      <c r="E14">
        <v>6</v>
      </c>
      <c r="F14">
        <f t="shared" ca="1" si="0"/>
        <v>0</v>
      </c>
      <c r="G14">
        <f t="shared" ca="1" si="1"/>
        <v>0</v>
      </c>
      <c r="H14">
        <f t="shared" ca="1" si="2"/>
        <v>4</v>
      </c>
      <c r="I14">
        <f t="shared" ca="1" si="3"/>
        <v>2</v>
      </c>
      <c r="J14">
        <v>3.5</v>
      </c>
      <c r="K14">
        <v>3</v>
      </c>
      <c r="L14">
        <v>10</v>
      </c>
      <c r="M14" s="3">
        <f t="shared" ca="1" si="4"/>
        <v>45416</v>
      </c>
      <c r="N14" s="3">
        <f t="shared" ca="1" si="4"/>
        <v>45391</v>
      </c>
      <c r="O14" s="3">
        <v>45296</v>
      </c>
    </row>
    <row r="15" spans="1:15" x14ac:dyDescent="0.3">
      <c r="A15" s="3">
        <v>45293</v>
      </c>
      <c r="B15" t="s">
        <v>63</v>
      </c>
      <c r="C15" t="s">
        <v>97</v>
      </c>
      <c r="D15" s="4" cm="1">
        <f t="array" ref="D15">IFERROR( _xlfn.XLOOKUP(B15, B$2:INDEX(B:B,ROW()-1), I$2:INDEX(I:I,ROW()-1), 0, 0, -1),0)</f>
        <v>0</v>
      </c>
      <c r="E15">
        <v>10</v>
      </c>
      <c r="F15">
        <f t="shared" ca="1" si="0"/>
        <v>1</v>
      </c>
      <c r="G15">
        <f t="shared" ca="1" si="1"/>
        <v>3</v>
      </c>
      <c r="H15">
        <f t="shared" ca="1" si="2"/>
        <v>3</v>
      </c>
      <c r="I15">
        <f t="shared" ca="1" si="3"/>
        <v>3</v>
      </c>
      <c r="J15">
        <v>4</v>
      </c>
      <c r="K15">
        <v>3.5</v>
      </c>
      <c r="L15">
        <v>10</v>
      </c>
      <c r="M15" s="3">
        <f t="shared" ca="1" si="4"/>
        <v>45385</v>
      </c>
      <c r="N15" s="3">
        <f t="shared" ca="1" si="4"/>
        <v>45418</v>
      </c>
      <c r="O15" s="3">
        <v>45316</v>
      </c>
    </row>
    <row r="16" spans="1:15" x14ac:dyDescent="0.3">
      <c r="A16" s="3">
        <v>45294</v>
      </c>
      <c r="B16" t="s">
        <v>36</v>
      </c>
      <c r="C16" t="s">
        <v>33</v>
      </c>
      <c r="D16" s="4" cm="1">
        <f t="array" ref="D16">IFERROR( _xlfn.XLOOKUP(B16, B$2:INDEX(B:B,ROW()-1), I$2:INDEX(I:I,ROW()-1), 0, 0, -1),0)</f>
        <v>0</v>
      </c>
      <c r="E16">
        <v>12</v>
      </c>
      <c r="F16">
        <f t="shared" ca="1" si="0"/>
        <v>5</v>
      </c>
      <c r="G16">
        <f t="shared" ca="1" si="1"/>
        <v>3</v>
      </c>
      <c r="H16">
        <f t="shared" ca="1" si="2"/>
        <v>1</v>
      </c>
      <c r="I16">
        <f t="shared" ca="1" si="3"/>
        <v>3</v>
      </c>
      <c r="J16">
        <v>3.5</v>
      </c>
      <c r="K16">
        <v>3</v>
      </c>
      <c r="L16">
        <v>14</v>
      </c>
      <c r="M16" s="3">
        <f t="shared" ca="1" si="4"/>
        <v>45348</v>
      </c>
      <c r="N16" s="3">
        <f t="shared" ca="1" si="4"/>
        <v>45340</v>
      </c>
      <c r="O16" s="3">
        <v>45394</v>
      </c>
    </row>
    <row r="17" spans="1:15" x14ac:dyDescent="0.3">
      <c r="A17" s="3">
        <v>45294</v>
      </c>
      <c r="B17" t="s">
        <v>37</v>
      </c>
      <c r="C17" t="s">
        <v>51</v>
      </c>
      <c r="D17" s="4" cm="1">
        <f t="array" ref="D17">IFERROR( _xlfn.XLOOKUP(B17, B$2:INDEX(B:B,ROW()-1), I$2:INDEX(I:I,ROW()-1), 0, 0, -1),0)</f>
        <v>0</v>
      </c>
      <c r="E17">
        <v>12</v>
      </c>
      <c r="F17">
        <f t="shared" ca="1" si="0"/>
        <v>1</v>
      </c>
      <c r="G17">
        <f t="shared" ca="1" si="1"/>
        <v>1</v>
      </c>
      <c r="H17">
        <f t="shared" ca="1" si="2"/>
        <v>4</v>
      </c>
      <c r="I17">
        <f t="shared" ca="1" si="3"/>
        <v>6</v>
      </c>
      <c r="J17">
        <v>3.5</v>
      </c>
      <c r="K17">
        <v>3</v>
      </c>
      <c r="L17">
        <v>14</v>
      </c>
      <c r="M17" s="3">
        <f t="shared" ca="1" si="4"/>
        <v>45305</v>
      </c>
      <c r="N17" s="3">
        <f t="shared" ca="1" si="4"/>
        <v>45362</v>
      </c>
      <c r="O17" s="3">
        <v>45365</v>
      </c>
    </row>
    <row r="18" spans="1:15" x14ac:dyDescent="0.3">
      <c r="A18" s="3">
        <v>45294</v>
      </c>
      <c r="B18" t="s">
        <v>55</v>
      </c>
      <c r="C18" t="s">
        <v>53</v>
      </c>
      <c r="D18" s="4" cm="1">
        <f t="array" ref="D18">IFERROR( _xlfn.XLOOKUP(B18, B$2:INDEX(B:B,ROW()-1), I$2:INDEX(I:I,ROW()-1), 0, 0, -1),0)</f>
        <v>0</v>
      </c>
      <c r="E18">
        <v>4</v>
      </c>
      <c r="F18">
        <f t="shared" ca="1" si="0"/>
        <v>1</v>
      </c>
      <c r="G18">
        <f t="shared" ca="1" si="1"/>
        <v>2</v>
      </c>
      <c r="H18">
        <f t="shared" ca="1" si="2"/>
        <v>1</v>
      </c>
      <c r="I18">
        <f t="shared" ca="1" si="3"/>
        <v>0</v>
      </c>
      <c r="J18">
        <v>8.5</v>
      </c>
      <c r="K18">
        <v>6</v>
      </c>
      <c r="L18">
        <v>7</v>
      </c>
      <c r="M18" s="3">
        <f t="shared" ca="1" si="4"/>
        <v>45338</v>
      </c>
      <c r="N18" s="3">
        <f t="shared" ca="1" si="4"/>
        <v>45320</v>
      </c>
      <c r="O18" s="3">
        <v>45369</v>
      </c>
    </row>
    <row r="19" spans="1:15" x14ac:dyDescent="0.3">
      <c r="A19" s="3">
        <v>45294</v>
      </c>
      <c r="B19" t="s">
        <v>16</v>
      </c>
      <c r="C19" t="s">
        <v>77</v>
      </c>
      <c r="D19" s="4" cm="1">
        <f t="array" ref="D19">IFERROR( _xlfn.XLOOKUP(B19, B$2:INDEX(B:B,ROW()-1), I$2:INDEX(I:I,ROW()-1), 0, 0, -1),0)</f>
        <v>0</v>
      </c>
      <c r="E19">
        <v>10</v>
      </c>
      <c r="F19">
        <f t="shared" ca="1" si="0"/>
        <v>5</v>
      </c>
      <c r="G19">
        <f t="shared" ca="1" si="1"/>
        <v>0</v>
      </c>
      <c r="H19">
        <f t="shared" ca="1" si="2"/>
        <v>3</v>
      </c>
      <c r="I19">
        <f t="shared" ca="1" si="3"/>
        <v>2</v>
      </c>
      <c r="J19">
        <v>5.5</v>
      </c>
      <c r="K19">
        <v>4.5</v>
      </c>
      <c r="L19">
        <v>7</v>
      </c>
      <c r="M19" s="3">
        <f t="shared" ca="1" si="4"/>
        <v>45360</v>
      </c>
      <c r="N19" s="3">
        <f t="shared" ca="1" si="4"/>
        <v>45349</v>
      </c>
      <c r="O19" s="3">
        <v>45376</v>
      </c>
    </row>
    <row r="20" spans="1:15" x14ac:dyDescent="0.3">
      <c r="A20" s="3">
        <v>45294</v>
      </c>
      <c r="B20" t="s">
        <v>67</v>
      </c>
      <c r="C20" t="s">
        <v>46</v>
      </c>
      <c r="D20" s="4" cm="1">
        <f t="array" ref="D20">IFERROR( _xlfn.XLOOKUP(B20, B$2:INDEX(B:B,ROW()-1), I$2:INDEX(I:I,ROW()-1), 0, 0, -1),0)</f>
        <v>0</v>
      </c>
      <c r="E20">
        <v>8</v>
      </c>
      <c r="F20">
        <f t="shared" ca="1" si="0"/>
        <v>5</v>
      </c>
      <c r="G20">
        <f t="shared" ca="1" si="1"/>
        <v>0</v>
      </c>
      <c r="H20">
        <f t="shared" ca="1" si="2"/>
        <v>2</v>
      </c>
      <c r="I20">
        <f t="shared" ca="1" si="3"/>
        <v>1</v>
      </c>
      <c r="J20">
        <v>3.5</v>
      </c>
      <c r="K20">
        <v>3</v>
      </c>
      <c r="L20">
        <v>8</v>
      </c>
      <c r="M20" s="3">
        <f t="shared" ca="1" si="4"/>
        <v>45398</v>
      </c>
      <c r="N20" s="3">
        <f t="shared" ca="1" si="4"/>
        <v>45356</v>
      </c>
      <c r="O20" s="3">
        <v>45309</v>
      </c>
    </row>
    <row r="21" spans="1:15" x14ac:dyDescent="0.3">
      <c r="A21" s="3">
        <v>45294</v>
      </c>
      <c r="B21" t="s">
        <v>90</v>
      </c>
      <c r="C21" t="s">
        <v>87</v>
      </c>
      <c r="D21" s="4" cm="1">
        <f t="array" aca="1" ref="D21" ca="1">IFERROR( _xlfn.XLOOKUP(B21, B$2:INDEX(B:B,ROW()-1), I$2:INDEX(I:I,ROW()-1), 0, 0, -1),0)</f>
        <v>9</v>
      </c>
      <c r="E21">
        <v>12</v>
      </c>
      <c r="F21">
        <f t="shared" ca="1" si="0"/>
        <v>13</v>
      </c>
      <c r="G21">
        <f t="shared" ca="1" si="1"/>
        <v>2</v>
      </c>
      <c r="H21">
        <f t="shared" ca="1" si="2"/>
        <v>4</v>
      </c>
      <c r="I21">
        <f t="shared" ca="1" si="3"/>
        <v>2</v>
      </c>
      <c r="J21">
        <v>4.5</v>
      </c>
      <c r="K21">
        <v>4</v>
      </c>
      <c r="L21">
        <v>14</v>
      </c>
      <c r="M21" s="3">
        <f t="shared" ca="1" si="4"/>
        <v>45373</v>
      </c>
      <c r="N21" s="3">
        <f t="shared" ca="1" si="4"/>
        <v>45434</v>
      </c>
      <c r="O21" s="3">
        <v>45420</v>
      </c>
    </row>
    <row r="22" spans="1:15" x14ac:dyDescent="0.3">
      <c r="A22" s="3">
        <v>45294</v>
      </c>
      <c r="B22" t="s">
        <v>34</v>
      </c>
      <c r="C22" t="s">
        <v>30</v>
      </c>
      <c r="D22" s="4" cm="1">
        <f t="array" aca="1" ref="D22" ca="1">IFERROR( _xlfn.XLOOKUP(B22, B$2:INDEX(B:B,ROW()-1), I$2:INDEX(I:I,ROW()-1), 0, 0, -1),0)</f>
        <v>2</v>
      </c>
      <c r="E22">
        <v>6</v>
      </c>
      <c r="F22">
        <f t="shared" ca="1" si="0"/>
        <v>2</v>
      </c>
      <c r="G22">
        <f t="shared" ca="1" si="1"/>
        <v>4</v>
      </c>
      <c r="H22">
        <f t="shared" ca="1" si="2"/>
        <v>0</v>
      </c>
      <c r="I22">
        <f t="shared" ca="1" si="3"/>
        <v>2</v>
      </c>
      <c r="J22">
        <v>3.5</v>
      </c>
      <c r="K22">
        <v>3</v>
      </c>
      <c r="L22">
        <v>10</v>
      </c>
      <c r="M22" s="3">
        <f t="shared" ref="M22:N41" ca="1" si="5">DATE(2024,1,1) + RANDBETWEEN(0, DATE(2024,5,25) - DATE(2024,1,1))</f>
        <v>45434</v>
      </c>
      <c r="N22" s="3">
        <f t="shared" ca="1" si="5"/>
        <v>45418</v>
      </c>
      <c r="O22" s="3">
        <v>45427</v>
      </c>
    </row>
    <row r="23" spans="1:15" x14ac:dyDescent="0.3">
      <c r="A23" s="3">
        <v>45294</v>
      </c>
      <c r="B23" t="s">
        <v>92</v>
      </c>
      <c r="C23" t="s">
        <v>91</v>
      </c>
      <c r="D23" s="4" cm="1">
        <f t="array" ref="D23">IFERROR( _xlfn.XLOOKUP(B23, B$2:INDEX(B:B,ROW()-1), I$2:INDEX(I:I,ROW()-1), 0, 0, -1),0)</f>
        <v>0</v>
      </c>
      <c r="E23">
        <v>6</v>
      </c>
      <c r="F23">
        <f t="shared" ca="1" si="0"/>
        <v>0</v>
      </c>
      <c r="G23">
        <f t="shared" ca="1" si="1"/>
        <v>3</v>
      </c>
      <c r="H23">
        <f t="shared" ca="1" si="2"/>
        <v>2</v>
      </c>
      <c r="I23">
        <f t="shared" ca="1" si="3"/>
        <v>1</v>
      </c>
      <c r="J23">
        <v>4.5</v>
      </c>
      <c r="K23">
        <v>4</v>
      </c>
      <c r="L23">
        <v>14</v>
      </c>
      <c r="M23" s="3">
        <f t="shared" ca="1" si="5"/>
        <v>45425</v>
      </c>
      <c r="N23" s="3">
        <f t="shared" ca="1" si="5"/>
        <v>45293</v>
      </c>
      <c r="O23" s="3">
        <v>45358</v>
      </c>
    </row>
    <row r="24" spans="1:15" x14ac:dyDescent="0.3">
      <c r="A24" s="3">
        <v>45294</v>
      </c>
      <c r="B24" t="s">
        <v>63</v>
      </c>
      <c r="C24" t="s">
        <v>97</v>
      </c>
      <c r="D24" s="4" cm="1">
        <f t="array" aca="1" ref="D24" ca="1">IFERROR( _xlfn.XLOOKUP(B24, B$2:INDEX(B:B,ROW()-1), I$2:INDEX(I:I,ROW()-1), 0, 0, -1),0)</f>
        <v>3</v>
      </c>
      <c r="E24">
        <v>10</v>
      </c>
      <c r="F24">
        <f t="shared" ca="1" si="0"/>
        <v>1</v>
      </c>
      <c r="G24">
        <f t="shared" ca="1" si="1"/>
        <v>2</v>
      </c>
      <c r="H24">
        <f t="shared" ca="1" si="2"/>
        <v>2</v>
      </c>
      <c r="I24">
        <f t="shared" ca="1" si="3"/>
        <v>8</v>
      </c>
      <c r="J24">
        <v>4</v>
      </c>
      <c r="K24">
        <v>3.5</v>
      </c>
      <c r="L24">
        <v>10</v>
      </c>
      <c r="M24" s="3">
        <f t="shared" ca="1" si="5"/>
        <v>45368</v>
      </c>
      <c r="N24" s="3">
        <f t="shared" ca="1" si="5"/>
        <v>45333</v>
      </c>
      <c r="O24" s="3">
        <v>45416</v>
      </c>
    </row>
    <row r="25" spans="1:15" x14ac:dyDescent="0.3">
      <c r="A25" s="3">
        <v>45295</v>
      </c>
      <c r="B25" t="s">
        <v>41</v>
      </c>
      <c r="C25" t="s">
        <v>86</v>
      </c>
      <c r="D25" s="4" cm="1">
        <f t="array" aca="1" ref="D25" ca="1">IFERROR( _xlfn.XLOOKUP(B25, B$2:INDEX(B:B,ROW()-1), I$2:INDEX(I:I,ROW()-1), 0, 0, -1),0)</f>
        <v>4</v>
      </c>
      <c r="E25">
        <v>15</v>
      </c>
      <c r="F25">
        <f t="shared" ca="1" si="0"/>
        <v>3</v>
      </c>
      <c r="G25">
        <f t="shared" ca="1" si="1"/>
        <v>0</v>
      </c>
      <c r="H25">
        <f t="shared" ca="1" si="2"/>
        <v>8</v>
      </c>
      <c r="I25">
        <f t="shared" ca="1" si="3"/>
        <v>8</v>
      </c>
      <c r="J25">
        <v>3</v>
      </c>
      <c r="K25">
        <v>2.5</v>
      </c>
      <c r="L25">
        <v>14</v>
      </c>
      <c r="M25" s="3">
        <f t="shared" ca="1" si="5"/>
        <v>45357</v>
      </c>
      <c r="N25" s="3">
        <f t="shared" ca="1" si="5"/>
        <v>45403</v>
      </c>
      <c r="O25" s="3">
        <v>45349</v>
      </c>
    </row>
    <row r="26" spans="1:15" x14ac:dyDescent="0.3">
      <c r="A26" s="3">
        <v>45295</v>
      </c>
      <c r="B26" t="s">
        <v>78</v>
      </c>
      <c r="C26" t="s">
        <v>74</v>
      </c>
      <c r="D26" s="4" cm="1">
        <f t="array" aca="1" ref="D26" ca="1">IFERROR( _xlfn.XLOOKUP(B26, B$2:INDEX(B:B,ROW()-1), I$2:INDEX(I:I,ROW()-1), 0, 0, -1),0)</f>
        <v>0</v>
      </c>
      <c r="E26">
        <v>6</v>
      </c>
      <c r="F26">
        <f t="shared" ca="1" si="0"/>
        <v>1</v>
      </c>
      <c r="G26">
        <f t="shared" ca="1" si="1"/>
        <v>1</v>
      </c>
      <c r="H26">
        <f t="shared" ca="1" si="2"/>
        <v>0</v>
      </c>
      <c r="I26">
        <f t="shared" ca="1" si="3"/>
        <v>4</v>
      </c>
      <c r="J26">
        <v>4</v>
      </c>
      <c r="K26">
        <v>3</v>
      </c>
      <c r="L26">
        <v>7</v>
      </c>
      <c r="M26" s="3">
        <f t="shared" ca="1" si="5"/>
        <v>45304</v>
      </c>
      <c r="N26" s="3">
        <f t="shared" ca="1" si="5"/>
        <v>45424</v>
      </c>
      <c r="O26" s="3">
        <v>45348</v>
      </c>
    </row>
    <row r="27" spans="1:15" x14ac:dyDescent="0.3">
      <c r="A27" s="3">
        <v>45295</v>
      </c>
      <c r="B27" t="s">
        <v>84</v>
      </c>
      <c r="C27" t="s">
        <v>101</v>
      </c>
      <c r="D27" s="4" cm="1">
        <f t="array" ref="D27">IFERROR( _xlfn.XLOOKUP(B27, B$2:INDEX(B:B,ROW()-1), I$2:INDEX(I:I,ROW()-1), 0, 0, -1),0)</f>
        <v>0</v>
      </c>
      <c r="E27">
        <v>8</v>
      </c>
      <c r="F27">
        <f t="shared" ca="1" si="0"/>
        <v>0</v>
      </c>
      <c r="G27">
        <f t="shared" ca="1" si="1"/>
        <v>1</v>
      </c>
      <c r="H27">
        <f t="shared" ca="1" si="2"/>
        <v>1</v>
      </c>
      <c r="I27">
        <f t="shared" ca="1" si="3"/>
        <v>6</v>
      </c>
      <c r="J27">
        <v>3.5</v>
      </c>
      <c r="K27">
        <v>3</v>
      </c>
      <c r="L27">
        <v>8</v>
      </c>
      <c r="M27" s="3">
        <f t="shared" ca="1" si="5"/>
        <v>45354</v>
      </c>
      <c r="N27" s="3">
        <f t="shared" ca="1" si="5"/>
        <v>45385</v>
      </c>
      <c r="O27" s="3">
        <v>45370</v>
      </c>
    </row>
    <row r="28" spans="1:15" x14ac:dyDescent="0.3">
      <c r="A28" s="3">
        <v>45295</v>
      </c>
      <c r="B28" t="s">
        <v>23</v>
      </c>
      <c r="C28" t="s">
        <v>28</v>
      </c>
      <c r="D28" s="4" cm="1">
        <f t="array" aca="1" ref="D28" ca="1">IFERROR( _xlfn.XLOOKUP(B28, B$2:INDEX(B:B,ROW()-1), I$2:INDEX(I:I,ROW()-1), 0, 0, -1),0)</f>
        <v>8</v>
      </c>
      <c r="E28">
        <v>9</v>
      </c>
      <c r="F28">
        <f t="shared" ca="1" si="0"/>
        <v>6</v>
      </c>
      <c r="G28">
        <f t="shared" ca="1" si="1"/>
        <v>2</v>
      </c>
      <c r="H28">
        <f t="shared" ca="1" si="2"/>
        <v>2</v>
      </c>
      <c r="I28">
        <f t="shared" ca="1" si="3"/>
        <v>7</v>
      </c>
      <c r="J28">
        <v>6.5</v>
      </c>
      <c r="K28">
        <v>5.5</v>
      </c>
      <c r="L28">
        <v>9</v>
      </c>
      <c r="M28" s="3">
        <f t="shared" ca="1" si="5"/>
        <v>45411</v>
      </c>
      <c r="N28" s="3">
        <f t="shared" ca="1" si="5"/>
        <v>45427</v>
      </c>
      <c r="O28" s="3">
        <v>45328</v>
      </c>
    </row>
    <row r="29" spans="1:15" x14ac:dyDescent="0.3">
      <c r="A29" s="3">
        <v>45295</v>
      </c>
      <c r="B29" t="s">
        <v>24</v>
      </c>
      <c r="C29" t="s">
        <v>29</v>
      </c>
      <c r="D29" s="4" cm="1">
        <f t="array" ref="D29">IFERROR( _xlfn.XLOOKUP(B29, B$2:INDEX(B:B,ROW()-1), I$2:INDEX(I:I,ROW()-1), 0, 0, -1),0)</f>
        <v>0</v>
      </c>
      <c r="E29">
        <v>8</v>
      </c>
      <c r="F29">
        <f t="shared" ca="1" si="0"/>
        <v>5</v>
      </c>
      <c r="G29">
        <f t="shared" ca="1" si="1"/>
        <v>2</v>
      </c>
      <c r="H29">
        <f t="shared" ca="1" si="2"/>
        <v>0</v>
      </c>
      <c r="I29">
        <f t="shared" ca="1" si="3"/>
        <v>1</v>
      </c>
      <c r="J29">
        <v>7.5</v>
      </c>
      <c r="K29">
        <v>5.5</v>
      </c>
      <c r="L29">
        <v>7</v>
      </c>
      <c r="M29" s="3">
        <f t="shared" ca="1" si="5"/>
        <v>45338</v>
      </c>
      <c r="N29" s="3">
        <f t="shared" ca="1" si="5"/>
        <v>45371</v>
      </c>
      <c r="O29" s="3">
        <v>45400</v>
      </c>
    </row>
    <row r="30" spans="1:15" x14ac:dyDescent="0.3">
      <c r="A30" s="3">
        <v>45295</v>
      </c>
      <c r="B30" t="s">
        <v>41</v>
      </c>
      <c r="C30" t="s">
        <v>86</v>
      </c>
      <c r="D30" s="4" cm="1">
        <f t="array" aca="1" ref="D30" ca="1">IFERROR( _xlfn.XLOOKUP(B30, B$2:INDEX(B:B,ROW()-1), I$2:INDEX(I:I,ROW()-1), 0, 0, -1),0)</f>
        <v>8</v>
      </c>
      <c r="E30">
        <v>15</v>
      </c>
      <c r="F30">
        <f t="shared" ca="1" si="0"/>
        <v>5</v>
      </c>
      <c r="G30">
        <f t="shared" ca="1" si="1"/>
        <v>8</v>
      </c>
      <c r="H30">
        <f t="shared" ca="1" si="2"/>
        <v>3</v>
      </c>
      <c r="I30">
        <f t="shared" ca="1" si="3"/>
        <v>7</v>
      </c>
      <c r="J30">
        <v>3</v>
      </c>
      <c r="K30">
        <v>2.5</v>
      </c>
      <c r="L30">
        <v>14</v>
      </c>
      <c r="M30" s="3">
        <f t="shared" ca="1" si="5"/>
        <v>45428</v>
      </c>
      <c r="N30" s="3">
        <f t="shared" ca="1" si="5"/>
        <v>45349</v>
      </c>
      <c r="O30" s="3">
        <v>45332</v>
      </c>
    </row>
    <row r="31" spans="1:15" x14ac:dyDescent="0.3">
      <c r="A31" s="3">
        <v>45295</v>
      </c>
      <c r="B31" t="s">
        <v>63</v>
      </c>
      <c r="C31" t="s">
        <v>97</v>
      </c>
      <c r="D31" s="4" cm="1">
        <f t="array" aca="1" ref="D31" ca="1">IFERROR( _xlfn.XLOOKUP(B31, B$2:INDEX(B:B,ROW()-1), I$2:INDEX(I:I,ROW()-1), 0, 0, -1),0)</f>
        <v>8</v>
      </c>
      <c r="E31">
        <v>10</v>
      </c>
      <c r="F31">
        <f t="shared" ca="1" si="0"/>
        <v>0</v>
      </c>
      <c r="G31">
        <f t="shared" ca="1" si="1"/>
        <v>1</v>
      </c>
      <c r="H31">
        <f t="shared" ca="1" si="2"/>
        <v>2</v>
      </c>
      <c r="I31">
        <f t="shared" ca="1" si="3"/>
        <v>15</v>
      </c>
      <c r="J31">
        <v>4</v>
      </c>
      <c r="K31">
        <v>3.5</v>
      </c>
      <c r="L31">
        <v>10</v>
      </c>
      <c r="M31" s="3">
        <f t="shared" ca="1" si="5"/>
        <v>45399</v>
      </c>
      <c r="N31" s="3">
        <f t="shared" ca="1" si="5"/>
        <v>45416</v>
      </c>
      <c r="O31" s="3">
        <v>45357</v>
      </c>
    </row>
    <row r="32" spans="1:15" x14ac:dyDescent="0.3">
      <c r="A32" s="3">
        <v>45296</v>
      </c>
      <c r="B32" t="s">
        <v>89</v>
      </c>
      <c r="C32" t="s">
        <v>103</v>
      </c>
      <c r="D32" s="4" cm="1">
        <f t="array" ref="D32">IFERROR( _xlfn.XLOOKUP(B32, B$2:INDEX(B:B,ROW()-1), I$2:INDEX(I:I,ROW()-1), 0, 0, -1),0)</f>
        <v>0</v>
      </c>
      <c r="E32">
        <v>8</v>
      </c>
      <c r="F32">
        <f t="shared" ca="1" si="0"/>
        <v>2</v>
      </c>
      <c r="G32">
        <f t="shared" ca="1" si="1"/>
        <v>2</v>
      </c>
      <c r="H32">
        <f t="shared" ca="1" si="2"/>
        <v>2</v>
      </c>
      <c r="I32">
        <f t="shared" ca="1" si="3"/>
        <v>2</v>
      </c>
      <c r="J32">
        <v>3.5</v>
      </c>
      <c r="K32">
        <v>3</v>
      </c>
      <c r="L32">
        <v>8</v>
      </c>
      <c r="M32" s="3">
        <f t="shared" ca="1" si="5"/>
        <v>45393</v>
      </c>
      <c r="N32" s="3">
        <f t="shared" ca="1" si="5"/>
        <v>45369</v>
      </c>
      <c r="O32" s="3">
        <v>45383</v>
      </c>
    </row>
    <row r="33" spans="1:15" x14ac:dyDescent="0.3">
      <c r="A33" s="3">
        <v>45296</v>
      </c>
      <c r="B33" t="s">
        <v>69</v>
      </c>
      <c r="C33" t="s">
        <v>98</v>
      </c>
      <c r="D33" s="4" cm="1">
        <f t="array" ref="D33">IFERROR( _xlfn.XLOOKUP(B33, B$2:INDEX(B:B,ROW()-1), I$2:INDEX(I:I,ROW()-1), 0, 0, -1),0)</f>
        <v>0</v>
      </c>
      <c r="E33">
        <v>6</v>
      </c>
      <c r="F33">
        <f t="shared" ca="1" si="0"/>
        <v>2</v>
      </c>
      <c r="G33">
        <f t="shared" ca="1" si="1"/>
        <v>1</v>
      </c>
      <c r="H33">
        <f t="shared" ca="1" si="2"/>
        <v>0</v>
      </c>
      <c r="I33">
        <f t="shared" ca="1" si="3"/>
        <v>3</v>
      </c>
      <c r="J33">
        <v>4</v>
      </c>
      <c r="K33">
        <v>3</v>
      </c>
      <c r="L33">
        <v>7</v>
      </c>
      <c r="M33" s="3">
        <f t="shared" ca="1" si="5"/>
        <v>45401</v>
      </c>
      <c r="N33" s="3">
        <f t="shared" ca="1" si="5"/>
        <v>45296</v>
      </c>
      <c r="O33" s="3">
        <v>45327</v>
      </c>
    </row>
    <row r="34" spans="1:15" x14ac:dyDescent="0.3">
      <c r="A34" s="3">
        <v>45296</v>
      </c>
      <c r="B34" t="s">
        <v>37</v>
      </c>
      <c r="C34" t="s">
        <v>51</v>
      </c>
      <c r="D34" s="4" cm="1">
        <f t="array" aca="1" ref="D34" ca="1">IFERROR( _xlfn.XLOOKUP(B34, B$2:INDEX(B:B,ROW()-1), I$2:INDEX(I:I,ROW()-1), 0, 0, -1),0)</f>
        <v>6</v>
      </c>
      <c r="E34">
        <v>12</v>
      </c>
      <c r="F34">
        <f t="shared" ca="1" si="0"/>
        <v>8</v>
      </c>
      <c r="G34">
        <f t="shared" ca="1" si="1"/>
        <v>3</v>
      </c>
      <c r="H34">
        <f t="shared" ca="1" si="2"/>
        <v>0</v>
      </c>
      <c r="I34">
        <f t="shared" ca="1" si="3"/>
        <v>7</v>
      </c>
      <c r="J34">
        <v>3.5</v>
      </c>
      <c r="K34">
        <v>3</v>
      </c>
      <c r="L34">
        <v>14</v>
      </c>
      <c r="M34" s="3">
        <f t="shared" ca="1" si="5"/>
        <v>45297</v>
      </c>
      <c r="N34" s="3">
        <f t="shared" ca="1" si="5"/>
        <v>45423</v>
      </c>
      <c r="O34" s="3">
        <v>45431</v>
      </c>
    </row>
    <row r="35" spans="1:15" x14ac:dyDescent="0.3">
      <c r="A35" s="3">
        <v>45296</v>
      </c>
      <c r="B35" t="s">
        <v>92</v>
      </c>
      <c r="C35" t="s">
        <v>91</v>
      </c>
      <c r="D35" s="4" cm="1">
        <f t="array" aca="1" ref="D35" ca="1">IFERROR( _xlfn.XLOOKUP(B35, B$2:INDEX(B:B,ROW()-1), I$2:INDEX(I:I,ROW()-1), 0, 0, -1),0)</f>
        <v>1</v>
      </c>
      <c r="E35">
        <v>6</v>
      </c>
      <c r="F35">
        <f t="shared" ca="1" si="0"/>
        <v>1</v>
      </c>
      <c r="G35">
        <f t="shared" ca="1" si="1"/>
        <v>3</v>
      </c>
      <c r="H35">
        <f t="shared" ca="1" si="2"/>
        <v>2</v>
      </c>
      <c r="I35">
        <f t="shared" ca="1" si="3"/>
        <v>1</v>
      </c>
      <c r="J35">
        <v>4.5</v>
      </c>
      <c r="K35">
        <v>4</v>
      </c>
      <c r="L35">
        <v>14</v>
      </c>
      <c r="M35" s="3">
        <f t="shared" ca="1" si="5"/>
        <v>45391</v>
      </c>
      <c r="N35" s="3">
        <f t="shared" ca="1" si="5"/>
        <v>45345</v>
      </c>
      <c r="O35" s="3">
        <v>45367</v>
      </c>
    </row>
    <row r="36" spans="1:15" x14ac:dyDescent="0.3">
      <c r="A36" s="3">
        <v>45296</v>
      </c>
      <c r="B36" t="s">
        <v>23</v>
      </c>
      <c r="C36" t="s">
        <v>28</v>
      </c>
      <c r="D36" s="4" cm="1">
        <f t="array" aca="1" ref="D36" ca="1">IFERROR( _xlfn.XLOOKUP(B36, B$2:INDEX(B:B,ROW()-1), I$2:INDEX(I:I,ROW()-1), 0, 0, -1),0)</f>
        <v>7</v>
      </c>
      <c r="E36">
        <v>9</v>
      </c>
      <c r="F36">
        <f t="shared" ca="1" si="0"/>
        <v>1</v>
      </c>
      <c r="G36">
        <f t="shared" ca="1" si="1"/>
        <v>9</v>
      </c>
      <c r="H36">
        <f t="shared" ca="1" si="2"/>
        <v>2</v>
      </c>
      <c r="I36">
        <f t="shared" ca="1" si="3"/>
        <v>4</v>
      </c>
      <c r="J36">
        <v>6.5</v>
      </c>
      <c r="K36">
        <v>5.5</v>
      </c>
      <c r="L36">
        <v>9</v>
      </c>
      <c r="M36" s="3">
        <f t="shared" ca="1" si="5"/>
        <v>45345</v>
      </c>
      <c r="N36" s="3">
        <f t="shared" ca="1" si="5"/>
        <v>45403</v>
      </c>
      <c r="O36" s="3">
        <v>45295</v>
      </c>
    </row>
    <row r="37" spans="1:15" x14ac:dyDescent="0.3">
      <c r="A37" s="3">
        <v>45296</v>
      </c>
      <c r="B37" t="s">
        <v>57</v>
      </c>
      <c r="C37" t="s">
        <v>75</v>
      </c>
      <c r="D37" s="4" cm="1">
        <f t="array" ref="D37">IFERROR( _xlfn.XLOOKUP(B37, B$2:INDEX(B:B,ROW()-1), I$2:INDEX(I:I,ROW()-1), 0, 0, -1),0)</f>
        <v>0</v>
      </c>
      <c r="E37">
        <v>8</v>
      </c>
      <c r="F37">
        <f t="shared" ca="1" si="0"/>
        <v>0</v>
      </c>
      <c r="G37">
        <f t="shared" ca="1" si="1"/>
        <v>5</v>
      </c>
      <c r="H37">
        <f t="shared" ca="1" si="2"/>
        <v>0</v>
      </c>
      <c r="I37">
        <f t="shared" ca="1" si="3"/>
        <v>3</v>
      </c>
      <c r="J37">
        <v>6</v>
      </c>
      <c r="K37">
        <v>5.5</v>
      </c>
      <c r="L37">
        <v>20</v>
      </c>
      <c r="M37" s="3">
        <f t="shared" ca="1" si="5"/>
        <v>45338</v>
      </c>
      <c r="N37" s="3">
        <f t="shared" ca="1" si="5"/>
        <v>45323</v>
      </c>
      <c r="O37" s="3">
        <v>45402</v>
      </c>
    </row>
    <row r="38" spans="1:15" x14ac:dyDescent="0.3">
      <c r="A38" s="3">
        <v>45297</v>
      </c>
      <c r="B38" t="s">
        <v>92</v>
      </c>
      <c r="C38" t="s">
        <v>91</v>
      </c>
      <c r="D38" s="4" cm="1">
        <f t="array" aca="1" ref="D38" ca="1">IFERROR( _xlfn.XLOOKUP(B38, B$2:INDEX(B:B,ROW()-1), I$2:INDEX(I:I,ROW()-1), 0, 0, -1),0)</f>
        <v>1</v>
      </c>
      <c r="E38">
        <v>6</v>
      </c>
      <c r="F38">
        <f t="shared" ca="1" si="0"/>
        <v>0</v>
      </c>
      <c r="G38">
        <f t="shared" ca="1" si="1"/>
        <v>3</v>
      </c>
      <c r="H38">
        <f t="shared" ca="1" si="2"/>
        <v>1</v>
      </c>
      <c r="I38">
        <f t="shared" ca="1" si="3"/>
        <v>3</v>
      </c>
      <c r="J38">
        <v>4.5</v>
      </c>
      <c r="K38">
        <v>4</v>
      </c>
      <c r="L38">
        <v>14</v>
      </c>
      <c r="M38" s="3">
        <f t="shared" ca="1" si="5"/>
        <v>45370</v>
      </c>
      <c r="N38" s="3">
        <f t="shared" ca="1" si="5"/>
        <v>45330</v>
      </c>
      <c r="O38" s="3">
        <v>45303</v>
      </c>
    </row>
    <row r="39" spans="1:15" x14ac:dyDescent="0.3">
      <c r="A39" s="3">
        <v>45297</v>
      </c>
      <c r="B39" t="s">
        <v>38</v>
      </c>
      <c r="C39" t="s">
        <v>52</v>
      </c>
      <c r="D39" s="4" cm="1">
        <f t="array" ref="D39">IFERROR( _xlfn.XLOOKUP(B39, B$2:INDEX(B:B,ROW()-1), I$2:INDEX(I:I,ROW()-1), 0, 0, -1),0)</f>
        <v>0</v>
      </c>
      <c r="E39">
        <v>12</v>
      </c>
      <c r="F39">
        <f t="shared" ca="1" si="0"/>
        <v>3</v>
      </c>
      <c r="G39">
        <f t="shared" ca="1" si="1"/>
        <v>2</v>
      </c>
      <c r="H39">
        <f t="shared" ca="1" si="2"/>
        <v>0</v>
      </c>
      <c r="I39">
        <f t="shared" ca="1" si="3"/>
        <v>7</v>
      </c>
      <c r="J39">
        <v>3.5</v>
      </c>
      <c r="K39">
        <v>3</v>
      </c>
      <c r="L39">
        <v>14</v>
      </c>
      <c r="M39" s="3">
        <f t="shared" ca="1" si="5"/>
        <v>45332</v>
      </c>
      <c r="N39" s="3">
        <f t="shared" ca="1" si="5"/>
        <v>45385</v>
      </c>
      <c r="O39" s="3">
        <v>45346</v>
      </c>
    </row>
    <row r="40" spans="1:15" x14ac:dyDescent="0.3">
      <c r="A40" s="3">
        <v>45297</v>
      </c>
      <c r="B40" t="s">
        <v>80</v>
      </c>
      <c r="C40" t="s">
        <v>49</v>
      </c>
      <c r="D40" s="4" cm="1">
        <f t="array" ref="D40">IFERROR( _xlfn.XLOOKUP(B40, B$2:INDEX(B:B,ROW()-1), I$2:INDEX(I:I,ROW()-1), 0, 0, -1),0)</f>
        <v>0</v>
      </c>
      <c r="E40">
        <v>8</v>
      </c>
      <c r="F40">
        <f t="shared" ca="1" si="0"/>
        <v>1</v>
      </c>
      <c r="G40">
        <f t="shared" ca="1" si="1"/>
        <v>0</v>
      </c>
      <c r="H40">
        <f t="shared" ca="1" si="2"/>
        <v>2</v>
      </c>
      <c r="I40">
        <f t="shared" ca="1" si="3"/>
        <v>5</v>
      </c>
      <c r="J40">
        <v>2.5</v>
      </c>
      <c r="K40">
        <v>2</v>
      </c>
      <c r="L40">
        <v>5</v>
      </c>
      <c r="M40" s="3">
        <f t="shared" ca="1" si="5"/>
        <v>45401</v>
      </c>
      <c r="N40" s="3">
        <f t="shared" ca="1" si="5"/>
        <v>45329</v>
      </c>
      <c r="O40" s="3">
        <v>45352</v>
      </c>
    </row>
    <row r="41" spans="1:15" x14ac:dyDescent="0.3">
      <c r="A41" s="3">
        <v>45297</v>
      </c>
      <c r="B41" t="s">
        <v>92</v>
      </c>
      <c r="C41" t="s">
        <v>91</v>
      </c>
      <c r="D41" s="4" cm="1">
        <f t="array" aca="1" ref="D41" ca="1">IFERROR( _xlfn.XLOOKUP(B41, B$2:INDEX(B:B,ROW()-1), I$2:INDEX(I:I,ROW()-1), 0, 0, -1),0)</f>
        <v>3</v>
      </c>
      <c r="E41">
        <v>6</v>
      </c>
      <c r="F41">
        <f t="shared" ca="1" si="0"/>
        <v>1</v>
      </c>
      <c r="G41">
        <f t="shared" ca="1" si="1"/>
        <v>4</v>
      </c>
      <c r="H41">
        <f t="shared" ca="1" si="2"/>
        <v>1</v>
      </c>
      <c r="I41">
        <f t="shared" ca="1" si="3"/>
        <v>3</v>
      </c>
      <c r="J41">
        <v>4.5</v>
      </c>
      <c r="K41">
        <v>4</v>
      </c>
      <c r="L41">
        <v>14</v>
      </c>
      <c r="M41" s="3">
        <f t="shared" ca="1" si="5"/>
        <v>45420</v>
      </c>
      <c r="N41" s="3">
        <f t="shared" ca="1" si="5"/>
        <v>45309</v>
      </c>
      <c r="O41" s="3">
        <v>45423</v>
      </c>
    </row>
    <row r="42" spans="1:15" x14ac:dyDescent="0.3">
      <c r="A42" s="3">
        <v>45297</v>
      </c>
      <c r="B42" t="s">
        <v>83</v>
      </c>
      <c r="C42" t="s">
        <v>100</v>
      </c>
      <c r="D42" s="4" cm="1">
        <f t="array" ref="D42">IFERROR( _xlfn.XLOOKUP(B42, B$2:INDEX(B:B,ROW()-1), I$2:INDEX(I:I,ROW()-1), 0, 0, -1),0)</f>
        <v>0</v>
      </c>
      <c r="E42">
        <v>10</v>
      </c>
      <c r="F42">
        <f t="shared" ca="1" si="0"/>
        <v>6</v>
      </c>
      <c r="G42">
        <f t="shared" ca="1" si="1"/>
        <v>1</v>
      </c>
      <c r="H42">
        <f t="shared" ca="1" si="2"/>
        <v>1</v>
      </c>
      <c r="I42">
        <f t="shared" ca="1" si="3"/>
        <v>2</v>
      </c>
      <c r="J42">
        <v>4.5</v>
      </c>
      <c r="K42">
        <v>4</v>
      </c>
      <c r="L42">
        <v>10</v>
      </c>
      <c r="M42" s="3">
        <f t="shared" ref="M42:N61" ca="1" si="6">DATE(2024,1,1) + RANDBETWEEN(0, DATE(2024,5,25) - DATE(2024,1,1))</f>
        <v>45381</v>
      </c>
      <c r="N42" s="3">
        <f t="shared" ca="1" si="6"/>
        <v>45393</v>
      </c>
      <c r="O42" s="3">
        <v>45299</v>
      </c>
    </row>
    <row r="43" spans="1:15" x14ac:dyDescent="0.3">
      <c r="A43" s="3">
        <v>45298</v>
      </c>
      <c r="B43" t="s">
        <v>34</v>
      </c>
      <c r="C43" t="s">
        <v>30</v>
      </c>
      <c r="D43" s="4" cm="1">
        <f t="array" aca="1" ref="D43" ca="1">IFERROR( _xlfn.XLOOKUP(B43, B$2:INDEX(B:B,ROW()-1), I$2:INDEX(I:I,ROW()-1), 0, 0, -1),0)</f>
        <v>2</v>
      </c>
      <c r="E43">
        <v>6</v>
      </c>
      <c r="F43">
        <f t="shared" ca="1" si="0"/>
        <v>1</v>
      </c>
      <c r="G43">
        <f t="shared" ca="1" si="1"/>
        <v>4</v>
      </c>
      <c r="H43">
        <f t="shared" ca="1" si="2"/>
        <v>2</v>
      </c>
      <c r="I43">
        <f t="shared" ca="1" si="3"/>
        <v>1</v>
      </c>
      <c r="J43">
        <v>3.5</v>
      </c>
      <c r="K43">
        <v>3</v>
      </c>
      <c r="L43">
        <v>10</v>
      </c>
      <c r="M43" s="3">
        <f t="shared" ca="1" si="6"/>
        <v>45406</v>
      </c>
      <c r="N43" s="3">
        <f t="shared" ca="1" si="6"/>
        <v>45355</v>
      </c>
      <c r="O43" s="3">
        <v>45303</v>
      </c>
    </row>
    <row r="44" spans="1:15" x14ac:dyDescent="0.3">
      <c r="A44" s="3">
        <v>45298</v>
      </c>
      <c r="B44" t="s">
        <v>35</v>
      </c>
      <c r="C44" t="s">
        <v>31</v>
      </c>
      <c r="D44" s="4" cm="1">
        <f t="array" aca="1" ref="D44" ca="1">IFERROR( _xlfn.XLOOKUP(B44, B$2:INDEX(B:B,ROW()-1), I$2:INDEX(I:I,ROW()-1), 0, 0, -1),0)</f>
        <v>2</v>
      </c>
      <c r="E44">
        <v>8</v>
      </c>
      <c r="F44">
        <f t="shared" ca="1" si="0"/>
        <v>6</v>
      </c>
      <c r="G44">
        <f t="shared" ca="1" si="1"/>
        <v>2</v>
      </c>
      <c r="H44">
        <f t="shared" ca="1" si="2"/>
        <v>1</v>
      </c>
      <c r="I44">
        <f t="shared" ca="1" si="3"/>
        <v>1</v>
      </c>
      <c r="J44">
        <v>3.5</v>
      </c>
      <c r="K44">
        <v>3</v>
      </c>
      <c r="L44">
        <v>14</v>
      </c>
      <c r="M44" s="3">
        <f t="shared" ca="1" si="6"/>
        <v>45331</v>
      </c>
      <c r="N44" s="3">
        <f t="shared" ca="1" si="6"/>
        <v>45322</v>
      </c>
      <c r="O44" s="3">
        <v>45305</v>
      </c>
    </row>
    <row r="45" spans="1:15" x14ac:dyDescent="0.3">
      <c r="A45" s="3">
        <v>45298</v>
      </c>
      <c r="B45" t="s">
        <v>59</v>
      </c>
      <c r="C45" t="s">
        <v>93</v>
      </c>
      <c r="D45" s="4" cm="1">
        <f t="array" ref="D45">IFERROR( _xlfn.XLOOKUP(B45, B$2:INDEX(B:B,ROW()-1), I$2:INDEX(I:I,ROW()-1), 0, 0, -1),0)</f>
        <v>0</v>
      </c>
      <c r="E45">
        <v>10</v>
      </c>
      <c r="F45">
        <f t="shared" ca="1" si="0"/>
        <v>3</v>
      </c>
      <c r="G45">
        <f t="shared" ca="1" si="1"/>
        <v>2</v>
      </c>
      <c r="H45">
        <f t="shared" ca="1" si="2"/>
        <v>2</v>
      </c>
      <c r="I45">
        <f t="shared" ca="1" si="3"/>
        <v>3</v>
      </c>
      <c r="J45">
        <v>4</v>
      </c>
      <c r="K45">
        <v>3.5</v>
      </c>
      <c r="L45">
        <v>10</v>
      </c>
      <c r="M45" s="3">
        <f t="shared" ca="1" si="6"/>
        <v>45321</v>
      </c>
      <c r="N45" s="3">
        <f t="shared" ca="1" si="6"/>
        <v>45303</v>
      </c>
      <c r="O45" s="3">
        <v>45366</v>
      </c>
    </row>
    <row r="46" spans="1:15" x14ac:dyDescent="0.3">
      <c r="A46" s="3">
        <v>45298</v>
      </c>
      <c r="B46" t="s">
        <v>71</v>
      </c>
      <c r="C46" t="s">
        <v>47</v>
      </c>
      <c r="D46" s="4" cm="1">
        <f t="array" ref="D46">IFERROR( _xlfn.XLOOKUP(B46, B$2:INDEX(B:B,ROW()-1), I$2:INDEX(I:I,ROW()-1), 0, 0, -1),0)</f>
        <v>0</v>
      </c>
      <c r="E46">
        <v>6</v>
      </c>
      <c r="F46">
        <f t="shared" ca="1" si="0"/>
        <v>2</v>
      </c>
      <c r="G46">
        <f t="shared" ca="1" si="1"/>
        <v>1</v>
      </c>
      <c r="H46">
        <f t="shared" ca="1" si="2"/>
        <v>1</v>
      </c>
      <c r="I46">
        <f t="shared" ca="1" si="3"/>
        <v>2</v>
      </c>
      <c r="J46">
        <v>4</v>
      </c>
      <c r="K46">
        <v>3</v>
      </c>
      <c r="L46">
        <v>7</v>
      </c>
      <c r="M46" s="3">
        <f t="shared" ca="1" si="6"/>
        <v>45312</v>
      </c>
      <c r="N46" s="3">
        <f t="shared" ca="1" si="6"/>
        <v>45428</v>
      </c>
      <c r="O46" s="3">
        <v>45380</v>
      </c>
    </row>
    <row r="47" spans="1:15" x14ac:dyDescent="0.3">
      <c r="A47" s="3">
        <v>45298</v>
      </c>
      <c r="B47" t="s">
        <v>78</v>
      </c>
      <c r="C47" t="s">
        <v>74</v>
      </c>
      <c r="D47" s="4" cm="1">
        <f t="array" aca="1" ref="D47" ca="1">IFERROR( _xlfn.XLOOKUP(B47, B$2:INDEX(B:B,ROW()-1), I$2:INDEX(I:I,ROW()-1), 0, 0, -1),0)</f>
        <v>4</v>
      </c>
      <c r="E47">
        <v>6</v>
      </c>
      <c r="F47">
        <f t="shared" ca="1" si="0"/>
        <v>1</v>
      </c>
      <c r="G47">
        <f t="shared" ca="1" si="1"/>
        <v>0</v>
      </c>
      <c r="H47">
        <f t="shared" ca="1" si="2"/>
        <v>0</v>
      </c>
      <c r="I47">
        <f t="shared" ca="1" si="3"/>
        <v>9</v>
      </c>
      <c r="J47">
        <v>4</v>
      </c>
      <c r="K47">
        <v>3</v>
      </c>
      <c r="L47">
        <v>7</v>
      </c>
      <c r="M47" s="3">
        <f t="shared" ca="1" si="6"/>
        <v>45368</v>
      </c>
      <c r="N47" s="3">
        <f t="shared" ca="1" si="6"/>
        <v>45341</v>
      </c>
      <c r="O47" s="3">
        <v>45336</v>
      </c>
    </row>
    <row r="48" spans="1:15" x14ac:dyDescent="0.3">
      <c r="A48" s="3">
        <v>45298</v>
      </c>
      <c r="B48" t="s">
        <v>81</v>
      </c>
      <c r="C48" t="s">
        <v>50</v>
      </c>
      <c r="D48" s="4" cm="1">
        <f t="array" ref="D48">IFERROR( _xlfn.XLOOKUP(B48, B$2:INDEX(B:B,ROW()-1), I$2:INDEX(I:I,ROW()-1), 0, 0, -1),0)</f>
        <v>0</v>
      </c>
      <c r="E48">
        <v>8</v>
      </c>
      <c r="F48">
        <f t="shared" ca="1" si="0"/>
        <v>5</v>
      </c>
      <c r="G48">
        <f t="shared" ca="1" si="1"/>
        <v>2</v>
      </c>
      <c r="H48">
        <f t="shared" ca="1" si="2"/>
        <v>1</v>
      </c>
      <c r="I48">
        <f t="shared" ca="1" si="3"/>
        <v>0</v>
      </c>
      <c r="J48">
        <v>2.5</v>
      </c>
      <c r="K48">
        <v>2</v>
      </c>
      <c r="L48">
        <v>5</v>
      </c>
      <c r="M48" s="3">
        <f t="shared" ca="1" si="6"/>
        <v>45431</v>
      </c>
      <c r="N48" s="3">
        <f t="shared" ca="1" si="6"/>
        <v>45428</v>
      </c>
      <c r="O48" s="3">
        <v>45352</v>
      </c>
    </row>
    <row r="49" spans="1:15" x14ac:dyDescent="0.3">
      <c r="A49" s="3">
        <v>45299</v>
      </c>
      <c r="B49" t="s">
        <v>41</v>
      </c>
      <c r="C49" t="s">
        <v>86</v>
      </c>
      <c r="D49" s="4" cm="1">
        <f t="array" aca="1" ref="D49" ca="1">IFERROR( _xlfn.XLOOKUP(B49, B$2:INDEX(B:B,ROW()-1), I$2:INDEX(I:I,ROW()-1), 0, 0, -1),0)</f>
        <v>7</v>
      </c>
      <c r="E49">
        <v>15</v>
      </c>
      <c r="F49">
        <f t="shared" ca="1" si="0"/>
        <v>4</v>
      </c>
      <c r="G49">
        <f t="shared" ca="1" si="1"/>
        <v>11</v>
      </c>
      <c r="H49">
        <f t="shared" ca="1" si="2"/>
        <v>1</v>
      </c>
      <c r="I49">
        <f t="shared" ca="1" si="3"/>
        <v>6</v>
      </c>
      <c r="J49">
        <v>3</v>
      </c>
      <c r="K49">
        <v>2.5</v>
      </c>
      <c r="L49">
        <v>14</v>
      </c>
      <c r="M49" s="3">
        <f t="shared" ca="1" si="6"/>
        <v>45346</v>
      </c>
      <c r="N49" s="3">
        <f t="shared" ca="1" si="6"/>
        <v>45404</v>
      </c>
      <c r="O49" s="3">
        <v>45412</v>
      </c>
    </row>
    <row r="50" spans="1:15" x14ac:dyDescent="0.3">
      <c r="A50" s="3">
        <v>45299</v>
      </c>
      <c r="B50" t="s">
        <v>78</v>
      </c>
      <c r="C50" t="s">
        <v>74</v>
      </c>
      <c r="D50" s="4" cm="1">
        <f t="array" aca="1" ref="D50" ca="1">IFERROR( _xlfn.XLOOKUP(B50, B$2:INDEX(B:B,ROW()-1), I$2:INDEX(I:I,ROW()-1), 0, 0, -1),0)</f>
        <v>9</v>
      </c>
      <c r="E50">
        <v>6</v>
      </c>
      <c r="F50">
        <f t="shared" ca="1" si="0"/>
        <v>8</v>
      </c>
      <c r="G50">
        <f t="shared" ca="1" si="1"/>
        <v>1</v>
      </c>
      <c r="H50">
        <f t="shared" ca="1" si="2"/>
        <v>0</v>
      </c>
      <c r="I50">
        <f t="shared" ca="1" si="3"/>
        <v>6</v>
      </c>
      <c r="J50">
        <v>4</v>
      </c>
      <c r="K50">
        <v>3</v>
      </c>
      <c r="L50">
        <v>7</v>
      </c>
      <c r="M50" s="3">
        <f t="shared" ca="1" si="6"/>
        <v>45319</v>
      </c>
      <c r="N50" s="3">
        <f t="shared" ca="1" si="6"/>
        <v>45377</v>
      </c>
      <c r="O50" s="3">
        <v>45302</v>
      </c>
    </row>
    <row r="51" spans="1:15" x14ac:dyDescent="0.3">
      <c r="A51" s="3">
        <v>45299</v>
      </c>
      <c r="B51" t="s">
        <v>60</v>
      </c>
      <c r="C51" t="s">
        <v>94</v>
      </c>
      <c r="D51" s="4" cm="1">
        <f t="array" ref="D51">IFERROR( _xlfn.XLOOKUP(B51, B$2:INDEX(B:B,ROW()-1), I$2:INDEX(I:I,ROW()-1), 0, 0, -1),0)</f>
        <v>0</v>
      </c>
      <c r="E51">
        <v>10</v>
      </c>
      <c r="F51">
        <f t="shared" ca="1" si="0"/>
        <v>6</v>
      </c>
      <c r="G51">
        <f t="shared" ca="1" si="1"/>
        <v>0</v>
      </c>
      <c r="H51">
        <f t="shared" ca="1" si="2"/>
        <v>0</v>
      </c>
      <c r="I51">
        <f t="shared" ca="1" si="3"/>
        <v>4</v>
      </c>
      <c r="J51">
        <v>4</v>
      </c>
      <c r="K51">
        <v>3.5</v>
      </c>
      <c r="L51">
        <v>10</v>
      </c>
      <c r="M51" s="3">
        <f t="shared" ca="1" si="6"/>
        <v>45324</v>
      </c>
      <c r="N51" s="3">
        <f t="shared" ca="1" si="6"/>
        <v>45367</v>
      </c>
      <c r="O51" s="3">
        <v>45364</v>
      </c>
    </row>
    <row r="52" spans="1:15" x14ac:dyDescent="0.3">
      <c r="A52" s="3">
        <v>45299</v>
      </c>
      <c r="B52" t="s">
        <v>71</v>
      </c>
      <c r="C52" t="s">
        <v>47</v>
      </c>
      <c r="D52" s="4" cm="1">
        <f t="array" aca="1" ref="D52" ca="1">IFERROR( _xlfn.XLOOKUP(B52, B$2:INDEX(B:B,ROW()-1), I$2:INDEX(I:I,ROW()-1), 0, 0, -1),0)</f>
        <v>2</v>
      </c>
      <c r="E52">
        <v>6</v>
      </c>
      <c r="F52">
        <f t="shared" ca="1" si="0"/>
        <v>0</v>
      </c>
      <c r="G52">
        <f t="shared" ca="1" si="1"/>
        <v>0</v>
      </c>
      <c r="H52">
        <f t="shared" ca="1" si="2"/>
        <v>0</v>
      </c>
      <c r="I52">
        <f t="shared" ca="1" si="3"/>
        <v>8</v>
      </c>
      <c r="J52">
        <v>4</v>
      </c>
      <c r="K52">
        <v>3</v>
      </c>
      <c r="L52">
        <v>7</v>
      </c>
      <c r="M52" s="3">
        <f t="shared" ca="1" si="6"/>
        <v>45292</v>
      </c>
      <c r="N52" s="3">
        <f t="shared" ca="1" si="6"/>
        <v>45401</v>
      </c>
      <c r="O52" s="3">
        <v>45302</v>
      </c>
    </row>
    <row r="53" spans="1:15" x14ac:dyDescent="0.3">
      <c r="A53" s="3">
        <v>45299</v>
      </c>
      <c r="B53" t="s">
        <v>64</v>
      </c>
      <c r="C53" t="s">
        <v>42</v>
      </c>
      <c r="D53" s="4" cm="1">
        <f t="array" ref="D53">IFERROR( _xlfn.XLOOKUP(B53, B$2:INDEX(B:B,ROW()-1), I$2:INDEX(I:I,ROW()-1), 0, 0, -1),0)</f>
        <v>0</v>
      </c>
      <c r="E53">
        <v>8</v>
      </c>
      <c r="F53">
        <f t="shared" ca="1" si="0"/>
        <v>5</v>
      </c>
      <c r="G53">
        <f t="shared" ca="1" si="1"/>
        <v>2</v>
      </c>
      <c r="H53">
        <f t="shared" ca="1" si="2"/>
        <v>1</v>
      </c>
      <c r="I53">
        <f t="shared" ca="1" si="3"/>
        <v>0</v>
      </c>
      <c r="J53">
        <v>3.5</v>
      </c>
      <c r="K53">
        <v>3</v>
      </c>
      <c r="L53">
        <v>8</v>
      </c>
      <c r="M53" s="3">
        <f t="shared" ca="1" si="6"/>
        <v>45400</v>
      </c>
      <c r="N53" s="3">
        <f t="shared" ca="1" si="6"/>
        <v>45377</v>
      </c>
      <c r="O53" s="3">
        <v>45325</v>
      </c>
    </row>
    <row r="54" spans="1:15" x14ac:dyDescent="0.3">
      <c r="A54" s="3">
        <v>45299</v>
      </c>
      <c r="B54" t="s">
        <v>61</v>
      </c>
      <c r="C54" t="s">
        <v>95</v>
      </c>
      <c r="D54" s="4" cm="1">
        <f t="array" ref="D54">IFERROR( _xlfn.XLOOKUP(B54, B$2:INDEX(B:B,ROW()-1), I$2:INDEX(I:I,ROW()-1), 0, 0, -1),0)</f>
        <v>0</v>
      </c>
      <c r="E54">
        <v>10</v>
      </c>
      <c r="F54">
        <f t="shared" ca="1" si="0"/>
        <v>1</v>
      </c>
      <c r="G54">
        <f t="shared" ca="1" si="1"/>
        <v>0</v>
      </c>
      <c r="H54">
        <f t="shared" ca="1" si="2"/>
        <v>5</v>
      </c>
      <c r="I54">
        <f t="shared" ca="1" si="3"/>
        <v>4</v>
      </c>
      <c r="J54">
        <v>4</v>
      </c>
      <c r="K54">
        <v>3.5</v>
      </c>
      <c r="L54">
        <v>10</v>
      </c>
      <c r="M54" s="3">
        <f t="shared" ca="1" si="6"/>
        <v>45323</v>
      </c>
      <c r="N54" s="3">
        <f t="shared" ca="1" si="6"/>
        <v>45319</v>
      </c>
      <c r="O54" s="3">
        <v>45415</v>
      </c>
    </row>
    <row r="55" spans="1:15" x14ac:dyDescent="0.3">
      <c r="A55" s="3">
        <v>45300</v>
      </c>
      <c r="B55" t="s">
        <v>66</v>
      </c>
      <c r="C55" t="s">
        <v>45</v>
      </c>
      <c r="D55" s="4" cm="1">
        <f t="array" ref="D55">IFERROR( _xlfn.XLOOKUP(B55, B$2:INDEX(B:B,ROW()-1), I$2:INDEX(I:I,ROW()-1), 0, 0, -1),0)</f>
        <v>0</v>
      </c>
      <c r="E55">
        <v>8</v>
      </c>
      <c r="F55">
        <f t="shared" ca="1" si="0"/>
        <v>1</v>
      </c>
      <c r="G55">
        <f t="shared" ca="1" si="1"/>
        <v>1</v>
      </c>
      <c r="H55">
        <f t="shared" ca="1" si="2"/>
        <v>2</v>
      </c>
      <c r="I55">
        <f t="shared" ca="1" si="3"/>
        <v>4</v>
      </c>
      <c r="J55">
        <v>3.5</v>
      </c>
      <c r="K55">
        <v>3</v>
      </c>
      <c r="L55">
        <v>8</v>
      </c>
      <c r="M55" s="3">
        <f t="shared" ca="1" si="6"/>
        <v>45431</v>
      </c>
      <c r="N55" s="3">
        <f t="shared" ca="1" si="6"/>
        <v>45435</v>
      </c>
      <c r="O55" s="3">
        <v>45305</v>
      </c>
    </row>
    <row r="56" spans="1:15" x14ac:dyDescent="0.3">
      <c r="A56" s="3">
        <v>45300</v>
      </c>
      <c r="B56" t="s">
        <v>40</v>
      </c>
      <c r="C56" t="s">
        <v>85</v>
      </c>
      <c r="D56" s="4" cm="1">
        <f t="array" ref="D56">IFERROR( _xlfn.XLOOKUP(B56, B$2:INDEX(B:B,ROW()-1), I$2:INDEX(I:I,ROW()-1), 0, 0, -1),0)</f>
        <v>0</v>
      </c>
      <c r="E56">
        <v>15</v>
      </c>
      <c r="F56">
        <f t="shared" ca="1" si="0"/>
        <v>9</v>
      </c>
      <c r="G56">
        <f t="shared" ca="1" si="1"/>
        <v>4</v>
      </c>
      <c r="H56">
        <f t="shared" ca="1" si="2"/>
        <v>0</v>
      </c>
      <c r="I56">
        <f t="shared" ca="1" si="3"/>
        <v>2</v>
      </c>
      <c r="J56">
        <v>3</v>
      </c>
      <c r="K56">
        <v>2.5</v>
      </c>
      <c r="L56">
        <v>14</v>
      </c>
      <c r="M56" s="3">
        <f t="shared" ca="1" si="6"/>
        <v>45371</v>
      </c>
      <c r="N56" s="3">
        <f t="shared" ca="1" si="6"/>
        <v>45370</v>
      </c>
      <c r="O56" s="3">
        <v>45413</v>
      </c>
    </row>
    <row r="57" spans="1:15" x14ac:dyDescent="0.3">
      <c r="A57" s="3">
        <v>45300</v>
      </c>
      <c r="B57" t="s">
        <v>23</v>
      </c>
      <c r="C57" t="s">
        <v>28</v>
      </c>
      <c r="D57" s="4" cm="1">
        <f t="array" aca="1" ref="D57" ca="1">IFERROR( _xlfn.XLOOKUP(B57, B$2:INDEX(B:B,ROW()-1), I$2:INDEX(I:I,ROW()-1), 0, 0, -1),0)</f>
        <v>4</v>
      </c>
      <c r="E57">
        <v>9</v>
      </c>
      <c r="F57">
        <f t="shared" ca="1" si="0"/>
        <v>1</v>
      </c>
      <c r="G57">
        <f t="shared" ca="1" si="1"/>
        <v>3</v>
      </c>
      <c r="H57">
        <f t="shared" ca="1" si="2"/>
        <v>1</v>
      </c>
      <c r="I57">
        <f t="shared" ca="1" si="3"/>
        <v>8</v>
      </c>
      <c r="J57">
        <v>6.5</v>
      </c>
      <c r="K57">
        <v>5.5</v>
      </c>
      <c r="L57">
        <v>9</v>
      </c>
      <c r="M57" s="3">
        <f t="shared" ca="1" si="6"/>
        <v>45372</v>
      </c>
      <c r="N57" s="3">
        <f t="shared" ca="1" si="6"/>
        <v>45431</v>
      </c>
      <c r="O57" s="3">
        <v>45429</v>
      </c>
    </row>
    <row r="58" spans="1:15" x14ac:dyDescent="0.3">
      <c r="A58" s="3">
        <v>45300</v>
      </c>
      <c r="B58" t="s">
        <v>68</v>
      </c>
      <c r="C58" t="s">
        <v>43</v>
      </c>
      <c r="D58" s="4" cm="1">
        <f t="array" aca="1" ref="D58" ca="1">IFERROR( _xlfn.XLOOKUP(B58, B$2:INDEX(B:B,ROW()-1), I$2:INDEX(I:I,ROW()-1), 0, 0, -1),0)</f>
        <v>4</v>
      </c>
      <c r="E58">
        <v>15</v>
      </c>
      <c r="F58">
        <f t="shared" ca="1" si="0"/>
        <v>4</v>
      </c>
      <c r="G58">
        <f t="shared" ca="1" si="1"/>
        <v>4</v>
      </c>
      <c r="H58">
        <f t="shared" ca="1" si="2"/>
        <v>5</v>
      </c>
      <c r="I58">
        <f t="shared" ca="1" si="3"/>
        <v>6</v>
      </c>
      <c r="J58">
        <v>4</v>
      </c>
      <c r="K58">
        <v>3</v>
      </c>
      <c r="L58">
        <v>14</v>
      </c>
      <c r="M58" s="3">
        <f t="shared" ca="1" si="6"/>
        <v>45310</v>
      </c>
      <c r="N58" s="3">
        <f t="shared" ca="1" si="6"/>
        <v>45401</v>
      </c>
      <c r="O58" s="3">
        <v>45426</v>
      </c>
    </row>
    <row r="59" spans="1:15" x14ac:dyDescent="0.3">
      <c r="A59" s="3">
        <v>45301</v>
      </c>
      <c r="B59" t="s">
        <v>20</v>
      </c>
      <c r="C59" t="s">
        <v>25</v>
      </c>
      <c r="D59" s="4" cm="1">
        <f t="array" ref="D59">IFERROR( _xlfn.XLOOKUP(B59, B$2:INDEX(B:B,ROW()-1), I$2:INDEX(I:I,ROW()-1), 0, 0, -1),0)</f>
        <v>0</v>
      </c>
      <c r="E59">
        <v>10</v>
      </c>
      <c r="F59">
        <f t="shared" ca="1" si="0"/>
        <v>4</v>
      </c>
      <c r="G59">
        <f t="shared" ca="1" si="1"/>
        <v>0</v>
      </c>
      <c r="H59">
        <f t="shared" ca="1" si="2"/>
        <v>4</v>
      </c>
      <c r="I59">
        <f t="shared" ca="1" si="3"/>
        <v>2</v>
      </c>
      <c r="J59">
        <v>4.5</v>
      </c>
      <c r="K59">
        <v>4</v>
      </c>
      <c r="L59">
        <v>10</v>
      </c>
      <c r="M59" s="3">
        <f t="shared" ca="1" si="6"/>
        <v>45344</v>
      </c>
      <c r="N59" s="3">
        <f t="shared" ca="1" si="6"/>
        <v>45399</v>
      </c>
      <c r="O59" s="3">
        <v>45330</v>
      </c>
    </row>
    <row r="60" spans="1:15" x14ac:dyDescent="0.3">
      <c r="A60" s="3">
        <v>45301</v>
      </c>
      <c r="B60" t="s">
        <v>81</v>
      </c>
      <c r="C60" t="s">
        <v>50</v>
      </c>
      <c r="D60" s="4" cm="1">
        <f t="array" aca="1" ref="D60" ca="1">IFERROR( _xlfn.XLOOKUP(B60, B$2:INDEX(B:B,ROW()-1), I$2:INDEX(I:I,ROW()-1), 0, 0, -1),0)</f>
        <v>0</v>
      </c>
      <c r="E60">
        <v>8</v>
      </c>
      <c r="F60">
        <f t="shared" ca="1" si="0"/>
        <v>4</v>
      </c>
      <c r="G60">
        <f t="shared" ca="1" si="1"/>
        <v>1</v>
      </c>
      <c r="H60">
        <f t="shared" ca="1" si="2"/>
        <v>2</v>
      </c>
      <c r="I60">
        <f t="shared" ca="1" si="3"/>
        <v>1</v>
      </c>
      <c r="J60">
        <v>2.5</v>
      </c>
      <c r="K60">
        <v>2</v>
      </c>
      <c r="L60">
        <v>5</v>
      </c>
      <c r="M60" s="3">
        <f t="shared" ca="1" si="6"/>
        <v>45414</v>
      </c>
      <c r="N60" s="3">
        <f t="shared" ca="1" si="6"/>
        <v>45377</v>
      </c>
      <c r="O60" s="3">
        <v>45427</v>
      </c>
    </row>
    <row r="61" spans="1:15" x14ac:dyDescent="0.3">
      <c r="A61" s="3">
        <v>45301</v>
      </c>
      <c r="B61" t="s">
        <v>23</v>
      </c>
      <c r="C61" t="s">
        <v>28</v>
      </c>
      <c r="D61" s="4" cm="1">
        <f t="array" aca="1" ref="D61" ca="1">IFERROR( _xlfn.XLOOKUP(B61, B$2:INDEX(B:B,ROW()-1), I$2:INDEX(I:I,ROW()-1), 0, 0, -1),0)</f>
        <v>8</v>
      </c>
      <c r="E61">
        <v>9</v>
      </c>
      <c r="F61">
        <f t="shared" ca="1" si="0"/>
        <v>9</v>
      </c>
      <c r="G61">
        <f t="shared" ca="1" si="1"/>
        <v>5</v>
      </c>
      <c r="H61">
        <f t="shared" ca="1" si="2"/>
        <v>2</v>
      </c>
      <c r="I61">
        <f t="shared" ca="1" si="3"/>
        <v>1</v>
      </c>
      <c r="J61">
        <v>6.5</v>
      </c>
      <c r="K61">
        <v>5.5</v>
      </c>
      <c r="L61">
        <v>9</v>
      </c>
      <c r="M61" s="3">
        <f t="shared" ca="1" si="6"/>
        <v>45373</v>
      </c>
      <c r="N61" s="3">
        <f t="shared" ca="1" si="6"/>
        <v>45339</v>
      </c>
      <c r="O61" s="3">
        <v>45315</v>
      </c>
    </row>
    <row r="62" spans="1:15" x14ac:dyDescent="0.3">
      <c r="A62" s="3">
        <v>45301</v>
      </c>
      <c r="B62" t="s">
        <v>90</v>
      </c>
      <c r="C62" t="s">
        <v>87</v>
      </c>
      <c r="D62" s="4" cm="1">
        <f t="array" aca="1" ref="D62" ca="1">IFERROR( _xlfn.XLOOKUP(B62, B$2:INDEX(B:B,ROW()-1), I$2:INDEX(I:I,ROW()-1), 0, 0, -1),0)</f>
        <v>2</v>
      </c>
      <c r="E62">
        <v>12</v>
      </c>
      <c r="F62">
        <f t="shared" ca="1" si="0"/>
        <v>2</v>
      </c>
      <c r="G62">
        <f t="shared" ca="1" si="1"/>
        <v>0</v>
      </c>
      <c r="H62">
        <f t="shared" ca="1" si="2"/>
        <v>5</v>
      </c>
      <c r="I62">
        <f t="shared" ca="1" si="3"/>
        <v>7</v>
      </c>
      <c r="J62">
        <v>4.5</v>
      </c>
      <c r="K62">
        <v>4</v>
      </c>
      <c r="L62">
        <v>14</v>
      </c>
      <c r="M62" s="3">
        <f t="shared" ref="M62:N81" ca="1" si="7">DATE(2024,1,1) + RANDBETWEEN(0, DATE(2024,5,25) - DATE(2024,1,1))</f>
        <v>45307</v>
      </c>
      <c r="N62" s="3">
        <f t="shared" ca="1" si="7"/>
        <v>45418</v>
      </c>
      <c r="O62" s="3">
        <v>45406</v>
      </c>
    </row>
    <row r="63" spans="1:15" x14ac:dyDescent="0.3">
      <c r="A63" s="3">
        <v>45301</v>
      </c>
      <c r="B63" t="s">
        <v>66</v>
      </c>
      <c r="C63" t="s">
        <v>45</v>
      </c>
      <c r="D63" s="4" cm="1">
        <f t="array" aca="1" ref="D63" ca="1">IFERROR( _xlfn.XLOOKUP(B63, B$2:INDEX(B:B,ROW()-1), I$2:INDEX(I:I,ROW()-1), 0, 0, -1),0)</f>
        <v>4</v>
      </c>
      <c r="E63">
        <v>8</v>
      </c>
      <c r="F63">
        <f t="shared" ca="1" si="0"/>
        <v>3</v>
      </c>
      <c r="G63">
        <f t="shared" ca="1" si="1"/>
        <v>1</v>
      </c>
      <c r="H63">
        <f t="shared" ca="1" si="2"/>
        <v>1</v>
      </c>
      <c r="I63">
        <f t="shared" ca="1" si="3"/>
        <v>7</v>
      </c>
      <c r="J63">
        <v>3.5</v>
      </c>
      <c r="K63">
        <v>3</v>
      </c>
      <c r="L63">
        <v>8</v>
      </c>
      <c r="M63" s="3">
        <f t="shared" ca="1" si="7"/>
        <v>45398</v>
      </c>
      <c r="N63" s="3">
        <f t="shared" ca="1" si="7"/>
        <v>45344</v>
      </c>
      <c r="O63" s="3">
        <v>45346</v>
      </c>
    </row>
    <row r="64" spans="1:15" x14ac:dyDescent="0.3">
      <c r="A64" s="3">
        <v>45301</v>
      </c>
      <c r="B64" t="s">
        <v>79</v>
      </c>
      <c r="C64" t="s">
        <v>104</v>
      </c>
      <c r="D64" s="4" cm="1">
        <f t="array" ref="D64">IFERROR( _xlfn.XLOOKUP(B64, B$2:INDEX(B:B,ROW()-1), I$2:INDEX(I:I,ROW()-1), 0, 0, -1),0)</f>
        <v>0</v>
      </c>
      <c r="E64">
        <v>8</v>
      </c>
      <c r="F64">
        <f t="shared" ca="1" si="0"/>
        <v>2</v>
      </c>
      <c r="G64">
        <f t="shared" ca="1" si="1"/>
        <v>1</v>
      </c>
      <c r="H64">
        <f t="shared" ca="1" si="2"/>
        <v>1</v>
      </c>
      <c r="I64">
        <f t="shared" ca="1" si="3"/>
        <v>4</v>
      </c>
      <c r="J64">
        <v>2.5</v>
      </c>
      <c r="K64">
        <v>2</v>
      </c>
      <c r="L64">
        <v>5</v>
      </c>
      <c r="M64" s="3">
        <f t="shared" ca="1" si="7"/>
        <v>45340</v>
      </c>
      <c r="N64" s="3">
        <f t="shared" ca="1" si="7"/>
        <v>45385</v>
      </c>
      <c r="O64" s="3">
        <v>45358</v>
      </c>
    </row>
    <row r="65" spans="1:15" x14ac:dyDescent="0.3">
      <c r="A65" s="3">
        <v>45301</v>
      </c>
      <c r="B65" t="s">
        <v>59</v>
      </c>
      <c r="C65" t="s">
        <v>93</v>
      </c>
      <c r="D65" s="4" cm="1">
        <f t="array" aca="1" ref="D65" ca="1">IFERROR( _xlfn.XLOOKUP(B65, B$2:INDEX(B:B,ROW()-1), I$2:INDEX(I:I,ROW()-1), 0, 0, -1),0)</f>
        <v>3</v>
      </c>
      <c r="E65">
        <v>10</v>
      </c>
      <c r="F65">
        <f t="shared" ca="1" si="0"/>
        <v>0</v>
      </c>
      <c r="G65">
        <f t="shared" ca="1" si="1"/>
        <v>0</v>
      </c>
      <c r="H65">
        <f t="shared" ca="1" si="2"/>
        <v>5</v>
      </c>
      <c r="I65">
        <f t="shared" ca="1" si="3"/>
        <v>8</v>
      </c>
      <c r="J65">
        <v>4</v>
      </c>
      <c r="K65">
        <v>3.5</v>
      </c>
      <c r="L65">
        <v>10</v>
      </c>
      <c r="M65" s="3">
        <f t="shared" ca="1" si="7"/>
        <v>45394</v>
      </c>
      <c r="N65" s="3">
        <f t="shared" ca="1" si="7"/>
        <v>45301</v>
      </c>
      <c r="O65" s="3">
        <v>45374</v>
      </c>
    </row>
    <row r="66" spans="1:15" x14ac:dyDescent="0.3">
      <c r="A66" s="3">
        <v>45302</v>
      </c>
      <c r="B66" t="s">
        <v>71</v>
      </c>
      <c r="C66" t="s">
        <v>47</v>
      </c>
      <c r="D66" s="4" cm="1">
        <f t="array" aca="1" ref="D66" ca="1">IFERROR( _xlfn.XLOOKUP(B66, B$2:INDEX(B:B,ROW()-1), I$2:INDEX(I:I,ROW()-1), 0, 0, -1),0)</f>
        <v>8</v>
      </c>
      <c r="E66">
        <v>6</v>
      </c>
      <c r="F66">
        <f t="shared" ref="F66:F129" ca="1" si="8">RANDBETWEEN(0, ROUND((D66+E66)*0.6,0))</f>
        <v>3</v>
      </c>
      <c r="G66">
        <f t="shared" ref="G66:G129" ca="1" si="9">RANDBETWEEN(0,ROUND((D66+E66-F66)*0.6,0))</f>
        <v>6</v>
      </c>
      <c r="H66">
        <f t="shared" ref="H66:H129" ca="1" si="10">RANDBETWEEN(0,ROUND((D66+E66-F66-G66)*0.6,0))</f>
        <v>0</v>
      </c>
      <c r="I66">
        <f t="shared" ref="I66:I129" ca="1" si="11">D66+E66-F66-G66-H66</f>
        <v>5</v>
      </c>
      <c r="J66">
        <v>4</v>
      </c>
      <c r="K66">
        <v>3</v>
      </c>
      <c r="L66">
        <v>7</v>
      </c>
      <c r="M66" s="3">
        <f t="shared" ca="1" si="7"/>
        <v>45434</v>
      </c>
      <c r="N66" s="3">
        <f t="shared" ca="1" si="7"/>
        <v>45416</v>
      </c>
      <c r="O66" s="3">
        <v>45350</v>
      </c>
    </row>
    <row r="67" spans="1:15" x14ac:dyDescent="0.3">
      <c r="A67" s="3">
        <v>45302</v>
      </c>
      <c r="B67" t="s">
        <v>89</v>
      </c>
      <c r="C67" t="s">
        <v>103</v>
      </c>
      <c r="D67" s="4" cm="1">
        <f t="array" aca="1" ref="D67" ca="1">IFERROR( _xlfn.XLOOKUP(B67, B$2:INDEX(B:B,ROW()-1), I$2:INDEX(I:I,ROW()-1), 0, 0, -1),0)</f>
        <v>2</v>
      </c>
      <c r="E67">
        <v>8</v>
      </c>
      <c r="F67">
        <f t="shared" ca="1" si="8"/>
        <v>4</v>
      </c>
      <c r="G67">
        <f t="shared" ca="1" si="9"/>
        <v>0</v>
      </c>
      <c r="H67">
        <f t="shared" ca="1" si="10"/>
        <v>0</v>
      </c>
      <c r="I67">
        <f t="shared" ca="1" si="11"/>
        <v>6</v>
      </c>
      <c r="J67">
        <v>3.5</v>
      </c>
      <c r="K67">
        <v>3</v>
      </c>
      <c r="L67">
        <v>8</v>
      </c>
      <c r="M67" s="3">
        <f t="shared" ca="1" si="7"/>
        <v>45390</v>
      </c>
      <c r="N67" s="3">
        <f t="shared" ca="1" si="7"/>
        <v>45294</v>
      </c>
      <c r="O67" s="3">
        <v>45382</v>
      </c>
    </row>
    <row r="68" spans="1:15" x14ac:dyDescent="0.3">
      <c r="A68" s="3">
        <v>45302</v>
      </c>
      <c r="B68" t="s">
        <v>37</v>
      </c>
      <c r="C68" t="s">
        <v>51</v>
      </c>
      <c r="D68" s="4" cm="1">
        <f t="array" aca="1" ref="D68" ca="1">IFERROR( _xlfn.XLOOKUP(B68, B$2:INDEX(B:B,ROW()-1), I$2:INDEX(I:I,ROW()-1), 0, 0, -1),0)</f>
        <v>7</v>
      </c>
      <c r="E68">
        <v>12</v>
      </c>
      <c r="F68">
        <f t="shared" ca="1" si="8"/>
        <v>6</v>
      </c>
      <c r="G68">
        <f t="shared" ca="1" si="9"/>
        <v>3</v>
      </c>
      <c r="H68">
        <f t="shared" ca="1" si="10"/>
        <v>6</v>
      </c>
      <c r="I68">
        <f t="shared" ca="1" si="11"/>
        <v>4</v>
      </c>
      <c r="J68">
        <v>3.5</v>
      </c>
      <c r="K68">
        <v>3</v>
      </c>
      <c r="L68">
        <v>14</v>
      </c>
      <c r="M68" s="3">
        <f t="shared" ca="1" si="7"/>
        <v>45333</v>
      </c>
      <c r="N68" s="3">
        <f t="shared" ca="1" si="7"/>
        <v>45293</v>
      </c>
      <c r="O68" s="3">
        <v>45340</v>
      </c>
    </row>
    <row r="69" spans="1:15" x14ac:dyDescent="0.3">
      <c r="A69" s="3">
        <v>45302</v>
      </c>
      <c r="B69" t="s">
        <v>83</v>
      </c>
      <c r="C69" t="s">
        <v>100</v>
      </c>
      <c r="D69" s="4" cm="1">
        <f t="array" aca="1" ref="D69" ca="1">IFERROR( _xlfn.XLOOKUP(B69, B$2:INDEX(B:B,ROW()-1), I$2:INDEX(I:I,ROW()-1), 0, 0, -1),0)</f>
        <v>2</v>
      </c>
      <c r="E69">
        <v>10</v>
      </c>
      <c r="F69">
        <f t="shared" ca="1" si="8"/>
        <v>0</v>
      </c>
      <c r="G69">
        <f t="shared" ca="1" si="9"/>
        <v>0</v>
      </c>
      <c r="H69">
        <f t="shared" ca="1" si="10"/>
        <v>3</v>
      </c>
      <c r="I69">
        <f t="shared" ca="1" si="11"/>
        <v>9</v>
      </c>
      <c r="J69">
        <v>4.5</v>
      </c>
      <c r="K69">
        <v>4</v>
      </c>
      <c r="L69">
        <v>10</v>
      </c>
      <c r="M69" s="3">
        <f t="shared" ca="1" si="7"/>
        <v>45428</v>
      </c>
      <c r="N69" s="3">
        <f t="shared" ca="1" si="7"/>
        <v>45389</v>
      </c>
      <c r="O69" s="3">
        <v>45359</v>
      </c>
    </row>
    <row r="70" spans="1:15" x14ac:dyDescent="0.3">
      <c r="A70" s="3">
        <v>45302</v>
      </c>
      <c r="B70" t="s">
        <v>41</v>
      </c>
      <c r="C70" t="s">
        <v>86</v>
      </c>
      <c r="D70" s="4" cm="1">
        <f t="array" aca="1" ref="D70" ca="1">IFERROR( _xlfn.XLOOKUP(B70, B$2:INDEX(B:B,ROW()-1), I$2:INDEX(I:I,ROW()-1), 0, 0, -1),0)</f>
        <v>6</v>
      </c>
      <c r="E70">
        <v>15</v>
      </c>
      <c r="F70">
        <f t="shared" ca="1" si="8"/>
        <v>6</v>
      </c>
      <c r="G70">
        <f t="shared" ca="1" si="9"/>
        <v>7</v>
      </c>
      <c r="H70">
        <f t="shared" ca="1" si="10"/>
        <v>4</v>
      </c>
      <c r="I70">
        <f t="shared" ca="1" si="11"/>
        <v>4</v>
      </c>
      <c r="J70">
        <v>3</v>
      </c>
      <c r="K70">
        <v>2.5</v>
      </c>
      <c r="L70">
        <v>14</v>
      </c>
      <c r="M70" s="3">
        <f t="shared" ca="1" si="7"/>
        <v>45414</v>
      </c>
      <c r="N70" s="3">
        <f t="shared" ca="1" si="7"/>
        <v>45373</v>
      </c>
      <c r="O70" s="3">
        <v>45396</v>
      </c>
    </row>
    <row r="71" spans="1:15" x14ac:dyDescent="0.3">
      <c r="A71" s="3">
        <v>45302</v>
      </c>
      <c r="B71" t="s">
        <v>57</v>
      </c>
      <c r="C71" t="s">
        <v>75</v>
      </c>
      <c r="D71" s="4" cm="1">
        <f t="array" aca="1" ref="D71" ca="1">IFERROR( _xlfn.XLOOKUP(B71, B$2:INDEX(B:B,ROW()-1), I$2:INDEX(I:I,ROW()-1), 0, 0, -1),0)</f>
        <v>3</v>
      </c>
      <c r="E71">
        <v>8</v>
      </c>
      <c r="F71">
        <f t="shared" ca="1" si="8"/>
        <v>7</v>
      </c>
      <c r="G71">
        <f t="shared" ca="1" si="9"/>
        <v>1</v>
      </c>
      <c r="H71">
        <f t="shared" ca="1" si="10"/>
        <v>1</v>
      </c>
      <c r="I71">
        <f t="shared" ca="1" si="11"/>
        <v>2</v>
      </c>
      <c r="J71">
        <v>6</v>
      </c>
      <c r="K71">
        <v>5.5</v>
      </c>
      <c r="L71">
        <v>20</v>
      </c>
      <c r="M71" s="3">
        <f t="shared" ca="1" si="7"/>
        <v>45339</v>
      </c>
      <c r="N71" s="3">
        <f t="shared" ca="1" si="7"/>
        <v>45357</v>
      </c>
      <c r="O71" s="3">
        <v>45327</v>
      </c>
    </row>
    <row r="72" spans="1:15" x14ac:dyDescent="0.3">
      <c r="A72" s="3">
        <v>45302</v>
      </c>
      <c r="B72" t="s">
        <v>70</v>
      </c>
      <c r="C72" t="s">
        <v>99</v>
      </c>
      <c r="D72" s="4" cm="1">
        <f t="array" aca="1" ref="D72" ca="1">IFERROR( _xlfn.XLOOKUP(B72, B$2:INDEX(B:B,ROW()-1), I$2:INDEX(I:I,ROW()-1), 0, 0, -1),0)</f>
        <v>3</v>
      </c>
      <c r="E72">
        <v>6</v>
      </c>
      <c r="F72">
        <f t="shared" ca="1" si="8"/>
        <v>1</v>
      </c>
      <c r="G72">
        <f t="shared" ca="1" si="9"/>
        <v>4</v>
      </c>
      <c r="H72">
        <f t="shared" ca="1" si="10"/>
        <v>0</v>
      </c>
      <c r="I72">
        <f t="shared" ca="1" si="11"/>
        <v>4</v>
      </c>
      <c r="J72">
        <v>4</v>
      </c>
      <c r="K72">
        <v>3</v>
      </c>
      <c r="L72">
        <v>7</v>
      </c>
      <c r="M72" s="3">
        <f t="shared" ca="1" si="7"/>
        <v>45364</v>
      </c>
      <c r="N72" s="3">
        <f t="shared" ca="1" si="7"/>
        <v>45385</v>
      </c>
      <c r="O72" s="3">
        <v>45399</v>
      </c>
    </row>
    <row r="73" spans="1:15" x14ac:dyDescent="0.3">
      <c r="A73" s="3">
        <v>45302</v>
      </c>
      <c r="B73" t="s">
        <v>63</v>
      </c>
      <c r="C73" t="s">
        <v>97</v>
      </c>
      <c r="D73" s="4" cm="1">
        <f t="array" aca="1" ref="D73" ca="1">IFERROR( _xlfn.XLOOKUP(B73, B$2:INDEX(B:B,ROW()-1), I$2:INDEX(I:I,ROW()-1), 0, 0, -1),0)</f>
        <v>15</v>
      </c>
      <c r="E73">
        <v>10</v>
      </c>
      <c r="F73">
        <f t="shared" ca="1" si="8"/>
        <v>9</v>
      </c>
      <c r="G73">
        <f t="shared" ca="1" si="9"/>
        <v>7</v>
      </c>
      <c r="H73">
        <f t="shared" ca="1" si="10"/>
        <v>1</v>
      </c>
      <c r="I73">
        <f t="shared" ca="1" si="11"/>
        <v>8</v>
      </c>
      <c r="J73">
        <v>4</v>
      </c>
      <c r="K73">
        <v>3.5</v>
      </c>
      <c r="L73">
        <v>10</v>
      </c>
      <c r="M73" s="3">
        <f t="shared" ca="1" si="7"/>
        <v>45433</v>
      </c>
      <c r="N73" s="3">
        <f t="shared" ca="1" si="7"/>
        <v>45409</v>
      </c>
      <c r="O73" s="3">
        <v>45321</v>
      </c>
    </row>
    <row r="74" spans="1:15" x14ac:dyDescent="0.3">
      <c r="A74" s="3">
        <v>45302</v>
      </c>
      <c r="B74" t="s">
        <v>59</v>
      </c>
      <c r="C74" t="s">
        <v>93</v>
      </c>
      <c r="D74" s="4" cm="1">
        <f t="array" aca="1" ref="D74" ca="1">IFERROR( _xlfn.XLOOKUP(B74, B$2:INDEX(B:B,ROW()-1), I$2:INDEX(I:I,ROW()-1), 0, 0, -1),0)</f>
        <v>8</v>
      </c>
      <c r="E74">
        <v>10</v>
      </c>
      <c r="F74">
        <f t="shared" ca="1" si="8"/>
        <v>9</v>
      </c>
      <c r="G74">
        <f t="shared" ca="1" si="9"/>
        <v>1</v>
      </c>
      <c r="H74">
        <f t="shared" ca="1" si="10"/>
        <v>2</v>
      </c>
      <c r="I74">
        <f t="shared" ca="1" si="11"/>
        <v>6</v>
      </c>
      <c r="J74">
        <v>4</v>
      </c>
      <c r="K74">
        <v>3.5</v>
      </c>
      <c r="L74">
        <v>10</v>
      </c>
      <c r="M74" s="3">
        <f t="shared" ca="1" si="7"/>
        <v>45319</v>
      </c>
      <c r="N74" s="3">
        <f t="shared" ca="1" si="7"/>
        <v>45374</v>
      </c>
      <c r="O74" s="3">
        <v>45359</v>
      </c>
    </row>
    <row r="75" spans="1:15" x14ac:dyDescent="0.3">
      <c r="A75" s="3">
        <v>45303</v>
      </c>
      <c r="B75" t="s">
        <v>41</v>
      </c>
      <c r="C75" t="s">
        <v>86</v>
      </c>
      <c r="D75" s="4" cm="1">
        <f t="array" aca="1" ref="D75" ca="1">IFERROR( _xlfn.XLOOKUP(B75, B$2:INDEX(B:B,ROW()-1), I$2:INDEX(I:I,ROW()-1), 0, 0, -1),0)</f>
        <v>4</v>
      </c>
      <c r="E75">
        <v>15</v>
      </c>
      <c r="F75">
        <f t="shared" ca="1" si="8"/>
        <v>3</v>
      </c>
      <c r="G75">
        <f t="shared" ca="1" si="9"/>
        <v>9</v>
      </c>
      <c r="H75">
        <f t="shared" ca="1" si="10"/>
        <v>4</v>
      </c>
      <c r="I75">
        <f t="shared" ca="1" si="11"/>
        <v>3</v>
      </c>
      <c r="J75">
        <v>3</v>
      </c>
      <c r="K75">
        <v>2.5</v>
      </c>
      <c r="L75">
        <v>14</v>
      </c>
      <c r="M75" s="3">
        <f t="shared" ca="1" si="7"/>
        <v>45366</v>
      </c>
      <c r="N75" s="3">
        <f t="shared" ca="1" si="7"/>
        <v>45318</v>
      </c>
      <c r="O75" s="3">
        <v>45309</v>
      </c>
    </row>
    <row r="76" spans="1:15" x14ac:dyDescent="0.3">
      <c r="A76" s="3">
        <v>45303</v>
      </c>
      <c r="B76" t="s">
        <v>68</v>
      </c>
      <c r="C76" t="s">
        <v>43</v>
      </c>
      <c r="D76" s="4" cm="1">
        <f t="array" aca="1" ref="D76" ca="1">IFERROR( _xlfn.XLOOKUP(B76, B$2:INDEX(B:B,ROW()-1), I$2:INDEX(I:I,ROW()-1), 0, 0, -1),0)</f>
        <v>3</v>
      </c>
      <c r="E76">
        <v>15</v>
      </c>
      <c r="F76">
        <f t="shared" ca="1" si="8"/>
        <v>5</v>
      </c>
      <c r="G76">
        <f t="shared" ca="1" si="9"/>
        <v>6</v>
      </c>
      <c r="H76">
        <f t="shared" ca="1" si="10"/>
        <v>0</v>
      </c>
      <c r="I76">
        <f t="shared" ca="1" si="11"/>
        <v>7</v>
      </c>
      <c r="J76">
        <v>4</v>
      </c>
      <c r="K76">
        <v>3</v>
      </c>
      <c r="L76">
        <v>14</v>
      </c>
      <c r="M76" s="3">
        <f t="shared" ca="1" si="7"/>
        <v>45424</v>
      </c>
      <c r="N76" s="3">
        <f t="shared" ca="1" si="7"/>
        <v>45415</v>
      </c>
      <c r="O76" s="3">
        <v>45319</v>
      </c>
    </row>
    <row r="77" spans="1:15" x14ac:dyDescent="0.3">
      <c r="A77" s="3">
        <v>45303</v>
      </c>
      <c r="B77" t="s">
        <v>89</v>
      </c>
      <c r="C77" t="s">
        <v>103</v>
      </c>
      <c r="D77" s="4" cm="1">
        <f t="array" aca="1" ref="D77" ca="1">IFERROR( _xlfn.XLOOKUP(B77, B$2:INDEX(B:B,ROW()-1), I$2:INDEX(I:I,ROW()-1), 0, 0, -1),0)</f>
        <v>6</v>
      </c>
      <c r="E77">
        <v>8</v>
      </c>
      <c r="F77">
        <f t="shared" ca="1" si="8"/>
        <v>0</v>
      </c>
      <c r="G77">
        <f t="shared" ca="1" si="9"/>
        <v>3</v>
      </c>
      <c r="H77">
        <f t="shared" ca="1" si="10"/>
        <v>0</v>
      </c>
      <c r="I77">
        <f t="shared" ca="1" si="11"/>
        <v>11</v>
      </c>
      <c r="J77">
        <v>3.5</v>
      </c>
      <c r="K77">
        <v>3</v>
      </c>
      <c r="L77">
        <v>8</v>
      </c>
      <c r="M77" s="3">
        <f t="shared" ca="1" si="7"/>
        <v>45354</v>
      </c>
      <c r="N77" s="3">
        <f t="shared" ca="1" si="7"/>
        <v>45424</v>
      </c>
      <c r="O77" s="3">
        <v>45363</v>
      </c>
    </row>
    <row r="78" spans="1:15" x14ac:dyDescent="0.3">
      <c r="A78" s="3">
        <v>45303</v>
      </c>
      <c r="B78" t="s">
        <v>10</v>
      </c>
      <c r="C78" t="s">
        <v>18</v>
      </c>
      <c r="D78" s="4" cm="1">
        <f t="array" ref="D78">IFERROR( _xlfn.XLOOKUP(B78, B$2:INDEX(B:B,ROW()-1), I$2:INDEX(I:I,ROW()-1), 0, 0, -1),0)</f>
        <v>0</v>
      </c>
      <c r="E78">
        <v>10</v>
      </c>
      <c r="F78">
        <f t="shared" ca="1" si="8"/>
        <v>1</v>
      </c>
      <c r="G78">
        <f t="shared" ca="1" si="9"/>
        <v>2</v>
      </c>
      <c r="H78">
        <f t="shared" ca="1" si="10"/>
        <v>4</v>
      </c>
      <c r="I78">
        <f t="shared" ca="1" si="11"/>
        <v>3</v>
      </c>
      <c r="J78">
        <v>5.5</v>
      </c>
      <c r="K78">
        <v>4.5</v>
      </c>
      <c r="L78">
        <v>7</v>
      </c>
      <c r="M78" s="3">
        <f t="shared" ca="1" si="7"/>
        <v>45349</v>
      </c>
      <c r="N78" s="3">
        <f t="shared" ca="1" si="7"/>
        <v>45359</v>
      </c>
      <c r="O78" s="3">
        <v>45345</v>
      </c>
    </row>
    <row r="79" spans="1:15" x14ac:dyDescent="0.3">
      <c r="A79" s="3">
        <v>45303</v>
      </c>
      <c r="B79" t="s">
        <v>89</v>
      </c>
      <c r="C79" t="s">
        <v>103</v>
      </c>
      <c r="D79" s="4" cm="1">
        <f t="array" aca="1" ref="D79" ca="1">IFERROR( _xlfn.XLOOKUP(B79, B$2:INDEX(B:B,ROW()-1), I$2:INDEX(I:I,ROW()-1), 0, 0, -1),0)</f>
        <v>11</v>
      </c>
      <c r="E79">
        <v>8</v>
      </c>
      <c r="F79">
        <f t="shared" ca="1" si="8"/>
        <v>10</v>
      </c>
      <c r="G79">
        <f t="shared" ca="1" si="9"/>
        <v>2</v>
      </c>
      <c r="H79">
        <f t="shared" ca="1" si="10"/>
        <v>2</v>
      </c>
      <c r="I79">
        <f t="shared" ca="1" si="11"/>
        <v>5</v>
      </c>
      <c r="J79">
        <v>3.5</v>
      </c>
      <c r="K79">
        <v>3</v>
      </c>
      <c r="L79">
        <v>8</v>
      </c>
      <c r="M79" s="3">
        <f t="shared" ca="1" si="7"/>
        <v>45322</v>
      </c>
      <c r="N79" s="3">
        <f t="shared" ca="1" si="7"/>
        <v>45327</v>
      </c>
      <c r="O79" s="3">
        <v>45372</v>
      </c>
    </row>
    <row r="80" spans="1:15" x14ac:dyDescent="0.3">
      <c r="A80" s="3">
        <v>45303</v>
      </c>
      <c r="B80" t="s">
        <v>24</v>
      </c>
      <c r="C80" t="s">
        <v>29</v>
      </c>
      <c r="D80" s="4" cm="1">
        <f t="array" aca="1" ref="D80" ca="1">IFERROR( _xlfn.XLOOKUP(B80, B$2:INDEX(B:B,ROW()-1), I$2:INDEX(I:I,ROW()-1), 0, 0, -1),0)</f>
        <v>1</v>
      </c>
      <c r="E80">
        <v>8</v>
      </c>
      <c r="F80">
        <f t="shared" ca="1" si="8"/>
        <v>5</v>
      </c>
      <c r="G80">
        <f t="shared" ca="1" si="9"/>
        <v>0</v>
      </c>
      <c r="H80">
        <f t="shared" ca="1" si="10"/>
        <v>0</v>
      </c>
      <c r="I80">
        <f t="shared" ca="1" si="11"/>
        <v>4</v>
      </c>
      <c r="J80">
        <v>7.5</v>
      </c>
      <c r="K80">
        <v>5.5</v>
      </c>
      <c r="L80">
        <v>7</v>
      </c>
      <c r="M80" s="3">
        <f t="shared" ca="1" si="7"/>
        <v>45384</v>
      </c>
      <c r="N80" s="3">
        <f t="shared" ca="1" si="7"/>
        <v>45298</v>
      </c>
      <c r="O80" s="3">
        <v>45418</v>
      </c>
    </row>
    <row r="81" spans="1:15" x14ac:dyDescent="0.3">
      <c r="A81" s="3">
        <v>45303</v>
      </c>
      <c r="B81" t="s">
        <v>82</v>
      </c>
      <c r="C81" t="s">
        <v>73</v>
      </c>
      <c r="D81" s="4" cm="1">
        <f t="array" ref="D81">IFERROR( _xlfn.XLOOKUP(B81, B$2:INDEX(B:B,ROW()-1), I$2:INDEX(I:I,ROW()-1), 0, 0, -1),0)</f>
        <v>0</v>
      </c>
      <c r="E81">
        <v>8</v>
      </c>
      <c r="F81">
        <f t="shared" ca="1" si="8"/>
        <v>5</v>
      </c>
      <c r="G81">
        <f t="shared" ca="1" si="9"/>
        <v>2</v>
      </c>
      <c r="H81">
        <f t="shared" ca="1" si="10"/>
        <v>1</v>
      </c>
      <c r="I81">
        <f t="shared" ca="1" si="11"/>
        <v>0</v>
      </c>
      <c r="J81">
        <v>2.5</v>
      </c>
      <c r="K81">
        <v>2</v>
      </c>
      <c r="L81">
        <v>5</v>
      </c>
      <c r="M81" s="3">
        <f t="shared" ca="1" si="7"/>
        <v>45301</v>
      </c>
      <c r="N81" s="3">
        <f t="shared" ca="1" si="7"/>
        <v>45379</v>
      </c>
      <c r="O81" s="3">
        <v>45324</v>
      </c>
    </row>
    <row r="82" spans="1:15" x14ac:dyDescent="0.3">
      <c r="A82" s="3">
        <v>45303</v>
      </c>
      <c r="B82" t="s">
        <v>10</v>
      </c>
      <c r="C82" t="s">
        <v>18</v>
      </c>
      <c r="D82" s="4" cm="1">
        <f t="array" aca="1" ref="D82" ca="1">IFERROR( _xlfn.XLOOKUP(B82, B$2:INDEX(B:B,ROW()-1), I$2:INDEX(I:I,ROW()-1), 0, 0, -1),0)</f>
        <v>3</v>
      </c>
      <c r="E82">
        <v>10</v>
      </c>
      <c r="F82">
        <f t="shared" ca="1" si="8"/>
        <v>2</v>
      </c>
      <c r="G82">
        <f t="shared" ca="1" si="9"/>
        <v>0</v>
      </c>
      <c r="H82">
        <f t="shared" ca="1" si="10"/>
        <v>1</v>
      </c>
      <c r="I82">
        <f t="shared" ca="1" si="11"/>
        <v>10</v>
      </c>
      <c r="J82">
        <v>5.5</v>
      </c>
      <c r="K82">
        <v>4.5</v>
      </c>
      <c r="L82">
        <v>7</v>
      </c>
      <c r="M82" s="3">
        <f t="shared" ref="M82:N101" ca="1" si="12">DATE(2024,1,1) + RANDBETWEEN(0, DATE(2024,5,25) - DATE(2024,1,1))</f>
        <v>45372</v>
      </c>
      <c r="N82" s="3">
        <f t="shared" ca="1" si="12"/>
        <v>45330</v>
      </c>
      <c r="O82" s="3">
        <v>45320</v>
      </c>
    </row>
    <row r="83" spans="1:15" x14ac:dyDescent="0.3">
      <c r="A83" s="3">
        <v>45303</v>
      </c>
      <c r="B83" t="s">
        <v>34</v>
      </c>
      <c r="C83" t="s">
        <v>30</v>
      </c>
      <c r="D83" s="4" cm="1">
        <f t="array" aca="1" ref="D83" ca="1">IFERROR( _xlfn.XLOOKUP(B83, B$2:INDEX(B:B,ROW()-1), I$2:INDEX(I:I,ROW()-1), 0, 0, -1),0)</f>
        <v>1</v>
      </c>
      <c r="E83">
        <v>6</v>
      </c>
      <c r="F83">
        <f t="shared" ca="1" si="8"/>
        <v>0</v>
      </c>
      <c r="G83">
        <f t="shared" ca="1" si="9"/>
        <v>3</v>
      </c>
      <c r="H83">
        <f t="shared" ca="1" si="10"/>
        <v>2</v>
      </c>
      <c r="I83">
        <f t="shared" ca="1" si="11"/>
        <v>2</v>
      </c>
      <c r="J83">
        <v>3.5</v>
      </c>
      <c r="K83">
        <v>3</v>
      </c>
      <c r="L83">
        <v>10</v>
      </c>
      <c r="M83" s="3">
        <f t="shared" ca="1" si="12"/>
        <v>45377</v>
      </c>
      <c r="N83" s="3">
        <f t="shared" ca="1" si="12"/>
        <v>45423</v>
      </c>
      <c r="O83" s="3">
        <v>45378</v>
      </c>
    </row>
    <row r="84" spans="1:15" x14ac:dyDescent="0.3">
      <c r="A84" s="3">
        <v>45303</v>
      </c>
      <c r="B84" t="s">
        <v>59</v>
      </c>
      <c r="C84" t="s">
        <v>93</v>
      </c>
      <c r="D84" s="4" cm="1">
        <f t="array" aca="1" ref="D84" ca="1">IFERROR( _xlfn.XLOOKUP(B84, B$2:INDEX(B:B,ROW()-1), I$2:INDEX(I:I,ROW()-1), 0, 0, -1),0)</f>
        <v>6</v>
      </c>
      <c r="E84">
        <v>10</v>
      </c>
      <c r="F84">
        <f t="shared" ca="1" si="8"/>
        <v>6</v>
      </c>
      <c r="G84">
        <f t="shared" ca="1" si="9"/>
        <v>3</v>
      </c>
      <c r="H84">
        <f t="shared" ca="1" si="10"/>
        <v>3</v>
      </c>
      <c r="I84">
        <f t="shared" ca="1" si="11"/>
        <v>4</v>
      </c>
      <c r="J84">
        <v>4</v>
      </c>
      <c r="K84">
        <v>3.5</v>
      </c>
      <c r="L84">
        <v>10</v>
      </c>
      <c r="M84" s="3">
        <f t="shared" ca="1" si="12"/>
        <v>45426</v>
      </c>
      <c r="N84" s="3">
        <f t="shared" ca="1" si="12"/>
        <v>45390</v>
      </c>
      <c r="O84" s="3">
        <v>45315</v>
      </c>
    </row>
    <row r="85" spans="1:15" x14ac:dyDescent="0.3">
      <c r="A85" s="3">
        <v>45303</v>
      </c>
      <c r="B85" t="s">
        <v>20</v>
      </c>
      <c r="C85" t="s">
        <v>25</v>
      </c>
      <c r="D85" s="4" cm="1">
        <f t="array" aca="1" ref="D85" ca="1">IFERROR( _xlfn.XLOOKUP(B85, B$2:INDEX(B:B,ROW()-1), I$2:INDEX(I:I,ROW()-1), 0, 0, -1),0)</f>
        <v>2</v>
      </c>
      <c r="E85">
        <v>10</v>
      </c>
      <c r="F85">
        <f t="shared" ca="1" si="8"/>
        <v>4</v>
      </c>
      <c r="G85">
        <f t="shared" ca="1" si="9"/>
        <v>3</v>
      </c>
      <c r="H85">
        <f t="shared" ca="1" si="10"/>
        <v>3</v>
      </c>
      <c r="I85">
        <f t="shared" ca="1" si="11"/>
        <v>2</v>
      </c>
      <c r="J85">
        <v>4.5</v>
      </c>
      <c r="K85">
        <v>4</v>
      </c>
      <c r="L85">
        <v>10</v>
      </c>
      <c r="M85" s="3">
        <f t="shared" ca="1" si="12"/>
        <v>45329</v>
      </c>
      <c r="N85" s="3">
        <f t="shared" ca="1" si="12"/>
        <v>45398</v>
      </c>
      <c r="O85" s="3">
        <v>45387</v>
      </c>
    </row>
    <row r="86" spans="1:15" x14ac:dyDescent="0.3">
      <c r="A86" s="3">
        <v>45303</v>
      </c>
      <c r="B86" t="s">
        <v>84</v>
      </c>
      <c r="C86" t="s">
        <v>101</v>
      </c>
      <c r="D86" s="4" cm="1">
        <f t="array" aca="1" ref="D86" ca="1">IFERROR( _xlfn.XLOOKUP(B86, B$2:INDEX(B:B,ROW()-1), I$2:INDEX(I:I,ROW()-1), 0, 0, -1),0)</f>
        <v>6</v>
      </c>
      <c r="E86">
        <v>8</v>
      </c>
      <c r="F86">
        <f t="shared" ca="1" si="8"/>
        <v>3</v>
      </c>
      <c r="G86">
        <f t="shared" ca="1" si="9"/>
        <v>3</v>
      </c>
      <c r="H86">
        <f t="shared" ca="1" si="10"/>
        <v>4</v>
      </c>
      <c r="I86">
        <f t="shared" ca="1" si="11"/>
        <v>4</v>
      </c>
      <c r="J86">
        <v>3.5</v>
      </c>
      <c r="K86">
        <v>3</v>
      </c>
      <c r="L86">
        <v>8</v>
      </c>
      <c r="M86" s="3">
        <f t="shared" ca="1" si="12"/>
        <v>45424</v>
      </c>
      <c r="N86" s="3">
        <f t="shared" ca="1" si="12"/>
        <v>45397</v>
      </c>
      <c r="O86" s="3">
        <v>45417</v>
      </c>
    </row>
    <row r="87" spans="1:15" x14ac:dyDescent="0.3">
      <c r="A87" s="3">
        <v>45304</v>
      </c>
      <c r="B87" t="s">
        <v>21</v>
      </c>
      <c r="C87" t="s">
        <v>27</v>
      </c>
      <c r="D87" s="4" cm="1">
        <f t="array" aca="1" ref="D87" ca="1">IFERROR( _xlfn.XLOOKUP(B87, B$2:INDEX(B:B,ROW()-1), I$2:INDEX(I:I,ROW()-1), 0, 0, -1),0)</f>
        <v>2</v>
      </c>
      <c r="E87">
        <v>8</v>
      </c>
      <c r="F87">
        <f t="shared" ca="1" si="8"/>
        <v>1</v>
      </c>
      <c r="G87">
        <f t="shared" ca="1" si="9"/>
        <v>3</v>
      </c>
      <c r="H87">
        <f t="shared" ca="1" si="10"/>
        <v>0</v>
      </c>
      <c r="I87">
        <f t="shared" ca="1" si="11"/>
        <v>6</v>
      </c>
      <c r="J87">
        <v>4</v>
      </c>
      <c r="K87">
        <v>3</v>
      </c>
      <c r="L87">
        <v>14</v>
      </c>
      <c r="M87" s="3">
        <f t="shared" ca="1" si="12"/>
        <v>45357</v>
      </c>
      <c r="N87" s="3">
        <f t="shared" ca="1" si="12"/>
        <v>45336</v>
      </c>
      <c r="O87" s="3">
        <v>45314</v>
      </c>
    </row>
    <row r="88" spans="1:15" x14ac:dyDescent="0.3">
      <c r="A88" s="3">
        <v>45304</v>
      </c>
      <c r="B88" t="s">
        <v>21</v>
      </c>
      <c r="C88" t="s">
        <v>27</v>
      </c>
      <c r="D88" s="4" cm="1">
        <f t="array" aca="1" ref="D88" ca="1">IFERROR( _xlfn.XLOOKUP(B88, B$2:INDEX(B:B,ROW()-1), I$2:INDEX(I:I,ROW()-1), 0, 0, -1),0)</f>
        <v>6</v>
      </c>
      <c r="E88">
        <v>8</v>
      </c>
      <c r="F88">
        <f t="shared" ca="1" si="8"/>
        <v>2</v>
      </c>
      <c r="G88">
        <f t="shared" ca="1" si="9"/>
        <v>4</v>
      </c>
      <c r="H88">
        <f t="shared" ca="1" si="10"/>
        <v>5</v>
      </c>
      <c r="I88">
        <f t="shared" ca="1" si="11"/>
        <v>3</v>
      </c>
      <c r="J88">
        <v>4</v>
      </c>
      <c r="K88">
        <v>3</v>
      </c>
      <c r="L88">
        <v>14</v>
      </c>
      <c r="M88" s="3">
        <f t="shared" ca="1" si="12"/>
        <v>45411</v>
      </c>
      <c r="N88" s="3">
        <f t="shared" ca="1" si="12"/>
        <v>45307</v>
      </c>
      <c r="O88" s="3">
        <v>45431</v>
      </c>
    </row>
    <row r="89" spans="1:15" x14ac:dyDescent="0.3">
      <c r="A89" s="3">
        <v>45304</v>
      </c>
      <c r="B89" t="s">
        <v>19</v>
      </c>
      <c r="C89" t="s">
        <v>17</v>
      </c>
      <c r="D89" s="4" cm="1">
        <f t="array" ref="D89">IFERROR( _xlfn.XLOOKUP(B89, B$2:INDEX(B:B,ROW()-1), I$2:INDEX(I:I,ROW()-1), 0, 0, -1),0)</f>
        <v>0</v>
      </c>
      <c r="E89">
        <v>10</v>
      </c>
      <c r="F89">
        <f t="shared" ca="1" si="8"/>
        <v>6</v>
      </c>
      <c r="G89">
        <f t="shared" ca="1" si="9"/>
        <v>1</v>
      </c>
      <c r="H89">
        <f t="shared" ca="1" si="10"/>
        <v>2</v>
      </c>
      <c r="I89">
        <f t="shared" ca="1" si="11"/>
        <v>1</v>
      </c>
      <c r="J89">
        <v>4.5</v>
      </c>
      <c r="K89">
        <v>4</v>
      </c>
      <c r="L89">
        <v>10</v>
      </c>
      <c r="M89" s="3">
        <f t="shared" ca="1" si="12"/>
        <v>45413</v>
      </c>
      <c r="N89" s="3">
        <f t="shared" ca="1" si="12"/>
        <v>45421</v>
      </c>
      <c r="O89" s="3">
        <v>45358</v>
      </c>
    </row>
    <row r="90" spans="1:15" x14ac:dyDescent="0.3">
      <c r="A90" s="3">
        <v>45304</v>
      </c>
      <c r="B90" t="s">
        <v>63</v>
      </c>
      <c r="C90" t="s">
        <v>97</v>
      </c>
      <c r="D90" s="4" cm="1">
        <f t="array" aca="1" ref="D90" ca="1">IFERROR( _xlfn.XLOOKUP(B90, B$2:INDEX(B:B,ROW()-1), I$2:INDEX(I:I,ROW()-1), 0, 0, -1),0)</f>
        <v>8</v>
      </c>
      <c r="E90">
        <v>10</v>
      </c>
      <c r="F90">
        <f t="shared" ca="1" si="8"/>
        <v>3</v>
      </c>
      <c r="G90">
        <f t="shared" ca="1" si="9"/>
        <v>3</v>
      </c>
      <c r="H90">
        <f t="shared" ca="1" si="10"/>
        <v>4</v>
      </c>
      <c r="I90">
        <f t="shared" ca="1" si="11"/>
        <v>8</v>
      </c>
      <c r="J90">
        <v>4</v>
      </c>
      <c r="K90">
        <v>3.5</v>
      </c>
      <c r="L90">
        <v>10</v>
      </c>
      <c r="M90" s="3">
        <f t="shared" ca="1" si="12"/>
        <v>45297</v>
      </c>
      <c r="N90" s="3">
        <f t="shared" ca="1" si="12"/>
        <v>45349</v>
      </c>
      <c r="O90" s="3">
        <v>45361</v>
      </c>
    </row>
    <row r="91" spans="1:15" x14ac:dyDescent="0.3">
      <c r="A91" s="3">
        <v>45304</v>
      </c>
      <c r="B91" t="s">
        <v>90</v>
      </c>
      <c r="C91" t="s">
        <v>87</v>
      </c>
      <c r="D91" s="4" cm="1">
        <f t="array" aca="1" ref="D91" ca="1">IFERROR( _xlfn.XLOOKUP(B91, B$2:INDEX(B:B,ROW()-1), I$2:INDEX(I:I,ROW()-1), 0, 0, -1),0)</f>
        <v>7</v>
      </c>
      <c r="E91">
        <v>12</v>
      </c>
      <c r="F91">
        <f t="shared" ca="1" si="8"/>
        <v>3</v>
      </c>
      <c r="G91">
        <f t="shared" ca="1" si="9"/>
        <v>6</v>
      </c>
      <c r="H91">
        <f t="shared" ca="1" si="10"/>
        <v>5</v>
      </c>
      <c r="I91">
        <f t="shared" ca="1" si="11"/>
        <v>5</v>
      </c>
      <c r="J91">
        <v>4.5</v>
      </c>
      <c r="K91">
        <v>4</v>
      </c>
      <c r="L91">
        <v>14</v>
      </c>
      <c r="M91" s="3">
        <f t="shared" ca="1" si="12"/>
        <v>45327</v>
      </c>
      <c r="N91" s="3">
        <f t="shared" ca="1" si="12"/>
        <v>45318</v>
      </c>
      <c r="O91" s="3">
        <v>45406</v>
      </c>
    </row>
    <row r="92" spans="1:15" x14ac:dyDescent="0.3">
      <c r="A92" s="3">
        <v>45304</v>
      </c>
      <c r="B92" t="s">
        <v>68</v>
      </c>
      <c r="C92" t="s">
        <v>43</v>
      </c>
      <c r="D92" s="4" cm="1">
        <f t="array" aca="1" ref="D92" ca="1">IFERROR( _xlfn.XLOOKUP(B92, B$2:INDEX(B:B,ROW()-1), I$2:INDEX(I:I,ROW()-1), 0, 0, -1),0)</f>
        <v>7</v>
      </c>
      <c r="E92">
        <v>15</v>
      </c>
      <c r="F92">
        <f t="shared" ca="1" si="8"/>
        <v>9</v>
      </c>
      <c r="G92">
        <f t="shared" ca="1" si="9"/>
        <v>0</v>
      </c>
      <c r="H92">
        <f t="shared" ca="1" si="10"/>
        <v>1</v>
      </c>
      <c r="I92">
        <f t="shared" ca="1" si="11"/>
        <v>12</v>
      </c>
      <c r="J92">
        <v>4</v>
      </c>
      <c r="K92">
        <v>3</v>
      </c>
      <c r="L92">
        <v>14</v>
      </c>
      <c r="M92" s="3">
        <f t="shared" ca="1" si="12"/>
        <v>45430</v>
      </c>
      <c r="N92" s="3">
        <f t="shared" ca="1" si="12"/>
        <v>45374</v>
      </c>
      <c r="O92" s="3">
        <v>45324</v>
      </c>
    </row>
    <row r="93" spans="1:15" x14ac:dyDescent="0.3">
      <c r="A93" s="3">
        <v>45304</v>
      </c>
      <c r="B93" t="s">
        <v>89</v>
      </c>
      <c r="C93" t="s">
        <v>103</v>
      </c>
      <c r="D93" s="4" cm="1">
        <f t="array" aca="1" ref="D93" ca="1">IFERROR( _xlfn.XLOOKUP(B93, B$2:INDEX(B:B,ROW()-1), I$2:INDEX(I:I,ROW()-1), 0, 0, -1),0)</f>
        <v>5</v>
      </c>
      <c r="E93">
        <v>8</v>
      </c>
      <c r="F93">
        <f t="shared" ca="1" si="8"/>
        <v>6</v>
      </c>
      <c r="G93">
        <f t="shared" ca="1" si="9"/>
        <v>4</v>
      </c>
      <c r="H93">
        <f t="shared" ca="1" si="10"/>
        <v>0</v>
      </c>
      <c r="I93">
        <f t="shared" ca="1" si="11"/>
        <v>3</v>
      </c>
      <c r="J93">
        <v>3.5</v>
      </c>
      <c r="K93">
        <v>3</v>
      </c>
      <c r="L93">
        <v>8</v>
      </c>
      <c r="M93" s="3">
        <f t="shared" ca="1" si="12"/>
        <v>45366</v>
      </c>
      <c r="N93" s="3">
        <f t="shared" ca="1" si="12"/>
        <v>45353</v>
      </c>
      <c r="O93" s="3">
        <v>45346</v>
      </c>
    </row>
    <row r="94" spans="1:15" x14ac:dyDescent="0.3">
      <c r="A94" s="3">
        <v>45304</v>
      </c>
      <c r="B94" t="s">
        <v>55</v>
      </c>
      <c r="C94" t="s">
        <v>53</v>
      </c>
      <c r="D94" s="4" cm="1">
        <f t="array" aca="1" ref="D94" ca="1">IFERROR( _xlfn.XLOOKUP(B94, B$2:INDEX(B:B,ROW()-1), I$2:INDEX(I:I,ROW()-1), 0, 0, -1),0)</f>
        <v>0</v>
      </c>
      <c r="E94">
        <v>4</v>
      </c>
      <c r="F94">
        <f t="shared" ca="1" si="8"/>
        <v>1</v>
      </c>
      <c r="G94">
        <f t="shared" ca="1" si="9"/>
        <v>2</v>
      </c>
      <c r="H94">
        <f t="shared" ca="1" si="10"/>
        <v>1</v>
      </c>
      <c r="I94">
        <f t="shared" ca="1" si="11"/>
        <v>0</v>
      </c>
      <c r="J94">
        <v>8.5</v>
      </c>
      <c r="K94">
        <v>6</v>
      </c>
      <c r="L94">
        <v>7</v>
      </c>
      <c r="M94" s="3">
        <f t="shared" ca="1" si="12"/>
        <v>45320</v>
      </c>
      <c r="N94" s="3">
        <f t="shared" ca="1" si="12"/>
        <v>45346</v>
      </c>
      <c r="O94" s="3">
        <v>45298</v>
      </c>
    </row>
    <row r="95" spans="1:15" x14ac:dyDescent="0.3">
      <c r="A95" s="3">
        <v>45304</v>
      </c>
      <c r="B95" t="s">
        <v>40</v>
      </c>
      <c r="C95" t="s">
        <v>85</v>
      </c>
      <c r="D95" s="4" cm="1">
        <f t="array" aca="1" ref="D95" ca="1">IFERROR( _xlfn.XLOOKUP(B95, B$2:INDEX(B:B,ROW()-1), I$2:INDEX(I:I,ROW()-1), 0, 0, -1),0)</f>
        <v>2</v>
      </c>
      <c r="E95">
        <v>15</v>
      </c>
      <c r="F95">
        <f t="shared" ca="1" si="8"/>
        <v>1</v>
      </c>
      <c r="G95">
        <f t="shared" ca="1" si="9"/>
        <v>7</v>
      </c>
      <c r="H95">
        <f t="shared" ca="1" si="10"/>
        <v>5</v>
      </c>
      <c r="I95">
        <f t="shared" ca="1" si="11"/>
        <v>4</v>
      </c>
      <c r="J95">
        <v>3</v>
      </c>
      <c r="K95">
        <v>2.5</v>
      </c>
      <c r="L95">
        <v>14</v>
      </c>
      <c r="M95" s="3">
        <f t="shared" ca="1" si="12"/>
        <v>45380</v>
      </c>
      <c r="N95" s="3">
        <f t="shared" ca="1" si="12"/>
        <v>45362</v>
      </c>
      <c r="O95" s="3">
        <v>45315</v>
      </c>
    </row>
    <row r="96" spans="1:15" x14ac:dyDescent="0.3">
      <c r="A96" s="3">
        <v>45305</v>
      </c>
      <c r="B96" t="s">
        <v>62</v>
      </c>
      <c r="C96" t="s">
        <v>96</v>
      </c>
      <c r="D96" s="4" cm="1">
        <f t="array" ref="D96">IFERROR( _xlfn.XLOOKUP(B96, B$2:INDEX(B:B,ROW()-1), I$2:INDEX(I:I,ROW()-1), 0, 0, -1),0)</f>
        <v>0</v>
      </c>
      <c r="E96">
        <v>10</v>
      </c>
      <c r="F96">
        <f t="shared" ca="1" si="8"/>
        <v>3</v>
      </c>
      <c r="G96">
        <f t="shared" ca="1" si="9"/>
        <v>2</v>
      </c>
      <c r="H96">
        <f t="shared" ca="1" si="10"/>
        <v>2</v>
      </c>
      <c r="I96">
        <f t="shared" ca="1" si="11"/>
        <v>3</v>
      </c>
      <c r="J96">
        <v>4</v>
      </c>
      <c r="K96">
        <v>3.5</v>
      </c>
      <c r="L96">
        <v>10</v>
      </c>
      <c r="M96" s="3">
        <f t="shared" ca="1" si="12"/>
        <v>45311</v>
      </c>
      <c r="N96" s="3">
        <f t="shared" ca="1" si="12"/>
        <v>45385</v>
      </c>
      <c r="O96" s="3">
        <v>45325</v>
      </c>
    </row>
    <row r="97" spans="1:15" x14ac:dyDescent="0.3">
      <c r="A97" s="3">
        <v>45305</v>
      </c>
      <c r="B97" t="s">
        <v>80</v>
      </c>
      <c r="C97" t="s">
        <v>49</v>
      </c>
      <c r="D97" s="4" cm="1">
        <f t="array" aca="1" ref="D97" ca="1">IFERROR( _xlfn.XLOOKUP(B97, B$2:INDEX(B:B,ROW()-1), I$2:INDEX(I:I,ROW()-1), 0, 0, -1),0)</f>
        <v>5</v>
      </c>
      <c r="E97">
        <v>8</v>
      </c>
      <c r="F97">
        <f t="shared" ca="1" si="8"/>
        <v>4</v>
      </c>
      <c r="G97">
        <f t="shared" ca="1" si="9"/>
        <v>3</v>
      </c>
      <c r="H97">
        <f t="shared" ca="1" si="10"/>
        <v>4</v>
      </c>
      <c r="I97">
        <f t="shared" ca="1" si="11"/>
        <v>2</v>
      </c>
      <c r="J97">
        <v>2.5</v>
      </c>
      <c r="K97">
        <v>2</v>
      </c>
      <c r="L97">
        <v>5</v>
      </c>
      <c r="M97" s="3">
        <f t="shared" ca="1" si="12"/>
        <v>45380</v>
      </c>
      <c r="N97" s="3">
        <f t="shared" ca="1" si="12"/>
        <v>45434</v>
      </c>
      <c r="O97" s="3">
        <v>45389</v>
      </c>
    </row>
    <row r="98" spans="1:15" x14ac:dyDescent="0.3">
      <c r="A98" s="3">
        <v>45305</v>
      </c>
      <c r="B98" t="s">
        <v>59</v>
      </c>
      <c r="C98" t="s">
        <v>93</v>
      </c>
      <c r="D98" s="4" cm="1">
        <f t="array" aca="1" ref="D98" ca="1">IFERROR( _xlfn.XLOOKUP(B98, B$2:INDEX(B:B,ROW()-1), I$2:INDEX(I:I,ROW()-1), 0, 0, -1),0)</f>
        <v>4</v>
      </c>
      <c r="E98">
        <v>10</v>
      </c>
      <c r="F98">
        <f t="shared" ca="1" si="8"/>
        <v>6</v>
      </c>
      <c r="G98">
        <f t="shared" ca="1" si="9"/>
        <v>3</v>
      </c>
      <c r="H98">
        <f t="shared" ca="1" si="10"/>
        <v>3</v>
      </c>
      <c r="I98">
        <f t="shared" ca="1" si="11"/>
        <v>2</v>
      </c>
      <c r="J98">
        <v>4</v>
      </c>
      <c r="K98">
        <v>3.5</v>
      </c>
      <c r="L98">
        <v>10</v>
      </c>
      <c r="M98" s="3">
        <f t="shared" ca="1" si="12"/>
        <v>45428</v>
      </c>
      <c r="N98" s="3">
        <f t="shared" ca="1" si="12"/>
        <v>45334</v>
      </c>
      <c r="O98" s="3">
        <v>45309</v>
      </c>
    </row>
    <row r="99" spans="1:15" x14ac:dyDescent="0.3">
      <c r="A99" s="3">
        <v>45305</v>
      </c>
      <c r="B99" t="s">
        <v>56</v>
      </c>
      <c r="C99" t="s">
        <v>54</v>
      </c>
      <c r="D99" s="4" cm="1">
        <f t="array" ref="D99">IFERROR( _xlfn.XLOOKUP(B99, B$2:INDEX(B:B,ROW()-1), I$2:INDEX(I:I,ROW()-1), 0, 0, -1),0)</f>
        <v>0</v>
      </c>
      <c r="E99">
        <v>8</v>
      </c>
      <c r="F99">
        <f t="shared" ca="1" si="8"/>
        <v>2</v>
      </c>
      <c r="G99">
        <f t="shared" ca="1" si="9"/>
        <v>3</v>
      </c>
      <c r="H99">
        <f t="shared" ca="1" si="10"/>
        <v>0</v>
      </c>
      <c r="I99">
        <f t="shared" ca="1" si="11"/>
        <v>3</v>
      </c>
      <c r="J99">
        <v>6</v>
      </c>
      <c r="K99">
        <v>5.5</v>
      </c>
      <c r="L99">
        <v>20</v>
      </c>
      <c r="M99" s="3">
        <f t="shared" ca="1" si="12"/>
        <v>45352</v>
      </c>
      <c r="N99" s="3">
        <f t="shared" ca="1" si="12"/>
        <v>45434</v>
      </c>
      <c r="O99" s="3">
        <v>45292</v>
      </c>
    </row>
    <row r="100" spans="1:15" x14ac:dyDescent="0.3">
      <c r="A100" s="3">
        <v>45306</v>
      </c>
      <c r="B100" t="s">
        <v>22</v>
      </c>
      <c r="C100" t="s">
        <v>26</v>
      </c>
      <c r="D100" s="4" cm="1">
        <f t="array" ref="D100">IFERROR( _xlfn.XLOOKUP(B100, B$2:INDEX(B:B,ROW()-1), I$2:INDEX(I:I,ROW()-1), 0, 0, -1),0)</f>
        <v>0</v>
      </c>
      <c r="E100">
        <v>12</v>
      </c>
      <c r="F100">
        <f t="shared" ca="1" si="8"/>
        <v>4</v>
      </c>
      <c r="G100">
        <f t="shared" ca="1" si="9"/>
        <v>1</v>
      </c>
      <c r="H100">
        <f t="shared" ca="1" si="10"/>
        <v>3</v>
      </c>
      <c r="I100">
        <f t="shared" ca="1" si="11"/>
        <v>4</v>
      </c>
      <c r="J100">
        <v>3.5</v>
      </c>
      <c r="K100">
        <v>3</v>
      </c>
      <c r="L100">
        <v>14</v>
      </c>
      <c r="M100" s="3">
        <f t="shared" ca="1" si="12"/>
        <v>45406</v>
      </c>
      <c r="N100" s="3">
        <f t="shared" ca="1" si="12"/>
        <v>45434</v>
      </c>
      <c r="O100" s="3">
        <v>45343</v>
      </c>
    </row>
    <row r="101" spans="1:15" x14ac:dyDescent="0.3">
      <c r="A101" s="3">
        <v>45306</v>
      </c>
      <c r="B101" t="s">
        <v>78</v>
      </c>
      <c r="C101" t="s">
        <v>74</v>
      </c>
      <c r="D101" s="4" cm="1">
        <f t="array" aca="1" ref="D101" ca="1">IFERROR( _xlfn.XLOOKUP(B101, B$2:INDEX(B:B,ROW()-1), I$2:INDEX(I:I,ROW()-1), 0, 0, -1),0)</f>
        <v>6</v>
      </c>
      <c r="E101">
        <v>6</v>
      </c>
      <c r="F101">
        <f t="shared" ca="1" si="8"/>
        <v>5</v>
      </c>
      <c r="G101">
        <f t="shared" ca="1" si="9"/>
        <v>3</v>
      </c>
      <c r="H101">
        <f t="shared" ca="1" si="10"/>
        <v>1</v>
      </c>
      <c r="I101">
        <f t="shared" ca="1" si="11"/>
        <v>3</v>
      </c>
      <c r="J101">
        <v>4</v>
      </c>
      <c r="K101">
        <v>3</v>
      </c>
      <c r="L101">
        <v>7</v>
      </c>
      <c r="M101" s="3">
        <f t="shared" ca="1" si="12"/>
        <v>45385</v>
      </c>
      <c r="N101" s="3">
        <f t="shared" ca="1" si="12"/>
        <v>45374</v>
      </c>
      <c r="O101" s="3">
        <v>45309</v>
      </c>
    </row>
    <row r="102" spans="1:15" x14ac:dyDescent="0.3">
      <c r="A102" s="3">
        <v>45306</v>
      </c>
      <c r="B102" t="s">
        <v>60</v>
      </c>
      <c r="C102" t="s">
        <v>94</v>
      </c>
      <c r="D102" s="4" cm="1">
        <f t="array" aca="1" ref="D102" ca="1">IFERROR( _xlfn.XLOOKUP(B102, B$2:INDEX(B:B,ROW()-1), I$2:INDEX(I:I,ROW()-1), 0, 0, -1),0)</f>
        <v>4</v>
      </c>
      <c r="E102">
        <v>10</v>
      </c>
      <c r="F102">
        <f t="shared" ca="1" si="8"/>
        <v>6</v>
      </c>
      <c r="G102">
        <f t="shared" ca="1" si="9"/>
        <v>5</v>
      </c>
      <c r="H102">
        <f t="shared" ca="1" si="10"/>
        <v>2</v>
      </c>
      <c r="I102">
        <f t="shared" ca="1" si="11"/>
        <v>1</v>
      </c>
      <c r="J102">
        <v>4</v>
      </c>
      <c r="K102">
        <v>3.5</v>
      </c>
      <c r="L102">
        <v>10</v>
      </c>
      <c r="M102" s="3">
        <f t="shared" ref="M102:N121" ca="1" si="13">DATE(2024,1,1) + RANDBETWEEN(0, DATE(2024,5,25) - DATE(2024,1,1))</f>
        <v>45395</v>
      </c>
      <c r="N102" s="3">
        <f t="shared" ca="1" si="13"/>
        <v>45393</v>
      </c>
      <c r="O102" s="3">
        <v>45320</v>
      </c>
    </row>
    <row r="103" spans="1:15" x14ac:dyDescent="0.3">
      <c r="A103" s="3">
        <v>45306</v>
      </c>
      <c r="B103" t="s">
        <v>92</v>
      </c>
      <c r="C103" t="s">
        <v>91</v>
      </c>
      <c r="D103" s="4" cm="1">
        <f t="array" aca="1" ref="D103" ca="1">IFERROR( _xlfn.XLOOKUP(B103, B$2:INDEX(B:B,ROW()-1), I$2:INDEX(I:I,ROW()-1), 0, 0, -1),0)</f>
        <v>3</v>
      </c>
      <c r="E103">
        <v>6</v>
      </c>
      <c r="F103">
        <f t="shared" ca="1" si="8"/>
        <v>5</v>
      </c>
      <c r="G103">
        <f t="shared" ca="1" si="9"/>
        <v>2</v>
      </c>
      <c r="H103">
        <f t="shared" ca="1" si="10"/>
        <v>1</v>
      </c>
      <c r="I103">
        <f t="shared" ca="1" si="11"/>
        <v>1</v>
      </c>
      <c r="J103">
        <v>4.5</v>
      </c>
      <c r="K103">
        <v>4</v>
      </c>
      <c r="L103">
        <v>14</v>
      </c>
      <c r="M103" s="3">
        <f t="shared" ca="1" si="13"/>
        <v>45325</v>
      </c>
      <c r="N103" s="3">
        <f t="shared" ca="1" si="13"/>
        <v>45328</v>
      </c>
      <c r="O103" s="3">
        <v>45401</v>
      </c>
    </row>
    <row r="104" spans="1:15" x14ac:dyDescent="0.3">
      <c r="A104" s="3">
        <v>45306</v>
      </c>
      <c r="B104" t="s">
        <v>78</v>
      </c>
      <c r="C104" t="s">
        <v>74</v>
      </c>
      <c r="D104" s="4" cm="1">
        <f t="array" aca="1" ref="D104" ca="1">IFERROR( _xlfn.XLOOKUP(B104, B$2:INDEX(B:B,ROW()-1), I$2:INDEX(I:I,ROW()-1), 0, 0, -1),0)</f>
        <v>3</v>
      </c>
      <c r="E104">
        <v>6</v>
      </c>
      <c r="F104">
        <f t="shared" ca="1" si="8"/>
        <v>1</v>
      </c>
      <c r="G104">
        <f t="shared" ca="1" si="9"/>
        <v>0</v>
      </c>
      <c r="H104">
        <f t="shared" ca="1" si="10"/>
        <v>4</v>
      </c>
      <c r="I104">
        <f t="shared" ca="1" si="11"/>
        <v>4</v>
      </c>
      <c r="J104">
        <v>4</v>
      </c>
      <c r="K104">
        <v>3</v>
      </c>
      <c r="L104">
        <v>7</v>
      </c>
      <c r="M104" s="3">
        <f t="shared" ca="1" si="13"/>
        <v>45322</v>
      </c>
      <c r="N104" s="3">
        <f t="shared" ca="1" si="13"/>
        <v>45298</v>
      </c>
      <c r="O104" s="3">
        <v>45418</v>
      </c>
    </row>
    <row r="105" spans="1:15" x14ac:dyDescent="0.3">
      <c r="A105" s="3">
        <v>45306</v>
      </c>
      <c r="B105" t="s">
        <v>67</v>
      </c>
      <c r="C105" t="s">
        <v>46</v>
      </c>
      <c r="D105" s="4" cm="1">
        <f t="array" aca="1" ref="D105" ca="1">IFERROR( _xlfn.XLOOKUP(B105, B$2:INDEX(B:B,ROW()-1), I$2:INDEX(I:I,ROW()-1), 0, 0, -1),0)</f>
        <v>1</v>
      </c>
      <c r="E105">
        <v>8</v>
      </c>
      <c r="F105">
        <f t="shared" ca="1" si="8"/>
        <v>4</v>
      </c>
      <c r="G105">
        <f t="shared" ca="1" si="9"/>
        <v>0</v>
      </c>
      <c r="H105">
        <f t="shared" ca="1" si="10"/>
        <v>2</v>
      </c>
      <c r="I105">
        <f t="shared" ca="1" si="11"/>
        <v>3</v>
      </c>
      <c r="J105">
        <v>3.5</v>
      </c>
      <c r="K105">
        <v>3</v>
      </c>
      <c r="L105">
        <v>8</v>
      </c>
      <c r="M105" s="3">
        <f t="shared" ca="1" si="13"/>
        <v>45321</v>
      </c>
      <c r="N105" s="3">
        <f t="shared" ca="1" si="13"/>
        <v>45315</v>
      </c>
      <c r="O105" s="3">
        <v>45303</v>
      </c>
    </row>
    <row r="106" spans="1:15" x14ac:dyDescent="0.3">
      <c r="A106" s="3">
        <v>45306</v>
      </c>
      <c r="B106" t="s">
        <v>89</v>
      </c>
      <c r="C106" t="s">
        <v>103</v>
      </c>
      <c r="D106" s="4" cm="1">
        <f t="array" aca="1" ref="D106" ca="1">IFERROR( _xlfn.XLOOKUP(B106, B$2:INDEX(B:B,ROW()-1), I$2:INDEX(I:I,ROW()-1), 0, 0, -1),0)</f>
        <v>3</v>
      </c>
      <c r="E106">
        <v>8</v>
      </c>
      <c r="F106">
        <f t="shared" ca="1" si="8"/>
        <v>1</v>
      </c>
      <c r="G106">
        <f t="shared" ca="1" si="9"/>
        <v>1</v>
      </c>
      <c r="H106">
        <f t="shared" ca="1" si="10"/>
        <v>4</v>
      </c>
      <c r="I106">
        <f t="shared" ca="1" si="11"/>
        <v>5</v>
      </c>
      <c r="J106">
        <v>3.5</v>
      </c>
      <c r="K106">
        <v>3</v>
      </c>
      <c r="L106">
        <v>8</v>
      </c>
      <c r="M106" s="3">
        <f t="shared" ca="1" si="13"/>
        <v>45355</v>
      </c>
      <c r="N106" s="3">
        <f t="shared" ca="1" si="13"/>
        <v>45352</v>
      </c>
      <c r="O106" s="3">
        <v>45320</v>
      </c>
    </row>
    <row r="107" spans="1:15" x14ac:dyDescent="0.3">
      <c r="A107" s="3">
        <v>45307</v>
      </c>
      <c r="B107" t="s">
        <v>64</v>
      </c>
      <c r="C107" t="s">
        <v>42</v>
      </c>
      <c r="D107" s="4" cm="1">
        <f t="array" aca="1" ref="D107" ca="1">IFERROR( _xlfn.XLOOKUP(B107, B$2:INDEX(B:B,ROW()-1), I$2:INDEX(I:I,ROW()-1), 0, 0, -1),0)</f>
        <v>0</v>
      </c>
      <c r="E107">
        <v>8</v>
      </c>
      <c r="F107">
        <f t="shared" ca="1" si="8"/>
        <v>3</v>
      </c>
      <c r="G107">
        <f t="shared" ca="1" si="9"/>
        <v>1</v>
      </c>
      <c r="H107">
        <f t="shared" ca="1" si="10"/>
        <v>2</v>
      </c>
      <c r="I107">
        <f t="shared" ca="1" si="11"/>
        <v>2</v>
      </c>
      <c r="J107">
        <v>3.5</v>
      </c>
      <c r="K107">
        <v>3</v>
      </c>
      <c r="L107">
        <v>8</v>
      </c>
      <c r="M107" s="3">
        <f t="shared" ca="1" si="13"/>
        <v>45433</v>
      </c>
      <c r="N107" s="3">
        <f t="shared" ca="1" si="13"/>
        <v>45350</v>
      </c>
      <c r="O107" s="3">
        <v>45408</v>
      </c>
    </row>
    <row r="108" spans="1:15" x14ac:dyDescent="0.3">
      <c r="A108" s="3">
        <v>45307</v>
      </c>
      <c r="B108" t="s">
        <v>60</v>
      </c>
      <c r="C108" t="s">
        <v>94</v>
      </c>
      <c r="D108" s="4" cm="1">
        <f t="array" aca="1" ref="D108" ca="1">IFERROR( _xlfn.XLOOKUP(B108, B$2:INDEX(B:B,ROW()-1), I$2:INDEX(I:I,ROW()-1), 0, 0, -1),0)</f>
        <v>1</v>
      </c>
      <c r="E108">
        <v>10</v>
      </c>
      <c r="F108">
        <f t="shared" ca="1" si="8"/>
        <v>1</v>
      </c>
      <c r="G108">
        <f t="shared" ca="1" si="9"/>
        <v>0</v>
      </c>
      <c r="H108">
        <f t="shared" ca="1" si="10"/>
        <v>2</v>
      </c>
      <c r="I108">
        <f t="shared" ca="1" si="11"/>
        <v>8</v>
      </c>
      <c r="J108">
        <v>4</v>
      </c>
      <c r="K108">
        <v>3.5</v>
      </c>
      <c r="L108">
        <v>10</v>
      </c>
      <c r="M108" s="3">
        <f t="shared" ca="1" si="13"/>
        <v>45347</v>
      </c>
      <c r="N108" s="3">
        <f t="shared" ca="1" si="13"/>
        <v>45340</v>
      </c>
      <c r="O108" s="3">
        <v>45435</v>
      </c>
    </row>
    <row r="109" spans="1:15" x14ac:dyDescent="0.3">
      <c r="A109" s="3">
        <v>45307</v>
      </c>
      <c r="B109" t="s">
        <v>64</v>
      </c>
      <c r="C109" t="s">
        <v>42</v>
      </c>
      <c r="D109" s="4" cm="1">
        <f t="array" aca="1" ref="D109" ca="1">IFERROR( _xlfn.XLOOKUP(B109, B$2:INDEX(B:B,ROW()-1), I$2:INDEX(I:I,ROW()-1), 0, 0, -1),0)</f>
        <v>2</v>
      </c>
      <c r="E109">
        <v>8</v>
      </c>
      <c r="F109">
        <f t="shared" ca="1" si="8"/>
        <v>2</v>
      </c>
      <c r="G109">
        <f t="shared" ca="1" si="9"/>
        <v>5</v>
      </c>
      <c r="H109">
        <f t="shared" ca="1" si="10"/>
        <v>0</v>
      </c>
      <c r="I109">
        <f t="shared" ca="1" si="11"/>
        <v>3</v>
      </c>
      <c r="J109">
        <v>3.5</v>
      </c>
      <c r="K109">
        <v>3</v>
      </c>
      <c r="L109">
        <v>8</v>
      </c>
      <c r="M109" s="3">
        <f t="shared" ca="1" si="13"/>
        <v>45408</v>
      </c>
      <c r="N109" s="3">
        <f t="shared" ca="1" si="13"/>
        <v>45337</v>
      </c>
      <c r="O109" s="3">
        <v>45392</v>
      </c>
    </row>
    <row r="110" spans="1:15" x14ac:dyDescent="0.3">
      <c r="A110" s="3">
        <v>45307</v>
      </c>
      <c r="B110" t="s">
        <v>81</v>
      </c>
      <c r="C110" t="s">
        <v>50</v>
      </c>
      <c r="D110" s="4" cm="1">
        <f t="array" aca="1" ref="D110" ca="1">IFERROR( _xlfn.XLOOKUP(B110, B$2:INDEX(B:B,ROW()-1), I$2:INDEX(I:I,ROW()-1), 0, 0, -1),0)</f>
        <v>1</v>
      </c>
      <c r="E110">
        <v>8</v>
      </c>
      <c r="F110">
        <f t="shared" ca="1" si="8"/>
        <v>5</v>
      </c>
      <c r="G110">
        <f t="shared" ca="1" si="9"/>
        <v>0</v>
      </c>
      <c r="H110">
        <f t="shared" ca="1" si="10"/>
        <v>2</v>
      </c>
      <c r="I110">
        <f t="shared" ca="1" si="11"/>
        <v>2</v>
      </c>
      <c r="J110">
        <v>2.5</v>
      </c>
      <c r="K110">
        <v>2</v>
      </c>
      <c r="L110">
        <v>5</v>
      </c>
      <c r="M110" s="3">
        <f t="shared" ca="1" si="13"/>
        <v>45365</v>
      </c>
      <c r="N110" s="3">
        <f t="shared" ca="1" si="13"/>
        <v>45353</v>
      </c>
      <c r="O110" s="3">
        <v>45351</v>
      </c>
    </row>
    <row r="111" spans="1:15" x14ac:dyDescent="0.3">
      <c r="A111" s="3">
        <v>45307</v>
      </c>
      <c r="B111" t="s">
        <v>62</v>
      </c>
      <c r="C111" t="s">
        <v>96</v>
      </c>
      <c r="D111" s="4" cm="1">
        <f t="array" aca="1" ref="D111" ca="1">IFERROR( _xlfn.XLOOKUP(B111, B$2:INDEX(B:B,ROW()-1), I$2:INDEX(I:I,ROW()-1), 0, 0, -1),0)</f>
        <v>3</v>
      </c>
      <c r="E111">
        <v>10</v>
      </c>
      <c r="F111">
        <f t="shared" ca="1" si="8"/>
        <v>4</v>
      </c>
      <c r="G111">
        <f t="shared" ca="1" si="9"/>
        <v>1</v>
      </c>
      <c r="H111">
        <f t="shared" ca="1" si="10"/>
        <v>5</v>
      </c>
      <c r="I111">
        <f t="shared" ca="1" si="11"/>
        <v>3</v>
      </c>
      <c r="J111">
        <v>4</v>
      </c>
      <c r="K111">
        <v>3.5</v>
      </c>
      <c r="L111">
        <v>10</v>
      </c>
      <c r="M111" s="3">
        <f t="shared" ca="1" si="13"/>
        <v>45364</v>
      </c>
      <c r="N111" s="3">
        <f t="shared" ca="1" si="13"/>
        <v>45414</v>
      </c>
      <c r="O111" s="3">
        <v>45294</v>
      </c>
    </row>
    <row r="112" spans="1:15" x14ac:dyDescent="0.3">
      <c r="A112" s="3">
        <v>45307</v>
      </c>
      <c r="B112" t="s">
        <v>56</v>
      </c>
      <c r="C112" t="s">
        <v>54</v>
      </c>
      <c r="D112" s="4" cm="1">
        <f t="array" aca="1" ref="D112" ca="1">IFERROR( _xlfn.XLOOKUP(B112, B$2:INDEX(B:B,ROW()-1), I$2:INDEX(I:I,ROW()-1), 0, 0, -1),0)</f>
        <v>3</v>
      </c>
      <c r="E112">
        <v>8</v>
      </c>
      <c r="F112">
        <f t="shared" ca="1" si="8"/>
        <v>6</v>
      </c>
      <c r="G112">
        <f t="shared" ca="1" si="9"/>
        <v>0</v>
      </c>
      <c r="H112">
        <f t="shared" ca="1" si="10"/>
        <v>1</v>
      </c>
      <c r="I112">
        <f t="shared" ca="1" si="11"/>
        <v>4</v>
      </c>
      <c r="J112">
        <v>6</v>
      </c>
      <c r="K112">
        <v>5.5</v>
      </c>
      <c r="L112">
        <v>20</v>
      </c>
      <c r="M112" s="3">
        <f t="shared" ca="1" si="13"/>
        <v>45355</v>
      </c>
      <c r="N112" s="3">
        <f t="shared" ca="1" si="13"/>
        <v>45311</v>
      </c>
      <c r="O112" s="3">
        <v>45348</v>
      </c>
    </row>
    <row r="113" spans="1:15" x14ac:dyDescent="0.3">
      <c r="A113" s="3">
        <v>45307</v>
      </c>
      <c r="B113" t="s">
        <v>66</v>
      </c>
      <c r="C113" t="s">
        <v>45</v>
      </c>
      <c r="D113" s="4" cm="1">
        <f t="array" aca="1" ref="D113" ca="1">IFERROR( _xlfn.XLOOKUP(B113, B$2:INDEX(B:B,ROW()-1), I$2:INDEX(I:I,ROW()-1), 0, 0, -1),0)</f>
        <v>7</v>
      </c>
      <c r="E113">
        <v>8</v>
      </c>
      <c r="F113">
        <f t="shared" ca="1" si="8"/>
        <v>9</v>
      </c>
      <c r="G113">
        <f t="shared" ca="1" si="9"/>
        <v>4</v>
      </c>
      <c r="H113">
        <f t="shared" ca="1" si="10"/>
        <v>0</v>
      </c>
      <c r="I113">
        <f t="shared" ca="1" si="11"/>
        <v>2</v>
      </c>
      <c r="J113">
        <v>3.5</v>
      </c>
      <c r="K113">
        <v>3</v>
      </c>
      <c r="L113">
        <v>8</v>
      </c>
      <c r="M113" s="3">
        <f t="shared" ca="1" si="13"/>
        <v>45335</v>
      </c>
      <c r="N113" s="3">
        <f t="shared" ca="1" si="13"/>
        <v>45363</v>
      </c>
      <c r="O113" s="3">
        <v>45315</v>
      </c>
    </row>
    <row r="114" spans="1:15" x14ac:dyDescent="0.3">
      <c r="A114" s="3">
        <v>45307</v>
      </c>
      <c r="B114" t="s">
        <v>62</v>
      </c>
      <c r="C114" t="s">
        <v>96</v>
      </c>
      <c r="D114" s="4" cm="1">
        <f t="array" aca="1" ref="D114" ca="1">IFERROR( _xlfn.XLOOKUP(B114, B$2:INDEX(B:B,ROW()-1), I$2:INDEX(I:I,ROW()-1), 0, 0, -1),0)</f>
        <v>3</v>
      </c>
      <c r="E114">
        <v>10</v>
      </c>
      <c r="F114">
        <f t="shared" ca="1" si="8"/>
        <v>1</v>
      </c>
      <c r="G114">
        <f t="shared" ca="1" si="9"/>
        <v>2</v>
      </c>
      <c r="H114">
        <f t="shared" ca="1" si="10"/>
        <v>5</v>
      </c>
      <c r="I114">
        <f t="shared" ca="1" si="11"/>
        <v>5</v>
      </c>
      <c r="J114">
        <v>4</v>
      </c>
      <c r="K114">
        <v>3.5</v>
      </c>
      <c r="L114">
        <v>10</v>
      </c>
      <c r="M114" s="3">
        <f t="shared" ca="1" si="13"/>
        <v>45434</v>
      </c>
      <c r="N114" s="3">
        <f t="shared" ca="1" si="13"/>
        <v>45382</v>
      </c>
      <c r="O114" s="3">
        <v>45379</v>
      </c>
    </row>
    <row r="115" spans="1:15" x14ac:dyDescent="0.3">
      <c r="A115" s="3">
        <v>45307</v>
      </c>
      <c r="B115" t="s">
        <v>41</v>
      </c>
      <c r="C115" t="s">
        <v>86</v>
      </c>
      <c r="D115" s="4" cm="1">
        <f t="array" aca="1" ref="D115" ca="1">IFERROR( _xlfn.XLOOKUP(B115, B$2:INDEX(B:B,ROW()-1), I$2:INDEX(I:I,ROW()-1), 0, 0, -1),0)</f>
        <v>3</v>
      </c>
      <c r="E115">
        <v>15</v>
      </c>
      <c r="F115">
        <f t="shared" ca="1" si="8"/>
        <v>2</v>
      </c>
      <c r="G115">
        <f t="shared" ca="1" si="9"/>
        <v>8</v>
      </c>
      <c r="H115">
        <f t="shared" ca="1" si="10"/>
        <v>0</v>
      </c>
      <c r="I115">
        <f t="shared" ca="1" si="11"/>
        <v>8</v>
      </c>
      <c r="J115">
        <v>3</v>
      </c>
      <c r="K115">
        <v>2.5</v>
      </c>
      <c r="L115">
        <v>14</v>
      </c>
      <c r="M115" s="3">
        <f t="shared" ca="1" si="13"/>
        <v>45399</v>
      </c>
      <c r="N115" s="3">
        <f t="shared" ca="1" si="13"/>
        <v>45366</v>
      </c>
      <c r="O115" s="3">
        <v>45346</v>
      </c>
    </row>
    <row r="116" spans="1:15" x14ac:dyDescent="0.3">
      <c r="A116" s="3">
        <v>45307</v>
      </c>
      <c r="B116" t="s">
        <v>40</v>
      </c>
      <c r="C116" t="s">
        <v>85</v>
      </c>
      <c r="D116" s="4" cm="1">
        <f t="array" aca="1" ref="D116" ca="1">IFERROR( _xlfn.XLOOKUP(B116, B$2:INDEX(B:B,ROW()-1), I$2:INDEX(I:I,ROW()-1), 0, 0, -1),0)</f>
        <v>4</v>
      </c>
      <c r="E116">
        <v>15</v>
      </c>
      <c r="F116">
        <f t="shared" ca="1" si="8"/>
        <v>5</v>
      </c>
      <c r="G116">
        <f t="shared" ca="1" si="9"/>
        <v>4</v>
      </c>
      <c r="H116">
        <f t="shared" ca="1" si="10"/>
        <v>4</v>
      </c>
      <c r="I116">
        <f t="shared" ca="1" si="11"/>
        <v>6</v>
      </c>
      <c r="J116">
        <v>3</v>
      </c>
      <c r="K116">
        <v>2.5</v>
      </c>
      <c r="L116">
        <v>14</v>
      </c>
      <c r="M116" s="3">
        <f t="shared" ca="1" si="13"/>
        <v>45343</v>
      </c>
      <c r="N116" s="3">
        <f t="shared" ca="1" si="13"/>
        <v>45295</v>
      </c>
      <c r="O116" s="3">
        <v>45353</v>
      </c>
    </row>
    <row r="117" spans="1:15" x14ac:dyDescent="0.3">
      <c r="A117" s="3">
        <v>45308</v>
      </c>
      <c r="B117" t="s">
        <v>71</v>
      </c>
      <c r="C117" t="s">
        <v>47</v>
      </c>
      <c r="D117" s="4" cm="1">
        <f t="array" aca="1" ref="D117" ca="1">IFERROR( _xlfn.XLOOKUP(B117, B$2:INDEX(B:B,ROW()-1), I$2:INDEX(I:I,ROW()-1), 0, 0, -1),0)</f>
        <v>5</v>
      </c>
      <c r="E117">
        <v>6</v>
      </c>
      <c r="F117">
        <f t="shared" ca="1" si="8"/>
        <v>7</v>
      </c>
      <c r="G117">
        <f t="shared" ca="1" si="9"/>
        <v>0</v>
      </c>
      <c r="H117">
        <f t="shared" ca="1" si="10"/>
        <v>1</v>
      </c>
      <c r="I117">
        <f t="shared" ca="1" si="11"/>
        <v>3</v>
      </c>
      <c r="J117">
        <v>4</v>
      </c>
      <c r="K117">
        <v>3</v>
      </c>
      <c r="L117">
        <v>7</v>
      </c>
      <c r="M117" s="3">
        <f t="shared" ca="1" si="13"/>
        <v>45434</v>
      </c>
      <c r="N117" s="3">
        <f t="shared" ca="1" si="13"/>
        <v>45340</v>
      </c>
      <c r="O117" s="3">
        <v>45375</v>
      </c>
    </row>
    <row r="118" spans="1:15" x14ac:dyDescent="0.3">
      <c r="A118" s="3">
        <v>45308</v>
      </c>
      <c r="B118" t="s">
        <v>22</v>
      </c>
      <c r="C118" t="s">
        <v>26</v>
      </c>
      <c r="D118" s="4" cm="1">
        <f t="array" aca="1" ref="D118" ca="1">IFERROR( _xlfn.XLOOKUP(B118, B$2:INDEX(B:B,ROW()-1), I$2:INDEX(I:I,ROW()-1), 0, 0, -1),0)</f>
        <v>4</v>
      </c>
      <c r="E118">
        <v>12</v>
      </c>
      <c r="F118">
        <f t="shared" ca="1" si="8"/>
        <v>1</v>
      </c>
      <c r="G118">
        <f t="shared" ca="1" si="9"/>
        <v>1</v>
      </c>
      <c r="H118">
        <f t="shared" ca="1" si="10"/>
        <v>8</v>
      </c>
      <c r="I118">
        <f t="shared" ca="1" si="11"/>
        <v>6</v>
      </c>
      <c r="J118">
        <v>3.5</v>
      </c>
      <c r="K118">
        <v>3</v>
      </c>
      <c r="L118">
        <v>14</v>
      </c>
      <c r="M118" s="3">
        <f t="shared" ca="1" si="13"/>
        <v>45426</v>
      </c>
      <c r="N118" s="3">
        <f t="shared" ca="1" si="13"/>
        <v>45357</v>
      </c>
      <c r="O118" s="3">
        <v>45306</v>
      </c>
    </row>
    <row r="119" spans="1:15" x14ac:dyDescent="0.3">
      <c r="A119" s="3">
        <v>45308</v>
      </c>
      <c r="B119" t="s">
        <v>16</v>
      </c>
      <c r="C119" t="s">
        <v>77</v>
      </c>
      <c r="D119" s="4" cm="1">
        <f t="array" aca="1" ref="D119" ca="1">IFERROR( _xlfn.XLOOKUP(B119, B$2:INDEX(B:B,ROW()-1), I$2:INDEX(I:I,ROW()-1), 0, 0, -1),0)</f>
        <v>2</v>
      </c>
      <c r="E119">
        <v>10</v>
      </c>
      <c r="F119">
        <f t="shared" ca="1" si="8"/>
        <v>0</v>
      </c>
      <c r="G119">
        <f t="shared" ca="1" si="9"/>
        <v>6</v>
      </c>
      <c r="H119">
        <f t="shared" ca="1" si="10"/>
        <v>1</v>
      </c>
      <c r="I119">
        <f t="shared" ca="1" si="11"/>
        <v>5</v>
      </c>
      <c r="J119">
        <v>5.5</v>
      </c>
      <c r="K119">
        <v>4.5</v>
      </c>
      <c r="L119">
        <v>7</v>
      </c>
      <c r="M119" s="3">
        <f t="shared" ca="1" si="13"/>
        <v>45414</v>
      </c>
      <c r="N119" s="3">
        <f t="shared" ca="1" si="13"/>
        <v>45401</v>
      </c>
      <c r="O119" s="3">
        <v>45339</v>
      </c>
    </row>
    <row r="120" spans="1:15" x14ac:dyDescent="0.3">
      <c r="A120" s="3">
        <v>45309</v>
      </c>
      <c r="B120" t="s">
        <v>59</v>
      </c>
      <c r="C120" t="s">
        <v>93</v>
      </c>
      <c r="D120" s="4" cm="1">
        <f t="array" aca="1" ref="D120" ca="1">IFERROR( _xlfn.XLOOKUP(B120, B$2:INDEX(B:B,ROW()-1), I$2:INDEX(I:I,ROW()-1), 0, 0, -1),0)</f>
        <v>2</v>
      </c>
      <c r="E120">
        <v>10</v>
      </c>
      <c r="F120">
        <f t="shared" ca="1" si="8"/>
        <v>1</v>
      </c>
      <c r="G120">
        <f t="shared" ca="1" si="9"/>
        <v>1</v>
      </c>
      <c r="H120">
        <f t="shared" ca="1" si="10"/>
        <v>3</v>
      </c>
      <c r="I120">
        <f t="shared" ca="1" si="11"/>
        <v>7</v>
      </c>
      <c r="J120">
        <v>4</v>
      </c>
      <c r="K120">
        <v>3.5</v>
      </c>
      <c r="L120">
        <v>10</v>
      </c>
      <c r="M120" s="3">
        <f t="shared" ca="1" si="13"/>
        <v>45333</v>
      </c>
      <c r="N120" s="3">
        <f t="shared" ca="1" si="13"/>
        <v>45301</v>
      </c>
      <c r="O120" s="3">
        <v>45347</v>
      </c>
    </row>
    <row r="121" spans="1:15" x14ac:dyDescent="0.3">
      <c r="A121" s="3">
        <v>45309</v>
      </c>
      <c r="B121" t="s">
        <v>84</v>
      </c>
      <c r="C121" t="s">
        <v>101</v>
      </c>
      <c r="D121" s="4" cm="1">
        <f t="array" aca="1" ref="D121" ca="1">IFERROR( _xlfn.XLOOKUP(B121, B$2:INDEX(B:B,ROW()-1), I$2:INDEX(I:I,ROW()-1), 0, 0, -1),0)</f>
        <v>4</v>
      </c>
      <c r="E121">
        <v>8</v>
      </c>
      <c r="F121">
        <f t="shared" ca="1" si="8"/>
        <v>5</v>
      </c>
      <c r="G121">
        <f t="shared" ca="1" si="9"/>
        <v>4</v>
      </c>
      <c r="H121">
        <f t="shared" ca="1" si="10"/>
        <v>0</v>
      </c>
      <c r="I121">
        <f t="shared" ca="1" si="11"/>
        <v>3</v>
      </c>
      <c r="J121">
        <v>3.5</v>
      </c>
      <c r="K121">
        <v>3</v>
      </c>
      <c r="L121">
        <v>8</v>
      </c>
      <c r="M121" s="3">
        <f t="shared" ca="1" si="13"/>
        <v>45345</v>
      </c>
      <c r="N121" s="3">
        <f t="shared" ca="1" si="13"/>
        <v>45352</v>
      </c>
      <c r="O121" s="3">
        <v>45293</v>
      </c>
    </row>
    <row r="122" spans="1:15" x14ac:dyDescent="0.3">
      <c r="A122" s="3">
        <v>45309</v>
      </c>
      <c r="B122" t="s">
        <v>90</v>
      </c>
      <c r="C122" t="s">
        <v>87</v>
      </c>
      <c r="D122" s="4" cm="1">
        <f t="array" aca="1" ref="D122" ca="1">IFERROR( _xlfn.XLOOKUP(B122, B$2:INDEX(B:B,ROW()-1), I$2:INDEX(I:I,ROW()-1), 0, 0, -1),0)</f>
        <v>5</v>
      </c>
      <c r="E122">
        <v>12</v>
      </c>
      <c r="F122">
        <f t="shared" ca="1" si="8"/>
        <v>6</v>
      </c>
      <c r="G122">
        <f t="shared" ca="1" si="9"/>
        <v>3</v>
      </c>
      <c r="H122">
        <f t="shared" ca="1" si="10"/>
        <v>4</v>
      </c>
      <c r="I122">
        <f t="shared" ca="1" si="11"/>
        <v>4</v>
      </c>
      <c r="J122">
        <v>4.5</v>
      </c>
      <c r="K122">
        <v>4</v>
      </c>
      <c r="L122">
        <v>14</v>
      </c>
      <c r="M122" s="3">
        <f t="shared" ref="M122:N141" ca="1" si="14">DATE(2024,1,1) + RANDBETWEEN(0, DATE(2024,5,25) - DATE(2024,1,1))</f>
        <v>45397</v>
      </c>
      <c r="N122" s="3">
        <f t="shared" ca="1" si="14"/>
        <v>45342</v>
      </c>
      <c r="O122" s="3">
        <v>45330</v>
      </c>
    </row>
    <row r="123" spans="1:15" x14ac:dyDescent="0.3">
      <c r="A123" s="3">
        <v>45309</v>
      </c>
      <c r="B123" t="s">
        <v>72</v>
      </c>
      <c r="C123" t="s">
        <v>48</v>
      </c>
      <c r="D123" s="4" cm="1">
        <f t="array" ref="D123">IFERROR( _xlfn.XLOOKUP(B123, B$2:INDEX(B:B,ROW()-1), I$2:INDEX(I:I,ROW()-1), 0, 0, -1),0)</f>
        <v>0</v>
      </c>
      <c r="E123">
        <v>6</v>
      </c>
      <c r="F123">
        <f t="shared" ca="1" si="8"/>
        <v>1</v>
      </c>
      <c r="G123">
        <f t="shared" ca="1" si="9"/>
        <v>1</v>
      </c>
      <c r="H123">
        <f t="shared" ca="1" si="10"/>
        <v>2</v>
      </c>
      <c r="I123">
        <f t="shared" ca="1" si="11"/>
        <v>2</v>
      </c>
      <c r="J123">
        <v>4</v>
      </c>
      <c r="K123">
        <v>3</v>
      </c>
      <c r="L123">
        <v>7</v>
      </c>
      <c r="M123" s="3">
        <f t="shared" ca="1" si="14"/>
        <v>45364</v>
      </c>
      <c r="N123" s="3">
        <f t="shared" ca="1" si="14"/>
        <v>45316</v>
      </c>
      <c r="O123" s="3">
        <v>45364</v>
      </c>
    </row>
    <row r="124" spans="1:15" x14ac:dyDescent="0.3">
      <c r="A124" s="3">
        <v>45309</v>
      </c>
      <c r="B124" t="s">
        <v>10</v>
      </c>
      <c r="C124" t="s">
        <v>18</v>
      </c>
      <c r="D124" s="4" cm="1">
        <f t="array" aca="1" ref="D124" ca="1">IFERROR( _xlfn.XLOOKUP(B124, B$2:INDEX(B:B,ROW()-1), I$2:INDEX(I:I,ROW()-1), 0, 0, -1),0)</f>
        <v>10</v>
      </c>
      <c r="E124">
        <v>10</v>
      </c>
      <c r="F124">
        <f t="shared" ca="1" si="8"/>
        <v>10</v>
      </c>
      <c r="G124">
        <f t="shared" ca="1" si="9"/>
        <v>0</v>
      </c>
      <c r="H124">
        <f t="shared" ca="1" si="10"/>
        <v>6</v>
      </c>
      <c r="I124">
        <f t="shared" ca="1" si="11"/>
        <v>4</v>
      </c>
      <c r="J124">
        <v>5.5</v>
      </c>
      <c r="K124">
        <v>4.5</v>
      </c>
      <c r="L124">
        <v>7</v>
      </c>
      <c r="M124" s="3">
        <f t="shared" ca="1" si="14"/>
        <v>45400</v>
      </c>
      <c r="N124" s="3">
        <f t="shared" ca="1" si="14"/>
        <v>45426</v>
      </c>
      <c r="O124" s="3">
        <v>45358</v>
      </c>
    </row>
    <row r="125" spans="1:15" x14ac:dyDescent="0.3">
      <c r="A125" s="3">
        <v>45309</v>
      </c>
      <c r="B125" t="s">
        <v>20</v>
      </c>
      <c r="C125" t="s">
        <v>25</v>
      </c>
      <c r="D125" s="4" cm="1">
        <f t="array" aca="1" ref="D125" ca="1">IFERROR( _xlfn.XLOOKUP(B125, B$2:INDEX(B:B,ROW()-1), I$2:INDEX(I:I,ROW()-1), 0, 0, -1),0)</f>
        <v>2</v>
      </c>
      <c r="E125">
        <v>10</v>
      </c>
      <c r="F125">
        <f t="shared" ca="1" si="8"/>
        <v>5</v>
      </c>
      <c r="G125">
        <f t="shared" ca="1" si="9"/>
        <v>2</v>
      </c>
      <c r="H125">
        <f t="shared" ca="1" si="10"/>
        <v>2</v>
      </c>
      <c r="I125">
        <f t="shared" ca="1" si="11"/>
        <v>3</v>
      </c>
      <c r="J125">
        <v>4.5</v>
      </c>
      <c r="K125">
        <v>4</v>
      </c>
      <c r="L125">
        <v>10</v>
      </c>
      <c r="M125" s="3">
        <f t="shared" ca="1" si="14"/>
        <v>45307</v>
      </c>
      <c r="N125" s="3">
        <f t="shared" ca="1" si="14"/>
        <v>45328</v>
      </c>
      <c r="O125" s="3">
        <v>45380</v>
      </c>
    </row>
    <row r="126" spans="1:15" x14ac:dyDescent="0.3">
      <c r="A126" s="3">
        <v>45309</v>
      </c>
      <c r="B126" t="s">
        <v>82</v>
      </c>
      <c r="C126" t="s">
        <v>73</v>
      </c>
      <c r="D126" s="4" cm="1">
        <f t="array" aca="1" ref="D126" ca="1">IFERROR( _xlfn.XLOOKUP(B126, B$2:INDEX(B:B,ROW()-1), I$2:INDEX(I:I,ROW()-1), 0, 0, -1),0)</f>
        <v>0</v>
      </c>
      <c r="E126">
        <v>8</v>
      </c>
      <c r="F126">
        <f t="shared" ca="1" si="8"/>
        <v>4</v>
      </c>
      <c r="G126">
        <f t="shared" ca="1" si="9"/>
        <v>1</v>
      </c>
      <c r="H126">
        <f t="shared" ca="1" si="10"/>
        <v>0</v>
      </c>
      <c r="I126">
        <f t="shared" ca="1" si="11"/>
        <v>3</v>
      </c>
      <c r="J126">
        <v>2.5</v>
      </c>
      <c r="K126">
        <v>2</v>
      </c>
      <c r="L126">
        <v>5</v>
      </c>
      <c r="M126" s="3">
        <f t="shared" ca="1" si="14"/>
        <v>45319</v>
      </c>
      <c r="N126" s="3">
        <f t="shared" ca="1" si="14"/>
        <v>45368</v>
      </c>
      <c r="O126" s="3">
        <v>45310</v>
      </c>
    </row>
    <row r="127" spans="1:15" x14ac:dyDescent="0.3">
      <c r="A127" s="3">
        <v>45309</v>
      </c>
      <c r="B127" t="s">
        <v>83</v>
      </c>
      <c r="C127" t="s">
        <v>100</v>
      </c>
      <c r="D127" s="4" cm="1">
        <f t="array" aca="1" ref="D127" ca="1">IFERROR( _xlfn.XLOOKUP(B127, B$2:INDEX(B:B,ROW()-1), I$2:INDEX(I:I,ROW()-1), 0, 0, -1),0)</f>
        <v>9</v>
      </c>
      <c r="E127">
        <v>10</v>
      </c>
      <c r="F127">
        <f t="shared" ca="1" si="8"/>
        <v>8</v>
      </c>
      <c r="G127">
        <f t="shared" ca="1" si="9"/>
        <v>6</v>
      </c>
      <c r="H127">
        <f t="shared" ca="1" si="10"/>
        <v>3</v>
      </c>
      <c r="I127">
        <f t="shared" ca="1" si="11"/>
        <v>2</v>
      </c>
      <c r="J127">
        <v>4.5</v>
      </c>
      <c r="K127">
        <v>4</v>
      </c>
      <c r="L127">
        <v>10</v>
      </c>
      <c r="M127" s="3">
        <f t="shared" ca="1" si="14"/>
        <v>45426</v>
      </c>
      <c r="N127" s="3">
        <f t="shared" ca="1" si="14"/>
        <v>45366</v>
      </c>
      <c r="O127" s="3">
        <v>45321</v>
      </c>
    </row>
    <row r="128" spans="1:15" x14ac:dyDescent="0.3">
      <c r="A128" s="3">
        <v>45309</v>
      </c>
      <c r="B128" t="s">
        <v>82</v>
      </c>
      <c r="C128" t="s">
        <v>73</v>
      </c>
      <c r="D128" s="4" cm="1">
        <f t="array" aca="1" ref="D128" ca="1">IFERROR( _xlfn.XLOOKUP(B128, B$2:INDEX(B:B,ROW()-1), I$2:INDEX(I:I,ROW()-1), 0, 0, -1),0)</f>
        <v>3</v>
      </c>
      <c r="E128">
        <v>8</v>
      </c>
      <c r="F128">
        <f t="shared" ca="1" si="8"/>
        <v>1</v>
      </c>
      <c r="G128">
        <f t="shared" ca="1" si="9"/>
        <v>1</v>
      </c>
      <c r="H128">
        <f t="shared" ca="1" si="10"/>
        <v>1</v>
      </c>
      <c r="I128">
        <f t="shared" ca="1" si="11"/>
        <v>8</v>
      </c>
      <c r="J128">
        <v>2.5</v>
      </c>
      <c r="K128">
        <v>2</v>
      </c>
      <c r="L128">
        <v>5</v>
      </c>
      <c r="M128" s="3">
        <f t="shared" ca="1" si="14"/>
        <v>45371</v>
      </c>
      <c r="N128" s="3">
        <f t="shared" ca="1" si="14"/>
        <v>45381</v>
      </c>
      <c r="O128" s="3">
        <v>45362</v>
      </c>
    </row>
    <row r="129" spans="1:15" x14ac:dyDescent="0.3">
      <c r="A129" s="3">
        <v>45309</v>
      </c>
      <c r="B129" t="s">
        <v>39</v>
      </c>
      <c r="C129" t="s">
        <v>32</v>
      </c>
      <c r="D129" s="4" cm="1">
        <f t="array" ref="D129">IFERROR( _xlfn.XLOOKUP(B129, B$2:INDEX(B:B,ROW()-1), I$2:INDEX(I:I,ROW()-1), 0, 0, -1),0)</f>
        <v>0</v>
      </c>
      <c r="E129">
        <v>12</v>
      </c>
      <c r="F129">
        <f t="shared" ca="1" si="8"/>
        <v>3</v>
      </c>
      <c r="G129">
        <f t="shared" ca="1" si="9"/>
        <v>2</v>
      </c>
      <c r="H129">
        <f t="shared" ca="1" si="10"/>
        <v>2</v>
      </c>
      <c r="I129">
        <f t="shared" ca="1" si="11"/>
        <v>5</v>
      </c>
      <c r="J129">
        <v>3.5</v>
      </c>
      <c r="K129">
        <v>3</v>
      </c>
      <c r="L129">
        <v>14</v>
      </c>
      <c r="M129" s="3">
        <f t="shared" ca="1" si="14"/>
        <v>45393</v>
      </c>
      <c r="N129" s="3">
        <f t="shared" ca="1" si="14"/>
        <v>45328</v>
      </c>
      <c r="O129" s="3">
        <v>45343</v>
      </c>
    </row>
    <row r="130" spans="1:15" x14ac:dyDescent="0.3">
      <c r="A130" s="3">
        <v>45310</v>
      </c>
      <c r="B130" t="s">
        <v>66</v>
      </c>
      <c r="C130" t="s">
        <v>45</v>
      </c>
      <c r="D130" s="4" cm="1">
        <f t="array" aca="1" ref="D130" ca="1">IFERROR( _xlfn.XLOOKUP(B130, B$2:INDEX(B:B,ROW()-1), I$2:INDEX(I:I,ROW()-1), 0, 0, -1),0)</f>
        <v>2</v>
      </c>
      <c r="E130">
        <v>8</v>
      </c>
      <c r="F130">
        <f t="shared" ref="F130:F193" ca="1" si="15">RANDBETWEEN(0, ROUND((D130+E130)*0.6,0))</f>
        <v>5</v>
      </c>
      <c r="G130">
        <f t="shared" ref="G130:G193" ca="1" si="16">RANDBETWEEN(0,ROUND((D130+E130-F130)*0.6,0))</f>
        <v>2</v>
      </c>
      <c r="H130">
        <f t="shared" ref="H130:H193" ca="1" si="17">RANDBETWEEN(0,ROUND((D130+E130-F130-G130)*0.6,0))</f>
        <v>2</v>
      </c>
      <c r="I130">
        <f t="shared" ref="I130:I193" ca="1" si="18">D130+E130-F130-G130-H130</f>
        <v>1</v>
      </c>
      <c r="J130">
        <v>3.5</v>
      </c>
      <c r="K130">
        <v>3</v>
      </c>
      <c r="L130">
        <v>8</v>
      </c>
      <c r="M130" s="3">
        <f t="shared" ca="1" si="14"/>
        <v>45372</v>
      </c>
      <c r="N130" s="3">
        <f t="shared" ca="1" si="14"/>
        <v>45421</v>
      </c>
      <c r="O130" s="3">
        <v>45410</v>
      </c>
    </row>
    <row r="131" spans="1:15" x14ac:dyDescent="0.3">
      <c r="A131" s="3">
        <v>45310</v>
      </c>
      <c r="B131" t="s">
        <v>22</v>
      </c>
      <c r="C131" t="s">
        <v>26</v>
      </c>
      <c r="D131" s="4" cm="1">
        <f t="array" aca="1" ref="D131" ca="1">IFERROR( _xlfn.XLOOKUP(B131, B$2:INDEX(B:B,ROW()-1), I$2:INDEX(I:I,ROW()-1), 0, 0, -1),0)</f>
        <v>6</v>
      </c>
      <c r="E131">
        <v>12</v>
      </c>
      <c r="F131">
        <f t="shared" ca="1" si="15"/>
        <v>4</v>
      </c>
      <c r="G131">
        <f t="shared" ca="1" si="16"/>
        <v>6</v>
      </c>
      <c r="H131">
        <f t="shared" ca="1" si="17"/>
        <v>5</v>
      </c>
      <c r="I131">
        <f t="shared" ca="1" si="18"/>
        <v>3</v>
      </c>
      <c r="J131">
        <v>3.5</v>
      </c>
      <c r="K131">
        <v>3</v>
      </c>
      <c r="L131">
        <v>14</v>
      </c>
      <c r="M131" s="3">
        <f t="shared" ca="1" si="14"/>
        <v>45379</v>
      </c>
      <c r="N131" s="3">
        <f t="shared" ca="1" si="14"/>
        <v>45365</v>
      </c>
      <c r="O131" s="3">
        <v>45341</v>
      </c>
    </row>
    <row r="132" spans="1:15" x14ac:dyDescent="0.3">
      <c r="A132" s="3">
        <v>45310</v>
      </c>
      <c r="B132" t="s">
        <v>80</v>
      </c>
      <c r="C132" t="s">
        <v>49</v>
      </c>
      <c r="D132" s="4" cm="1">
        <f t="array" aca="1" ref="D132" ca="1">IFERROR( _xlfn.XLOOKUP(B132, B$2:INDEX(B:B,ROW()-1), I$2:INDEX(I:I,ROW()-1), 0, 0, -1),0)</f>
        <v>2</v>
      </c>
      <c r="E132">
        <v>8</v>
      </c>
      <c r="F132">
        <f t="shared" ca="1" si="15"/>
        <v>0</v>
      </c>
      <c r="G132">
        <f t="shared" ca="1" si="16"/>
        <v>3</v>
      </c>
      <c r="H132">
        <f t="shared" ca="1" si="17"/>
        <v>1</v>
      </c>
      <c r="I132">
        <f t="shared" ca="1" si="18"/>
        <v>6</v>
      </c>
      <c r="J132">
        <v>2.5</v>
      </c>
      <c r="K132">
        <v>2</v>
      </c>
      <c r="L132">
        <v>5</v>
      </c>
      <c r="M132" s="3">
        <f t="shared" ca="1" si="14"/>
        <v>45427</v>
      </c>
      <c r="N132" s="3">
        <f t="shared" ca="1" si="14"/>
        <v>45343</v>
      </c>
      <c r="O132" s="3">
        <v>45357</v>
      </c>
    </row>
    <row r="133" spans="1:15" x14ac:dyDescent="0.3">
      <c r="A133" s="3">
        <v>45310</v>
      </c>
      <c r="B133" t="s">
        <v>64</v>
      </c>
      <c r="C133" t="s">
        <v>42</v>
      </c>
      <c r="D133" s="4" cm="1">
        <f t="array" aca="1" ref="D133" ca="1">IFERROR( _xlfn.XLOOKUP(B133, B$2:INDEX(B:B,ROW()-1), I$2:INDEX(I:I,ROW()-1), 0, 0, -1),0)</f>
        <v>3</v>
      </c>
      <c r="E133">
        <v>8</v>
      </c>
      <c r="F133">
        <f t="shared" ca="1" si="15"/>
        <v>4</v>
      </c>
      <c r="G133">
        <f t="shared" ca="1" si="16"/>
        <v>0</v>
      </c>
      <c r="H133">
        <f t="shared" ca="1" si="17"/>
        <v>2</v>
      </c>
      <c r="I133">
        <f t="shared" ca="1" si="18"/>
        <v>5</v>
      </c>
      <c r="J133">
        <v>3.5</v>
      </c>
      <c r="K133">
        <v>3</v>
      </c>
      <c r="L133">
        <v>8</v>
      </c>
      <c r="M133" s="3">
        <f t="shared" ca="1" si="14"/>
        <v>45359</v>
      </c>
      <c r="N133" s="3">
        <f t="shared" ca="1" si="14"/>
        <v>45374</v>
      </c>
      <c r="O133" s="3">
        <v>45429</v>
      </c>
    </row>
    <row r="134" spans="1:15" x14ac:dyDescent="0.3">
      <c r="A134" s="3">
        <v>45311</v>
      </c>
      <c r="B134" t="s">
        <v>34</v>
      </c>
      <c r="C134" t="s">
        <v>30</v>
      </c>
      <c r="D134" s="4" cm="1">
        <f t="array" aca="1" ref="D134" ca="1">IFERROR( _xlfn.XLOOKUP(B134, B$2:INDEX(B:B,ROW()-1), I$2:INDEX(I:I,ROW()-1), 0, 0, -1),0)</f>
        <v>2</v>
      </c>
      <c r="E134">
        <v>6</v>
      </c>
      <c r="F134">
        <f t="shared" ca="1" si="15"/>
        <v>5</v>
      </c>
      <c r="G134">
        <f t="shared" ca="1" si="16"/>
        <v>0</v>
      </c>
      <c r="H134">
        <f t="shared" ca="1" si="17"/>
        <v>2</v>
      </c>
      <c r="I134">
        <f t="shared" ca="1" si="18"/>
        <v>1</v>
      </c>
      <c r="J134">
        <v>3.5</v>
      </c>
      <c r="K134">
        <v>3</v>
      </c>
      <c r="L134">
        <v>10</v>
      </c>
      <c r="M134" s="3">
        <f t="shared" ca="1" si="14"/>
        <v>45302</v>
      </c>
      <c r="N134" s="3">
        <f t="shared" ca="1" si="14"/>
        <v>45361</v>
      </c>
      <c r="O134" s="3">
        <v>45369</v>
      </c>
    </row>
    <row r="135" spans="1:15" x14ac:dyDescent="0.3">
      <c r="A135" s="3">
        <v>45311</v>
      </c>
      <c r="B135" t="s">
        <v>20</v>
      </c>
      <c r="C135" t="s">
        <v>25</v>
      </c>
      <c r="D135" s="4" cm="1">
        <f t="array" aca="1" ref="D135" ca="1">IFERROR( _xlfn.XLOOKUP(B135, B$2:INDEX(B:B,ROW()-1), I$2:INDEX(I:I,ROW()-1), 0, 0, -1),0)</f>
        <v>3</v>
      </c>
      <c r="E135">
        <v>10</v>
      </c>
      <c r="F135">
        <f t="shared" ca="1" si="15"/>
        <v>2</v>
      </c>
      <c r="G135">
        <f t="shared" ca="1" si="16"/>
        <v>4</v>
      </c>
      <c r="H135">
        <f t="shared" ca="1" si="17"/>
        <v>0</v>
      </c>
      <c r="I135">
        <f t="shared" ca="1" si="18"/>
        <v>7</v>
      </c>
      <c r="J135">
        <v>4.5</v>
      </c>
      <c r="K135">
        <v>4</v>
      </c>
      <c r="L135">
        <v>10</v>
      </c>
      <c r="M135" s="3">
        <f t="shared" ca="1" si="14"/>
        <v>45400</v>
      </c>
      <c r="N135" s="3">
        <f t="shared" ca="1" si="14"/>
        <v>45383</v>
      </c>
      <c r="O135" s="3">
        <v>45324</v>
      </c>
    </row>
    <row r="136" spans="1:15" x14ac:dyDescent="0.3">
      <c r="A136" s="3">
        <v>45311</v>
      </c>
      <c r="B136" t="s">
        <v>89</v>
      </c>
      <c r="C136" t="s">
        <v>103</v>
      </c>
      <c r="D136" s="4" cm="1">
        <f t="array" aca="1" ref="D136" ca="1">IFERROR( _xlfn.XLOOKUP(B136, B$2:INDEX(B:B,ROW()-1), I$2:INDEX(I:I,ROW()-1), 0, 0, -1),0)</f>
        <v>5</v>
      </c>
      <c r="E136">
        <v>8</v>
      </c>
      <c r="F136">
        <f t="shared" ca="1" si="15"/>
        <v>1</v>
      </c>
      <c r="G136">
        <f t="shared" ca="1" si="16"/>
        <v>5</v>
      </c>
      <c r="H136">
        <f t="shared" ca="1" si="17"/>
        <v>4</v>
      </c>
      <c r="I136">
        <f t="shared" ca="1" si="18"/>
        <v>3</v>
      </c>
      <c r="J136">
        <v>3.5</v>
      </c>
      <c r="K136">
        <v>3</v>
      </c>
      <c r="L136">
        <v>8</v>
      </c>
      <c r="M136" s="3">
        <f t="shared" ca="1" si="14"/>
        <v>45406</v>
      </c>
      <c r="N136" s="3">
        <f t="shared" ca="1" si="14"/>
        <v>45380</v>
      </c>
      <c r="O136" s="3">
        <v>45437</v>
      </c>
    </row>
    <row r="137" spans="1:15" x14ac:dyDescent="0.3">
      <c r="A137" s="3">
        <v>45311</v>
      </c>
      <c r="B137" t="s">
        <v>63</v>
      </c>
      <c r="C137" t="s">
        <v>97</v>
      </c>
      <c r="D137" s="4" cm="1">
        <f t="array" aca="1" ref="D137" ca="1">IFERROR( _xlfn.XLOOKUP(B137, B$2:INDEX(B:B,ROW()-1), I$2:INDEX(I:I,ROW()-1), 0, 0, -1),0)</f>
        <v>8</v>
      </c>
      <c r="E137">
        <v>10</v>
      </c>
      <c r="F137">
        <f t="shared" ca="1" si="15"/>
        <v>7</v>
      </c>
      <c r="G137">
        <f t="shared" ca="1" si="16"/>
        <v>7</v>
      </c>
      <c r="H137">
        <f t="shared" ca="1" si="17"/>
        <v>0</v>
      </c>
      <c r="I137">
        <f t="shared" ca="1" si="18"/>
        <v>4</v>
      </c>
      <c r="J137">
        <v>4</v>
      </c>
      <c r="K137">
        <v>3.5</v>
      </c>
      <c r="L137">
        <v>10</v>
      </c>
      <c r="M137" s="3">
        <f t="shared" ca="1" si="14"/>
        <v>45408</v>
      </c>
      <c r="N137" s="3">
        <f t="shared" ca="1" si="14"/>
        <v>45408</v>
      </c>
      <c r="O137" s="3">
        <v>45337</v>
      </c>
    </row>
    <row r="138" spans="1:15" x14ac:dyDescent="0.3">
      <c r="A138" s="3">
        <v>45311</v>
      </c>
      <c r="B138" t="s">
        <v>84</v>
      </c>
      <c r="C138" t="s">
        <v>101</v>
      </c>
      <c r="D138" s="4" cm="1">
        <f t="array" aca="1" ref="D138" ca="1">IFERROR( _xlfn.XLOOKUP(B138, B$2:INDEX(B:B,ROW()-1), I$2:INDEX(I:I,ROW()-1), 0, 0, -1),0)</f>
        <v>3</v>
      </c>
      <c r="E138">
        <v>8</v>
      </c>
      <c r="F138">
        <f t="shared" ca="1" si="15"/>
        <v>4</v>
      </c>
      <c r="G138">
        <f t="shared" ca="1" si="16"/>
        <v>1</v>
      </c>
      <c r="H138">
        <f t="shared" ca="1" si="17"/>
        <v>0</v>
      </c>
      <c r="I138">
        <f t="shared" ca="1" si="18"/>
        <v>6</v>
      </c>
      <c r="J138">
        <v>3.5</v>
      </c>
      <c r="K138">
        <v>3</v>
      </c>
      <c r="L138">
        <v>8</v>
      </c>
      <c r="M138" s="3">
        <f t="shared" ca="1" si="14"/>
        <v>45325</v>
      </c>
      <c r="N138" s="3">
        <f t="shared" ca="1" si="14"/>
        <v>45302</v>
      </c>
      <c r="O138" s="3">
        <v>45321</v>
      </c>
    </row>
    <row r="139" spans="1:15" x14ac:dyDescent="0.3">
      <c r="A139" s="3">
        <v>45311</v>
      </c>
      <c r="B139" t="s">
        <v>63</v>
      </c>
      <c r="C139" t="s">
        <v>97</v>
      </c>
      <c r="D139" s="4" cm="1">
        <f t="array" aca="1" ref="D139" ca="1">IFERROR( _xlfn.XLOOKUP(B139, B$2:INDEX(B:B,ROW()-1), I$2:INDEX(I:I,ROW()-1), 0, 0, -1),0)</f>
        <v>4</v>
      </c>
      <c r="E139">
        <v>10</v>
      </c>
      <c r="F139">
        <f t="shared" ca="1" si="15"/>
        <v>3</v>
      </c>
      <c r="G139">
        <f t="shared" ca="1" si="16"/>
        <v>1</v>
      </c>
      <c r="H139">
        <f t="shared" ca="1" si="17"/>
        <v>0</v>
      </c>
      <c r="I139">
        <f t="shared" ca="1" si="18"/>
        <v>10</v>
      </c>
      <c r="J139">
        <v>4</v>
      </c>
      <c r="K139">
        <v>3.5</v>
      </c>
      <c r="L139">
        <v>10</v>
      </c>
      <c r="M139" s="3">
        <f t="shared" ca="1" si="14"/>
        <v>45321</v>
      </c>
      <c r="N139" s="3">
        <f t="shared" ca="1" si="14"/>
        <v>45333</v>
      </c>
      <c r="O139" s="3">
        <v>45363</v>
      </c>
    </row>
    <row r="140" spans="1:15" x14ac:dyDescent="0.3">
      <c r="A140" s="3">
        <v>45311</v>
      </c>
      <c r="B140" t="s">
        <v>92</v>
      </c>
      <c r="C140" t="s">
        <v>91</v>
      </c>
      <c r="D140" s="4" cm="1">
        <f t="array" aca="1" ref="D140" ca="1">IFERROR( _xlfn.XLOOKUP(B140, B$2:INDEX(B:B,ROW()-1), I$2:INDEX(I:I,ROW()-1), 0, 0, -1),0)</f>
        <v>1</v>
      </c>
      <c r="E140">
        <v>6</v>
      </c>
      <c r="F140">
        <f t="shared" ca="1" si="15"/>
        <v>0</v>
      </c>
      <c r="G140">
        <f t="shared" ca="1" si="16"/>
        <v>4</v>
      </c>
      <c r="H140">
        <f t="shared" ca="1" si="17"/>
        <v>2</v>
      </c>
      <c r="I140">
        <f t="shared" ca="1" si="18"/>
        <v>1</v>
      </c>
      <c r="J140">
        <v>4.5</v>
      </c>
      <c r="K140">
        <v>4</v>
      </c>
      <c r="L140">
        <v>14</v>
      </c>
      <c r="M140" s="3">
        <f t="shared" ca="1" si="14"/>
        <v>45429</v>
      </c>
      <c r="N140" s="3">
        <f t="shared" ca="1" si="14"/>
        <v>45389</v>
      </c>
      <c r="O140" s="3">
        <v>45323</v>
      </c>
    </row>
    <row r="141" spans="1:15" x14ac:dyDescent="0.3">
      <c r="A141" s="3">
        <v>45311</v>
      </c>
      <c r="B141" t="s">
        <v>16</v>
      </c>
      <c r="C141" t="s">
        <v>77</v>
      </c>
      <c r="D141" s="4" cm="1">
        <f t="array" aca="1" ref="D141" ca="1">IFERROR( _xlfn.XLOOKUP(B141, B$2:INDEX(B:B,ROW()-1), I$2:INDEX(I:I,ROW()-1), 0, 0, -1),0)</f>
        <v>5</v>
      </c>
      <c r="E141">
        <v>10</v>
      </c>
      <c r="F141">
        <f t="shared" ca="1" si="15"/>
        <v>7</v>
      </c>
      <c r="G141">
        <f t="shared" ca="1" si="16"/>
        <v>5</v>
      </c>
      <c r="H141">
        <f t="shared" ca="1" si="17"/>
        <v>0</v>
      </c>
      <c r="I141">
        <f t="shared" ca="1" si="18"/>
        <v>3</v>
      </c>
      <c r="J141">
        <v>5.5</v>
      </c>
      <c r="K141">
        <v>4.5</v>
      </c>
      <c r="L141">
        <v>7</v>
      </c>
      <c r="M141" s="3">
        <f t="shared" ca="1" si="14"/>
        <v>45348</v>
      </c>
      <c r="N141" s="3">
        <f t="shared" ca="1" si="14"/>
        <v>45326</v>
      </c>
      <c r="O141" s="3">
        <v>45358</v>
      </c>
    </row>
    <row r="142" spans="1:15" x14ac:dyDescent="0.3">
      <c r="A142" s="3">
        <v>45311</v>
      </c>
      <c r="B142" t="s">
        <v>56</v>
      </c>
      <c r="C142" t="s">
        <v>54</v>
      </c>
      <c r="D142" s="4" cm="1">
        <f t="array" aca="1" ref="D142" ca="1">IFERROR( _xlfn.XLOOKUP(B142, B$2:INDEX(B:B,ROW()-1), I$2:INDEX(I:I,ROW()-1), 0, 0, -1),0)</f>
        <v>4</v>
      </c>
      <c r="E142">
        <v>8</v>
      </c>
      <c r="F142">
        <f t="shared" ca="1" si="15"/>
        <v>3</v>
      </c>
      <c r="G142">
        <f t="shared" ca="1" si="16"/>
        <v>3</v>
      </c>
      <c r="H142">
        <f t="shared" ca="1" si="17"/>
        <v>1</v>
      </c>
      <c r="I142">
        <f t="shared" ca="1" si="18"/>
        <v>5</v>
      </c>
      <c r="J142">
        <v>6</v>
      </c>
      <c r="K142">
        <v>5.5</v>
      </c>
      <c r="L142">
        <v>20</v>
      </c>
      <c r="M142" s="3">
        <f t="shared" ref="M142:N161" ca="1" si="19">DATE(2024,1,1) + RANDBETWEEN(0, DATE(2024,5,25) - DATE(2024,1,1))</f>
        <v>45363</v>
      </c>
      <c r="N142" s="3">
        <f t="shared" ca="1" si="19"/>
        <v>45353</v>
      </c>
      <c r="O142" s="3">
        <v>45381</v>
      </c>
    </row>
    <row r="143" spans="1:15" x14ac:dyDescent="0.3">
      <c r="A143" s="3">
        <v>45311</v>
      </c>
      <c r="B143" t="s">
        <v>58</v>
      </c>
      <c r="C143" t="s">
        <v>76</v>
      </c>
      <c r="D143" s="4" cm="1">
        <f t="array" aca="1" ref="D143" ca="1">IFERROR( _xlfn.XLOOKUP(B143, B$2:INDEX(B:B,ROW()-1), I$2:INDEX(I:I,ROW()-1), 0, 0, -1),0)</f>
        <v>2</v>
      </c>
      <c r="E143">
        <v>15</v>
      </c>
      <c r="F143">
        <f t="shared" ca="1" si="15"/>
        <v>4</v>
      </c>
      <c r="G143">
        <f t="shared" ca="1" si="16"/>
        <v>7</v>
      </c>
      <c r="H143">
        <f t="shared" ca="1" si="17"/>
        <v>3</v>
      </c>
      <c r="I143">
        <f t="shared" ca="1" si="18"/>
        <v>3</v>
      </c>
      <c r="J143">
        <v>6</v>
      </c>
      <c r="K143">
        <v>5.5</v>
      </c>
      <c r="L143">
        <v>20</v>
      </c>
      <c r="M143" s="3">
        <f t="shared" ca="1" si="19"/>
        <v>45433</v>
      </c>
      <c r="N143" s="3">
        <f t="shared" ca="1" si="19"/>
        <v>45401</v>
      </c>
      <c r="O143" s="3">
        <v>45413</v>
      </c>
    </row>
    <row r="144" spans="1:15" x14ac:dyDescent="0.3">
      <c r="A144" s="3">
        <v>45311</v>
      </c>
      <c r="B144" t="s">
        <v>37</v>
      </c>
      <c r="C144" t="s">
        <v>51</v>
      </c>
      <c r="D144" s="4" cm="1">
        <f t="array" aca="1" ref="D144" ca="1">IFERROR( _xlfn.XLOOKUP(B144, B$2:INDEX(B:B,ROW()-1), I$2:INDEX(I:I,ROW()-1), 0, 0, -1),0)</f>
        <v>4</v>
      </c>
      <c r="E144">
        <v>12</v>
      </c>
      <c r="F144">
        <f t="shared" ca="1" si="15"/>
        <v>2</v>
      </c>
      <c r="G144">
        <f t="shared" ca="1" si="16"/>
        <v>2</v>
      </c>
      <c r="H144">
        <f t="shared" ca="1" si="17"/>
        <v>1</v>
      </c>
      <c r="I144">
        <f t="shared" ca="1" si="18"/>
        <v>11</v>
      </c>
      <c r="J144">
        <v>3.5</v>
      </c>
      <c r="K144">
        <v>3</v>
      </c>
      <c r="L144">
        <v>14</v>
      </c>
      <c r="M144" s="3">
        <f t="shared" ca="1" si="19"/>
        <v>45327</v>
      </c>
      <c r="N144" s="3">
        <f t="shared" ca="1" si="19"/>
        <v>45294</v>
      </c>
      <c r="O144" s="3">
        <v>45420</v>
      </c>
    </row>
    <row r="145" spans="1:15" x14ac:dyDescent="0.3">
      <c r="A145" s="3">
        <v>45311</v>
      </c>
      <c r="B145" t="s">
        <v>69</v>
      </c>
      <c r="C145" t="s">
        <v>98</v>
      </c>
      <c r="D145" s="4" cm="1">
        <f t="array" aca="1" ref="D145" ca="1">IFERROR( _xlfn.XLOOKUP(B145, B$2:INDEX(B:B,ROW()-1), I$2:INDEX(I:I,ROW()-1), 0, 0, -1),0)</f>
        <v>3</v>
      </c>
      <c r="E145">
        <v>6</v>
      </c>
      <c r="F145">
        <f t="shared" ca="1" si="15"/>
        <v>0</v>
      </c>
      <c r="G145">
        <f t="shared" ca="1" si="16"/>
        <v>1</v>
      </c>
      <c r="H145">
        <f t="shared" ca="1" si="17"/>
        <v>2</v>
      </c>
      <c r="I145">
        <f t="shared" ca="1" si="18"/>
        <v>6</v>
      </c>
      <c r="J145">
        <v>4</v>
      </c>
      <c r="K145">
        <v>3</v>
      </c>
      <c r="L145">
        <v>7</v>
      </c>
      <c r="M145" s="3">
        <f t="shared" ca="1" si="19"/>
        <v>45350</v>
      </c>
      <c r="N145" s="3">
        <f t="shared" ca="1" si="19"/>
        <v>45400</v>
      </c>
      <c r="O145" s="3">
        <v>45366</v>
      </c>
    </row>
    <row r="146" spans="1:15" x14ac:dyDescent="0.3">
      <c r="A146" s="3">
        <v>45312</v>
      </c>
      <c r="B146" t="s">
        <v>56</v>
      </c>
      <c r="C146" t="s">
        <v>54</v>
      </c>
      <c r="D146" s="4" cm="1">
        <f t="array" aca="1" ref="D146" ca="1">IFERROR( _xlfn.XLOOKUP(B146, B$2:INDEX(B:B,ROW()-1), I$2:INDEX(I:I,ROW()-1), 0, 0, -1),0)</f>
        <v>5</v>
      </c>
      <c r="E146">
        <v>8</v>
      </c>
      <c r="F146">
        <f t="shared" ca="1" si="15"/>
        <v>7</v>
      </c>
      <c r="G146">
        <f t="shared" ca="1" si="16"/>
        <v>0</v>
      </c>
      <c r="H146">
        <f t="shared" ca="1" si="17"/>
        <v>2</v>
      </c>
      <c r="I146">
        <f t="shared" ca="1" si="18"/>
        <v>4</v>
      </c>
      <c r="J146">
        <v>6</v>
      </c>
      <c r="K146">
        <v>5.5</v>
      </c>
      <c r="L146">
        <v>20</v>
      </c>
      <c r="M146" s="3">
        <f t="shared" ca="1" si="19"/>
        <v>45309</v>
      </c>
      <c r="N146" s="3">
        <f t="shared" ca="1" si="19"/>
        <v>45350</v>
      </c>
      <c r="O146" s="3">
        <v>45412</v>
      </c>
    </row>
    <row r="147" spans="1:15" x14ac:dyDescent="0.3">
      <c r="A147" s="3">
        <v>45312</v>
      </c>
      <c r="B147" t="s">
        <v>38</v>
      </c>
      <c r="C147" t="s">
        <v>52</v>
      </c>
      <c r="D147" s="4" cm="1">
        <f t="array" aca="1" ref="D147" ca="1">IFERROR( _xlfn.XLOOKUP(B147, B$2:INDEX(B:B,ROW()-1), I$2:INDEX(I:I,ROW()-1), 0, 0, -1),0)</f>
        <v>7</v>
      </c>
      <c r="E147">
        <v>12</v>
      </c>
      <c r="F147">
        <f t="shared" ca="1" si="15"/>
        <v>4</v>
      </c>
      <c r="G147">
        <f t="shared" ca="1" si="16"/>
        <v>8</v>
      </c>
      <c r="H147">
        <f t="shared" ca="1" si="17"/>
        <v>3</v>
      </c>
      <c r="I147">
        <f t="shared" ca="1" si="18"/>
        <v>4</v>
      </c>
      <c r="J147">
        <v>3.5</v>
      </c>
      <c r="K147">
        <v>3</v>
      </c>
      <c r="L147">
        <v>14</v>
      </c>
      <c r="M147" s="3">
        <f t="shared" ca="1" si="19"/>
        <v>45325</v>
      </c>
      <c r="N147" s="3">
        <f t="shared" ca="1" si="19"/>
        <v>45339</v>
      </c>
      <c r="O147" s="3">
        <v>45433</v>
      </c>
    </row>
    <row r="148" spans="1:15" x14ac:dyDescent="0.3">
      <c r="A148" s="3">
        <v>45312</v>
      </c>
      <c r="B148" t="s">
        <v>70</v>
      </c>
      <c r="C148" t="s">
        <v>99</v>
      </c>
      <c r="D148" s="4" cm="1">
        <f t="array" aca="1" ref="D148" ca="1">IFERROR( _xlfn.XLOOKUP(B148, B$2:INDEX(B:B,ROW()-1), I$2:INDEX(I:I,ROW()-1), 0, 0, -1),0)</f>
        <v>4</v>
      </c>
      <c r="E148">
        <v>6</v>
      </c>
      <c r="F148">
        <f t="shared" ca="1" si="15"/>
        <v>6</v>
      </c>
      <c r="G148">
        <f t="shared" ca="1" si="16"/>
        <v>0</v>
      </c>
      <c r="H148">
        <f t="shared" ca="1" si="17"/>
        <v>0</v>
      </c>
      <c r="I148">
        <f t="shared" ca="1" si="18"/>
        <v>4</v>
      </c>
      <c r="J148">
        <v>4</v>
      </c>
      <c r="K148">
        <v>3</v>
      </c>
      <c r="L148">
        <v>7</v>
      </c>
      <c r="M148" s="3">
        <f t="shared" ca="1" si="19"/>
        <v>45357</v>
      </c>
      <c r="N148" s="3">
        <f t="shared" ca="1" si="19"/>
        <v>45363</v>
      </c>
      <c r="O148" s="3">
        <v>45301</v>
      </c>
    </row>
    <row r="149" spans="1:15" x14ac:dyDescent="0.3">
      <c r="A149" s="3">
        <v>45312</v>
      </c>
      <c r="B149" t="s">
        <v>82</v>
      </c>
      <c r="C149" t="s">
        <v>73</v>
      </c>
      <c r="D149" s="4" cm="1">
        <f t="array" aca="1" ref="D149" ca="1">IFERROR( _xlfn.XLOOKUP(B149, B$2:INDEX(B:B,ROW()-1), I$2:INDEX(I:I,ROW()-1), 0, 0, -1),0)</f>
        <v>8</v>
      </c>
      <c r="E149">
        <v>8</v>
      </c>
      <c r="F149">
        <f t="shared" ca="1" si="15"/>
        <v>3</v>
      </c>
      <c r="G149">
        <f t="shared" ca="1" si="16"/>
        <v>3</v>
      </c>
      <c r="H149">
        <f t="shared" ca="1" si="17"/>
        <v>0</v>
      </c>
      <c r="I149">
        <f t="shared" ca="1" si="18"/>
        <v>10</v>
      </c>
      <c r="J149">
        <v>2.5</v>
      </c>
      <c r="K149">
        <v>2</v>
      </c>
      <c r="L149">
        <v>5</v>
      </c>
      <c r="M149" s="3">
        <f t="shared" ca="1" si="19"/>
        <v>45296</v>
      </c>
      <c r="N149" s="3">
        <f t="shared" ca="1" si="19"/>
        <v>45367</v>
      </c>
      <c r="O149" s="3">
        <v>45326</v>
      </c>
    </row>
    <row r="150" spans="1:15" x14ac:dyDescent="0.3">
      <c r="A150" s="3">
        <v>45312</v>
      </c>
      <c r="B150" t="s">
        <v>61</v>
      </c>
      <c r="C150" t="s">
        <v>95</v>
      </c>
      <c r="D150" s="4" cm="1">
        <f t="array" aca="1" ref="D150" ca="1">IFERROR( _xlfn.XLOOKUP(B150, B$2:INDEX(B:B,ROW()-1), I$2:INDEX(I:I,ROW()-1), 0, 0, -1),0)</f>
        <v>4</v>
      </c>
      <c r="E150">
        <v>10</v>
      </c>
      <c r="F150">
        <f t="shared" ca="1" si="15"/>
        <v>8</v>
      </c>
      <c r="G150">
        <f t="shared" ca="1" si="16"/>
        <v>3</v>
      </c>
      <c r="H150">
        <f t="shared" ca="1" si="17"/>
        <v>0</v>
      </c>
      <c r="I150">
        <f t="shared" ca="1" si="18"/>
        <v>3</v>
      </c>
      <c r="J150">
        <v>4</v>
      </c>
      <c r="K150">
        <v>3.5</v>
      </c>
      <c r="L150">
        <v>10</v>
      </c>
      <c r="M150" s="3">
        <f t="shared" ca="1" si="19"/>
        <v>45392</v>
      </c>
      <c r="N150" s="3">
        <f t="shared" ca="1" si="19"/>
        <v>45437</v>
      </c>
      <c r="O150" s="3">
        <v>45388</v>
      </c>
    </row>
    <row r="151" spans="1:15" x14ac:dyDescent="0.3">
      <c r="A151" s="3">
        <v>45313</v>
      </c>
      <c r="B151" t="s">
        <v>55</v>
      </c>
      <c r="C151" t="s">
        <v>53</v>
      </c>
      <c r="D151" s="4" cm="1">
        <f t="array" aca="1" ref="D151" ca="1">IFERROR( _xlfn.XLOOKUP(B151, B$2:INDEX(B:B,ROW()-1), I$2:INDEX(I:I,ROW()-1), 0, 0, -1),0)</f>
        <v>0</v>
      </c>
      <c r="E151">
        <v>4</v>
      </c>
      <c r="F151">
        <f t="shared" ca="1" si="15"/>
        <v>1</v>
      </c>
      <c r="G151">
        <f t="shared" ca="1" si="16"/>
        <v>1</v>
      </c>
      <c r="H151">
        <f t="shared" ca="1" si="17"/>
        <v>1</v>
      </c>
      <c r="I151">
        <f t="shared" ca="1" si="18"/>
        <v>1</v>
      </c>
      <c r="J151">
        <v>8.5</v>
      </c>
      <c r="K151">
        <v>6</v>
      </c>
      <c r="L151">
        <v>7</v>
      </c>
      <c r="M151" s="3">
        <f t="shared" ca="1" si="19"/>
        <v>45300</v>
      </c>
      <c r="N151" s="3">
        <f t="shared" ca="1" si="19"/>
        <v>45431</v>
      </c>
      <c r="O151" s="3">
        <v>45410</v>
      </c>
    </row>
    <row r="152" spans="1:15" x14ac:dyDescent="0.3">
      <c r="A152" s="3">
        <v>45313</v>
      </c>
      <c r="B152" t="s">
        <v>39</v>
      </c>
      <c r="C152" t="s">
        <v>32</v>
      </c>
      <c r="D152" s="4" cm="1">
        <f t="array" aca="1" ref="D152" ca="1">IFERROR( _xlfn.XLOOKUP(B152, B$2:INDEX(B:B,ROW()-1), I$2:INDEX(I:I,ROW()-1), 0, 0, -1),0)</f>
        <v>5</v>
      </c>
      <c r="E152">
        <v>12</v>
      </c>
      <c r="F152">
        <f t="shared" ca="1" si="15"/>
        <v>1</v>
      </c>
      <c r="G152">
        <f t="shared" ca="1" si="16"/>
        <v>10</v>
      </c>
      <c r="H152">
        <f t="shared" ca="1" si="17"/>
        <v>3</v>
      </c>
      <c r="I152">
        <f t="shared" ca="1" si="18"/>
        <v>3</v>
      </c>
      <c r="J152">
        <v>3.5</v>
      </c>
      <c r="K152">
        <v>3</v>
      </c>
      <c r="L152">
        <v>14</v>
      </c>
      <c r="M152" s="3">
        <f t="shared" ca="1" si="19"/>
        <v>45418</v>
      </c>
      <c r="N152" s="3">
        <f t="shared" ca="1" si="19"/>
        <v>45354</v>
      </c>
      <c r="O152" s="3">
        <v>45355</v>
      </c>
    </row>
    <row r="153" spans="1:15" x14ac:dyDescent="0.3">
      <c r="A153" s="3">
        <v>45313</v>
      </c>
      <c r="B153" t="s">
        <v>62</v>
      </c>
      <c r="C153" t="s">
        <v>96</v>
      </c>
      <c r="D153" s="4" cm="1">
        <f t="array" aca="1" ref="D153" ca="1">IFERROR( _xlfn.XLOOKUP(B153, B$2:INDEX(B:B,ROW()-1), I$2:INDEX(I:I,ROW()-1), 0, 0, -1),0)</f>
        <v>5</v>
      </c>
      <c r="E153">
        <v>10</v>
      </c>
      <c r="F153">
        <f t="shared" ca="1" si="15"/>
        <v>3</v>
      </c>
      <c r="G153">
        <f t="shared" ca="1" si="16"/>
        <v>5</v>
      </c>
      <c r="H153">
        <f t="shared" ca="1" si="17"/>
        <v>0</v>
      </c>
      <c r="I153">
        <f t="shared" ca="1" si="18"/>
        <v>7</v>
      </c>
      <c r="J153">
        <v>4</v>
      </c>
      <c r="K153">
        <v>3.5</v>
      </c>
      <c r="L153">
        <v>10</v>
      </c>
      <c r="M153" s="3">
        <f t="shared" ca="1" si="19"/>
        <v>45314</v>
      </c>
      <c r="N153" s="3">
        <f t="shared" ca="1" si="19"/>
        <v>45408</v>
      </c>
      <c r="O153" s="3">
        <v>45397</v>
      </c>
    </row>
    <row r="154" spans="1:15" x14ac:dyDescent="0.3">
      <c r="A154" s="3">
        <v>45313</v>
      </c>
      <c r="B154" t="s">
        <v>60</v>
      </c>
      <c r="C154" t="s">
        <v>94</v>
      </c>
      <c r="D154" s="4" cm="1">
        <f t="array" aca="1" ref="D154" ca="1">IFERROR( _xlfn.XLOOKUP(B154, B$2:INDEX(B:B,ROW()-1), I$2:INDEX(I:I,ROW()-1), 0, 0, -1),0)</f>
        <v>8</v>
      </c>
      <c r="E154">
        <v>10</v>
      </c>
      <c r="F154">
        <f t="shared" ca="1" si="15"/>
        <v>4</v>
      </c>
      <c r="G154">
        <f t="shared" ca="1" si="16"/>
        <v>5</v>
      </c>
      <c r="H154">
        <f t="shared" ca="1" si="17"/>
        <v>5</v>
      </c>
      <c r="I154">
        <f t="shared" ca="1" si="18"/>
        <v>4</v>
      </c>
      <c r="J154">
        <v>4</v>
      </c>
      <c r="K154">
        <v>3.5</v>
      </c>
      <c r="L154">
        <v>10</v>
      </c>
      <c r="M154" s="3">
        <f t="shared" ca="1" si="19"/>
        <v>45396</v>
      </c>
      <c r="N154" s="3">
        <f t="shared" ca="1" si="19"/>
        <v>45379</v>
      </c>
      <c r="O154" s="3">
        <v>45421</v>
      </c>
    </row>
    <row r="155" spans="1:15" x14ac:dyDescent="0.3">
      <c r="A155" s="3">
        <v>45313</v>
      </c>
      <c r="B155" t="s">
        <v>23</v>
      </c>
      <c r="C155" t="s">
        <v>28</v>
      </c>
      <c r="D155" s="4" cm="1">
        <f t="array" aca="1" ref="D155" ca="1">IFERROR( _xlfn.XLOOKUP(B155, B$2:INDEX(B:B,ROW()-1), I$2:INDEX(I:I,ROW()-1), 0, 0, -1),0)</f>
        <v>1</v>
      </c>
      <c r="E155">
        <v>9</v>
      </c>
      <c r="F155">
        <f t="shared" ca="1" si="15"/>
        <v>2</v>
      </c>
      <c r="G155">
        <f t="shared" ca="1" si="16"/>
        <v>4</v>
      </c>
      <c r="H155">
        <f t="shared" ca="1" si="17"/>
        <v>1</v>
      </c>
      <c r="I155">
        <f t="shared" ca="1" si="18"/>
        <v>3</v>
      </c>
      <c r="J155">
        <v>6.5</v>
      </c>
      <c r="K155">
        <v>5.5</v>
      </c>
      <c r="L155">
        <v>9</v>
      </c>
      <c r="M155" s="3">
        <f t="shared" ca="1" si="19"/>
        <v>45329</v>
      </c>
      <c r="N155" s="3">
        <f t="shared" ca="1" si="19"/>
        <v>45435</v>
      </c>
      <c r="O155" s="3">
        <v>45302</v>
      </c>
    </row>
    <row r="156" spans="1:15" x14ac:dyDescent="0.3">
      <c r="A156" s="3">
        <v>45313</v>
      </c>
      <c r="B156" t="s">
        <v>69</v>
      </c>
      <c r="C156" t="s">
        <v>98</v>
      </c>
      <c r="D156" s="4" cm="1">
        <f t="array" aca="1" ref="D156" ca="1">IFERROR( _xlfn.XLOOKUP(B156, B$2:INDEX(B:B,ROW()-1), I$2:INDEX(I:I,ROW()-1), 0, 0, -1),0)</f>
        <v>6</v>
      </c>
      <c r="E156">
        <v>6</v>
      </c>
      <c r="F156">
        <f t="shared" ca="1" si="15"/>
        <v>7</v>
      </c>
      <c r="G156">
        <f t="shared" ca="1" si="16"/>
        <v>0</v>
      </c>
      <c r="H156">
        <f t="shared" ca="1" si="17"/>
        <v>1</v>
      </c>
      <c r="I156">
        <f t="shared" ca="1" si="18"/>
        <v>4</v>
      </c>
      <c r="J156">
        <v>4</v>
      </c>
      <c r="K156">
        <v>3</v>
      </c>
      <c r="L156">
        <v>7</v>
      </c>
      <c r="M156" s="3">
        <f t="shared" ca="1" si="19"/>
        <v>45314</v>
      </c>
      <c r="N156" s="3">
        <f t="shared" ca="1" si="19"/>
        <v>45416</v>
      </c>
      <c r="O156" s="3">
        <v>45336</v>
      </c>
    </row>
    <row r="157" spans="1:15" x14ac:dyDescent="0.3">
      <c r="A157" s="3">
        <v>45314</v>
      </c>
      <c r="B157" t="s">
        <v>58</v>
      </c>
      <c r="C157" t="s">
        <v>76</v>
      </c>
      <c r="D157" s="4" cm="1">
        <f t="array" aca="1" ref="D157" ca="1">IFERROR( _xlfn.XLOOKUP(B157, B$2:INDEX(B:B,ROW()-1), I$2:INDEX(I:I,ROW()-1), 0, 0, -1),0)</f>
        <v>3</v>
      </c>
      <c r="E157">
        <v>15</v>
      </c>
      <c r="F157">
        <f t="shared" ca="1" si="15"/>
        <v>11</v>
      </c>
      <c r="G157">
        <f t="shared" ca="1" si="16"/>
        <v>4</v>
      </c>
      <c r="H157">
        <f t="shared" ca="1" si="17"/>
        <v>1</v>
      </c>
      <c r="I157">
        <f t="shared" ca="1" si="18"/>
        <v>2</v>
      </c>
      <c r="J157">
        <v>6</v>
      </c>
      <c r="K157">
        <v>5.5</v>
      </c>
      <c r="L157">
        <v>20</v>
      </c>
      <c r="M157" s="3">
        <f t="shared" ca="1" si="19"/>
        <v>45297</v>
      </c>
      <c r="N157" s="3">
        <f t="shared" ca="1" si="19"/>
        <v>45407</v>
      </c>
      <c r="O157" s="3">
        <v>45400</v>
      </c>
    </row>
    <row r="158" spans="1:15" x14ac:dyDescent="0.3">
      <c r="A158" s="3">
        <v>45314</v>
      </c>
      <c r="B158" t="s">
        <v>67</v>
      </c>
      <c r="C158" t="s">
        <v>46</v>
      </c>
      <c r="D158" s="4" cm="1">
        <f t="array" aca="1" ref="D158" ca="1">IFERROR( _xlfn.XLOOKUP(B158, B$2:INDEX(B:B,ROW()-1), I$2:INDEX(I:I,ROW()-1), 0, 0, -1),0)</f>
        <v>3</v>
      </c>
      <c r="E158">
        <v>8</v>
      </c>
      <c r="F158">
        <f t="shared" ca="1" si="15"/>
        <v>4</v>
      </c>
      <c r="G158">
        <f t="shared" ca="1" si="16"/>
        <v>4</v>
      </c>
      <c r="H158">
        <f t="shared" ca="1" si="17"/>
        <v>1</v>
      </c>
      <c r="I158">
        <f t="shared" ca="1" si="18"/>
        <v>2</v>
      </c>
      <c r="J158">
        <v>3.5</v>
      </c>
      <c r="K158">
        <v>3</v>
      </c>
      <c r="L158">
        <v>8</v>
      </c>
      <c r="M158" s="3">
        <f t="shared" ca="1" si="19"/>
        <v>45336</v>
      </c>
      <c r="N158" s="3">
        <f t="shared" ca="1" si="19"/>
        <v>45371</v>
      </c>
      <c r="O158" s="3">
        <v>45418</v>
      </c>
    </row>
    <row r="159" spans="1:15" x14ac:dyDescent="0.3">
      <c r="A159" s="3">
        <v>45314</v>
      </c>
      <c r="B159" t="s">
        <v>66</v>
      </c>
      <c r="C159" t="s">
        <v>45</v>
      </c>
      <c r="D159" s="4" cm="1">
        <f t="array" aca="1" ref="D159" ca="1">IFERROR( _xlfn.XLOOKUP(B159, B$2:INDEX(B:B,ROW()-1), I$2:INDEX(I:I,ROW()-1), 0, 0, -1),0)</f>
        <v>1</v>
      </c>
      <c r="E159">
        <v>8</v>
      </c>
      <c r="F159">
        <f t="shared" ca="1" si="15"/>
        <v>1</v>
      </c>
      <c r="G159">
        <f t="shared" ca="1" si="16"/>
        <v>1</v>
      </c>
      <c r="H159">
        <f t="shared" ca="1" si="17"/>
        <v>0</v>
      </c>
      <c r="I159">
        <f t="shared" ca="1" si="18"/>
        <v>7</v>
      </c>
      <c r="J159">
        <v>3.5</v>
      </c>
      <c r="K159">
        <v>3</v>
      </c>
      <c r="L159">
        <v>8</v>
      </c>
      <c r="M159" s="3">
        <f t="shared" ca="1" si="19"/>
        <v>45393</v>
      </c>
      <c r="N159" s="3">
        <f t="shared" ca="1" si="19"/>
        <v>45391</v>
      </c>
      <c r="O159" s="3">
        <v>45420</v>
      </c>
    </row>
    <row r="160" spans="1:15" x14ac:dyDescent="0.3">
      <c r="A160" s="3">
        <v>45315</v>
      </c>
      <c r="B160" t="s">
        <v>89</v>
      </c>
      <c r="C160" t="s">
        <v>103</v>
      </c>
      <c r="D160" s="4" cm="1">
        <f t="array" aca="1" ref="D160" ca="1">IFERROR( _xlfn.XLOOKUP(B160, B$2:INDEX(B:B,ROW()-1), I$2:INDEX(I:I,ROW()-1), 0, 0, -1),0)</f>
        <v>3</v>
      </c>
      <c r="E160">
        <v>8</v>
      </c>
      <c r="F160">
        <f t="shared" ca="1" si="15"/>
        <v>5</v>
      </c>
      <c r="G160">
        <f t="shared" ca="1" si="16"/>
        <v>4</v>
      </c>
      <c r="H160">
        <f t="shared" ca="1" si="17"/>
        <v>0</v>
      </c>
      <c r="I160">
        <f t="shared" ca="1" si="18"/>
        <v>2</v>
      </c>
      <c r="J160">
        <v>3.5</v>
      </c>
      <c r="K160">
        <v>3</v>
      </c>
      <c r="L160">
        <v>8</v>
      </c>
      <c r="M160" s="3">
        <f t="shared" ca="1" si="19"/>
        <v>45413</v>
      </c>
      <c r="N160" s="3">
        <f t="shared" ca="1" si="19"/>
        <v>45356</v>
      </c>
      <c r="O160" s="3">
        <v>45362</v>
      </c>
    </row>
    <row r="161" spans="1:15" x14ac:dyDescent="0.3">
      <c r="A161" s="3">
        <v>45315</v>
      </c>
      <c r="B161" t="s">
        <v>56</v>
      </c>
      <c r="C161" t="s">
        <v>54</v>
      </c>
      <c r="D161" s="4" cm="1">
        <f t="array" aca="1" ref="D161" ca="1">IFERROR( _xlfn.XLOOKUP(B161, B$2:INDEX(B:B,ROW()-1), I$2:INDEX(I:I,ROW()-1), 0, 0, -1),0)</f>
        <v>4</v>
      </c>
      <c r="E161">
        <v>8</v>
      </c>
      <c r="F161">
        <f t="shared" ca="1" si="15"/>
        <v>4</v>
      </c>
      <c r="G161">
        <f t="shared" ca="1" si="16"/>
        <v>3</v>
      </c>
      <c r="H161">
        <f t="shared" ca="1" si="17"/>
        <v>0</v>
      </c>
      <c r="I161">
        <f t="shared" ca="1" si="18"/>
        <v>5</v>
      </c>
      <c r="J161">
        <v>6</v>
      </c>
      <c r="K161">
        <v>5.5</v>
      </c>
      <c r="L161">
        <v>20</v>
      </c>
      <c r="M161" s="3">
        <f t="shared" ca="1" si="19"/>
        <v>45323</v>
      </c>
      <c r="N161" s="3">
        <f t="shared" ca="1" si="19"/>
        <v>45428</v>
      </c>
      <c r="O161" s="3">
        <v>45357</v>
      </c>
    </row>
    <row r="162" spans="1:15" x14ac:dyDescent="0.3">
      <c r="A162" s="3">
        <v>45315</v>
      </c>
      <c r="B162" t="s">
        <v>10</v>
      </c>
      <c r="C162" t="s">
        <v>18</v>
      </c>
      <c r="D162" s="4" cm="1">
        <f t="array" aca="1" ref="D162" ca="1">IFERROR( _xlfn.XLOOKUP(B162, B$2:INDEX(B:B,ROW()-1), I$2:INDEX(I:I,ROW()-1), 0, 0, -1),0)</f>
        <v>4</v>
      </c>
      <c r="E162">
        <v>10</v>
      </c>
      <c r="F162">
        <f t="shared" ca="1" si="15"/>
        <v>8</v>
      </c>
      <c r="G162">
        <f t="shared" ca="1" si="16"/>
        <v>2</v>
      </c>
      <c r="H162">
        <f t="shared" ca="1" si="17"/>
        <v>0</v>
      </c>
      <c r="I162">
        <f t="shared" ca="1" si="18"/>
        <v>4</v>
      </c>
      <c r="J162">
        <v>5.5</v>
      </c>
      <c r="K162">
        <v>4.5</v>
      </c>
      <c r="L162">
        <v>7</v>
      </c>
      <c r="M162" s="3">
        <f t="shared" ref="M162:N181" ca="1" si="20">DATE(2024,1,1) + RANDBETWEEN(0, DATE(2024,5,25) - DATE(2024,1,1))</f>
        <v>45344</v>
      </c>
      <c r="N162" s="3">
        <f t="shared" ca="1" si="20"/>
        <v>45312</v>
      </c>
      <c r="O162" s="3">
        <v>45322</v>
      </c>
    </row>
    <row r="163" spans="1:15" x14ac:dyDescent="0.3">
      <c r="A163" s="3">
        <v>45315</v>
      </c>
      <c r="B163" t="s">
        <v>68</v>
      </c>
      <c r="C163" t="s">
        <v>43</v>
      </c>
      <c r="D163" s="4" cm="1">
        <f t="array" aca="1" ref="D163" ca="1">IFERROR( _xlfn.XLOOKUP(B163, B$2:INDEX(B:B,ROW()-1), I$2:INDEX(I:I,ROW()-1), 0, 0, -1),0)</f>
        <v>11</v>
      </c>
      <c r="E163">
        <v>15</v>
      </c>
      <c r="F163">
        <f t="shared" ca="1" si="15"/>
        <v>8</v>
      </c>
      <c r="G163">
        <f t="shared" ca="1" si="16"/>
        <v>8</v>
      </c>
      <c r="H163">
        <f t="shared" ca="1" si="17"/>
        <v>4</v>
      </c>
      <c r="I163">
        <f t="shared" ca="1" si="18"/>
        <v>6</v>
      </c>
      <c r="J163">
        <v>4</v>
      </c>
      <c r="K163">
        <v>3</v>
      </c>
      <c r="L163">
        <v>14</v>
      </c>
      <c r="M163" s="3">
        <f t="shared" ca="1" si="20"/>
        <v>45321</v>
      </c>
      <c r="N163" s="3">
        <f t="shared" ca="1" si="20"/>
        <v>45372</v>
      </c>
      <c r="O163" s="3">
        <v>45381</v>
      </c>
    </row>
    <row r="164" spans="1:15" x14ac:dyDescent="0.3">
      <c r="A164" s="3">
        <v>45315</v>
      </c>
      <c r="B164" t="s">
        <v>80</v>
      </c>
      <c r="C164" t="s">
        <v>49</v>
      </c>
      <c r="D164" s="4" cm="1">
        <f t="array" aca="1" ref="D164" ca="1">IFERROR( _xlfn.XLOOKUP(B164, B$2:INDEX(B:B,ROW()-1), I$2:INDEX(I:I,ROW()-1), 0, 0, -1),0)</f>
        <v>6</v>
      </c>
      <c r="E164">
        <v>8</v>
      </c>
      <c r="F164">
        <f t="shared" ca="1" si="15"/>
        <v>0</v>
      </c>
      <c r="G164">
        <f t="shared" ca="1" si="16"/>
        <v>3</v>
      </c>
      <c r="H164">
        <f t="shared" ca="1" si="17"/>
        <v>6</v>
      </c>
      <c r="I164">
        <f t="shared" ca="1" si="18"/>
        <v>5</v>
      </c>
      <c r="J164">
        <v>2.5</v>
      </c>
      <c r="K164">
        <v>2</v>
      </c>
      <c r="L164">
        <v>5</v>
      </c>
      <c r="M164" s="3">
        <f t="shared" ca="1" si="20"/>
        <v>45359</v>
      </c>
      <c r="N164" s="3">
        <f t="shared" ca="1" si="20"/>
        <v>45405</v>
      </c>
      <c r="O164" s="3">
        <v>45298</v>
      </c>
    </row>
    <row r="165" spans="1:15" x14ac:dyDescent="0.3">
      <c r="A165" s="3">
        <v>45316</v>
      </c>
      <c r="B165" t="s">
        <v>24</v>
      </c>
      <c r="C165" t="s">
        <v>29</v>
      </c>
      <c r="D165" s="4" cm="1">
        <f t="array" aca="1" ref="D165" ca="1">IFERROR( _xlfn.XLOOKUP(B165, B$2:INDEX(B:B,ROW()-1), I$2:INDEX(I:I,ROW()-1), 0, 0, -1),0)</f>
        <v>4</v>
      </c>
      <c r="E165">
        <v>8</v>
      </c>
      <c r="F165">
        <f t="shared" ca="1" si="15"/>
        <v>0</v>
      </c>
      <c r="G165">
        <f t="shared" ca="1" si="16"/>
        <v>2</v>
      </c>
      <c r="H165">
        <f t="shared" ca="1" si="17"/>
        <v>3</v>
      </c>
      <c r="I165">
        <f t="shared" ca="1" si="18"/>
        <v>7</v>
      </c>
      <c r="J165">
        <v>7.5</v>
      </c>
      <c r="K165">
        <v>5.5</v>
      </c>
      <c r="L165">
        <v>7</v>
      </c>
      <c r="M165" s="3">
        <f t="shared" ca="1" si="20"/>
        <v>45437</v>
      </c>
      <c r="N165" s="3">
        <f t="shared" ca="1" si="20"/>
        <v>45355</v>
      </c>
      <c r="O165" s="3">
        <v>45367</v>
      </c>
    </row>
    <row r="166" spans="1:15" x14ac:dyDescent="0.3">
      <c r="A166" s="3">
        <v>45316</v>
      </c>
      <c r="B166" t="s">
        <v>70</v>
      </c>
      <c r="C166" t="s">
        <v>99</v>
      </c>
      <c r="D166" s="4" cm="1">
        <f t="array" aca="1" ref="D166" ca="1">IFERROR( _xlfn.XLOOKUP(B166, B$2:INDEX(B:B,ROW()-1), I$2:INDEX(I:I,ROW()-1), 0, 0, -1),0)</f>
        <v>4</v>
      </c>
      <c r="E166">
        <v>6</v>
      </c>
      <c r="F166">
        <f t="shared" ca="1" si="15"/>
        <v>6</v>
      </c>
      <c r="G166">
        <f t="shared" ca="1" si="16"/>
        <v>1</v>
      </c>
      <c r="H166">
        <f t="shared" ca="1" si="17"/>
        <v>1</v>
      </c>
      <c r="I166">
        <f t="shared" ca="1" si="18"/>
        <v>2</v>
      </c>
      <c r="J166">
        <v>4</v>
      </c>
      <c r="K166">
        <v>3</v>
      </c>
      <c r="L166">
        <v>7</v>
      </c>
      <c r="M166" s="3">
        <f t="shared" ca="1" si="20"/>
        <v>45432</v>
      </c>
      <c r="N166" s="3">
        <f t="shared" ca="1" si="20"/>
        <v>45317</v>
      </c>
      <c r="O166" s="3">
        <v>45427</v>
      </c>
    </row>
    <row r="167" spans="1:15" x14ac:dyDescent="0.3">
      <c r="A167" s="3">
        <v>45316</v>
      </c>
      <c r="B167" t="s">
        <v>16</v>
      </c>
      <c r="C167" t="s">
        <v>77</v>
      </c>
      <c r="D167" s="4" cm="1">
        <f t="array" aca="1" ref="D167" ca="1">IFERROR( _xlfn.XLOOKUP(B167, B$2:INDEX(B:B,ROW()-1), I$2:INDEX(I:I,ROW()-1), 0, 0, -1),0)</f>
        <v>3</v>
      </c>
      <c r="E167">
        <v>10</v>
      </c>
      <c r="F167">
        <f t="shared" ca="1" si="15"/>
        <v>6</v>
      </c>
      <c r="G167">
        <f t="shared" ca="1" si="16"/>
        <v>3</v>
      </c>
      <c r="H167">
        <f t="shared" ca="1" si="17"/>
        <v>0</v>
      </c>
      <c r="I167">
        <f t="shared" ca="1" si="18"/>
        <v>4</v>
      </c>
      <c r="J167">
        <v>5.5</v>
      </c>
      <c r="K167">
        <v>4.5</v>
      </c>
      <c r="L167">
        <v>7</v>
      </c>
      <c r="M167" s="3">
        <f t="shared" ca="1" si="20"/>
        <v>45411</v>
      </c>
      <c r="N167" s="3">
        <f t="shared" ca="1" si="20"/>
        <v>45329</v>
      </c>
      <c r="O167" s="3">
        <v>45339</v>
      </c>
    </row>
    <row r="168" spans="1:15" x14ac:dyDescent="0.3">
      <c r="A168" s="3">
        <v>45316</v>
      </c>
      <c r="B168" t="s">
        <v>82</v>
      </c>
      <c r="C168" t="s">
        <v>73</v>
      </c>
      <c r="D168" s="4" cm="1">
        <f t="array" aca="1" ref="D168" ca="1">IFERROR( _xlfn.XLOOKUP(B168, B$2:INDEX(B:B,ROW()-1), I$2:INDEX(I:I,ROW()-1), 0, 0, -1),0)</f>
        <v>10</v>
      </c>
      <c r="E168">
        <v>8</v>
      </c>
      <c r="F168">
        <f t="shared" ca="1" si="15"/>
        <v>2</v>
      </c>
      <c r="G168">
        <f t="shared" ca="1" si="16"/>
        <v>0</v>
      </c>
      <c r="H168">
        <f t="shared" ca="1" si="17"/>
        <v>0</v>
      </c>
      <c r="I168">
        <f t="shared" ca="1" si="18"/>
        <v>16</v>
      </c>
      <c r="J168">
        <v>2.5</v>
      </c>
      <c r="K168">
        <v>2</v>
      </c>
      <c r="L168">
        <v>5</v>
      </c>
      <c r="M168" s="3">
        <f t="shared" ca="1" si="20"/>
        <v>45362</v>
      </c>
      <c r="N168" s="3">
        <f t="shared" ca="1" si="20"/>
        <v>45406</v>
      </c>
      <c r="O168" s="3">
        <v>45324</v>
      </c>
    </row>
    <row r="169" spans="1:15" x14ac:dyDescent="0.3">
      <c r="A169" s="3">
        <v>45317</v>
      </c>
      <c r="B169" t="s">
        <v>39</v>
      </c>
      <c r="C169" t="s">
        <v>32</v>
      </c>
      <c r="D169" s="4" cm="1">
        <f t="array" aca="1" ref="D169" ca="1">IFERROR( _xlfn.XLOOKUP(B169, B$2:INDEX(B:B,ROW()-1), I$2:INDEX(I:I,ROW()-1), 0, 0, -1),0)</f>
        <v>3</v>
      </c>
      <c r="E169">
        <v>12</v>
      </c>
      <c r="F169">
        <f t="shared" ca="1" si="15"/>
        <v>2</v>
      </c>
      <c r="G169">
        <f t="shared" ca="1" si="16"/>
        <v>4</v>
      </c>
      <c r="H169">
        <f t="shared" ca="1" si="17"/>
        <v>3</v>
      </c>
      <c r="I169">
        <f t="shared" ca="1" si="18"/>
        <v>6</v>
      </c>
      <c r="J169">
        <v>3.5</v>
      </c>
      <c r="K169">
        <v>3</v>
      </c>
      <c r="L169">
        <v>14</v>
      </c>
      <c r="M169" s="3">
        <f t="shared" ca="1" si="20"/>
        <v>45427</v>
      </c>
      <c r="N169" s="3">
        <f t="shared" ca="1" si="20"/>
        <v>45376</v>
      </c>
      <c r="O169" s="3">
        <v>45349</v>
      </c>
    </row>
    <row r="170" spans="1:15" x14ac:dyDescent="0.3">
      <c r="A170" s="3">
        <v>45317</v>
      </c>
      <c r="B170" t="s">
        <v>84</v>
      </c>
      <c r="C170" t="s">
        <v>101</v>
      </c>
      <c r="D170" s="4" cm="1">
        <f t="array" aca="1" ref="D170" ca="1">IFERROR( _xlfn.XLOOKUP(B170, B$2:INDEX(B:B,ROW()-1), I$2:INDEX(I:I,ROW()-1), 0, 0, -1),0)</f>
        <v>6</v>
      </c>
      <c r="E170">
        <v>8</v>
      </c>
      <c r="F170">
        <f t="shared" ca="1" si="15"/>
        <v>1</v>
      </c>
      <c r="G170">
        <f t="shared" ca="1" si="16"/>
        <v>3</v>
      </c>
      <c r="H170">
        <f t="shared" ca="1" si="17"/>
        <v>2</v>
      </c>
      <c r="I170">
        <f t="shared" ca="1" si="18"/>
        <v>8</v>
      </c>
      <c r="J170">
        <v>3.5</v>
      </c>
      <c r="K170">
        <v>3</v>
      </c>
      <c r="L170">
        <v>8</v>
      </c>
      <c r="M170" s="3">
        <f t="shared" ca="1" si="20"/>
        <v>45416</v>
      </c>
      <c r="N170" s="3">
        <f t="shared" ca="1" si="20"/>
        <v>45332</v>
      </c>
      <c r="O170" s="3">
        <v>45437</v>
      </c>
    </row>
    <row r="171" spans="1:15" x14ac:dyDescent="0.3">
      <c r="A171" s="3">
        <v>45317</v>
      </c>
      <c r="B171" t="s">
        <v>16</v>
      </c>
      <c r="C171" t="s">
        <v>77</v>
      </c>
      <c r="D171" s="4" cm="1">
        <f t="array" aca="1" ref="D171" ca="1">IFERROR( _xlfn.XLOOKUP(B171, B$2:INDEX(B:B,ROW()-1), I$2:INDEX(I:I,ROW()-1), 0, 0, -1),0)</f>
        <v>4</v>
      </c>
      <c r="E171">
        <v>10</v>
      </c>
      <c r="F171">
        <f t="shared" ca="1" si="15"/>
        <v>4</v>
      </c>
      <c r="G171">
        <f t="shared" ca="1" si="16"/>
        <v>3</v>
      </c>
      <c r="H171">
        <f t="shared" ca="1" si="17"/>
        <v>4</v>
      </c>
      <c r="I171">
        <f t="shared" ca="1" si="18"/>
        <v>3</v>
      </c>
      <c r="J171">
        <v>5.5</v>
      </c>
      <c r="K171">
        <v>4.5</v>
      </c>
      <c r="L171">
        <v>7</v>
      </c>
      <c r="M171" s="3">
        <f t="shared" ca="1" si="20"/>
        <v>45399</v>
      </c>
      <c r="N171" s="3">
        <f t="shared" ca="1" si="20"/>
        <v>45373</v>
      </c>
      <c r="O171" s="3">
        <v>45299</v>
      </c>
    </row>
    <row r="172" spans="1:15" x14ac:dyDescent="0.3">
      <c r="A172" s="3">
        <v>45317</v>
      </c>
      <c r="B172" t="s">
        <v>61</v>
      </c>
      <c r="C172" t="s">
        <v>95</v>
      </c>
      <c r="D172" s="4" cm="1">
        <f t="array" aca="1" ref="D172" ca="1">IFERROR( _xlfn.XLOOKUP(B172, B$2:INDEX(B:B,ROW()-1), I$2:INDEX(I:I,ROW()-1), 0, 0, -1),0)</f>
        <v>3</v>
      </c>
      <c r="E172">
        <v>10</v>
      </c>
      <c r="F172">
        <f t="shared" ca="1" si="15"/>
        <v>6</v>
      </c>
      <c r="G172">
        <f t="shared" ca="1" si="16"/>
        <v>3</v>
      </c>
      <c r="H172">
        <f t="shared" ca="1" si="17"/>
        <v>1</v>
      </c>
      <c r="I172">
        <f t="shared" ca="1" si="18"/>
        <v>3</v>
      </c>
      <c r="J172">
        <v>4</v>
      </c>
      <c r="K172">
        <v>3.5</v>
      </c>
      <c r="L172">
        <v>10</v>
      </c>
      <c r="M172" s="3">
        <f t="shared" ca="1" si="20"/>
        <v>45421</v>
      </c>
      <c r="N172" s="3">
        <f t="shared" ca="1" si="20"/>
        <v>45292</v>
      </c>
      <c r="O172" s="3">
        <v>45311</v>
      </c>
    </row>
    <row r="173" spans="1:15" x14ac:dyDescent="0.3">
      <c r="A173" s="3">
        <v>45318</v>
      </c>
      <c r="B173" t="s">
        <v>56</v>
      </c>
      <c r="C173" t="s">
        <v>54</v>
      </c>
      <c r="D173" s="4" cm="1">
        <f t="array" aca="1" ref="D173" ca="1">IFERROR( _xlfn.XLOOKUP(B173, B$2:INDEX(B:B,ROW()-1), I$2:INDEX(I:I,ROW()-1), 0, 0, -1),0)</f>
        <v>5</v>
      </c>
      <c r="E173">
        <v>8</v>
      </c>
      <c r="F173">
        <f t="shared" ca="1" si="15"/>
        <v>1</v>
      </c>
      <c r="G173">
        <f t="shared" ca="1" si="16"/>
        <v>7</v>
      </c>
      <c r="H173">
        <f t="shared" ca="1" si="17"/>
        <v>0</v>
      </c>
      <c r="I173">
        <f t="shared" ca="1" si="18"/>
        <v>5</v>
      </c>
      <c r="J173">
        <v>6</v>
      </c>
      <c r="K173">
        <v>5.5</v>
      </c>
      <c r="L173">
        <v>20</v>
      </c>
      <c r="M173" s="3">
        <f t="shared" ca="1" si="20"/>
        <v>45431</v>
      </c>
      <c r="N173" s="3">
        <f t="shared" ca="1" si="20"/>
        <v>45383</v>
      </c>
      <c r="O173" s="3">
        <v>45370</v>
      </c>
    </row>
    <row r="174" spans="1:15" x14ac:dyDescent="0.3">
      <c r="A174" s="3">
        <v>45318</v>
      </c>
      <c r="B174" t="s">
        <v>78</v>
      </c>
      <c r="C174" t="s">
        <v>74</v>
      </c>
      <c r="D174" s="4" cm="1">
        <f t="array" aca="1" ref="D174" ca="1">IFERROR( _xlfn.XLOOKUP(B174, B$2:INDEX(B:B,ROW()-1), I$2:INDEX(I:I,ROW()-1), 0, 0, -1),0)</f>
        <v>4</v>
      </c>
      <c r="E174">
        <v>6</v>
      </c>
      <c r="F174">
        <f t="shared" ca="1" si="15"/>
        <v>3</v>
      </c>
      <c r="G174">
        <f t="shared" ca="1" si="16"/>
        <v>1</v>
      </c>
      <c r="H174">
        <f t="shared" ca="1" si="17"/>
        <v>4</v>
      </c>
      <c r="I174">
        <f t="shared" ca="1" si="18"/>
        <v>2</v>
      </c>
      <c r="J174">
        <v>4</v>
      </c>
      <c r="K174">
        <v>3</v>
      </c>
      <c r="L174">
        <v>7</v>
      </c>
      <c r="M174" s="3">
        <f t="shared" ca="1" si="20"/>
        <v>45348</v>
      </c>
      <c r="N174" s="3">
        <f t="shared" ca="1" si="20"/>
        <v>45421</v>
      </c>
      <c r="O174" s="3">
        <v>45421</v>
      </c>
    </row>
    <row r="175" spans="1:15" x14ac:dyDescent="0.3">
      <c r="A175" s="3">
        <v>45318</v>
      </c>
      <c r="B175" t="s">
        <v>66</v>
      </c>
      <c r="C175" t="s">
        <v>45</v>
      </c>
      <c r="D175" s="4" cm="1">
        <f t="array" aca="1" ref="D175" ca="1">IFERROR( _xlfn.XLOOKUP(B175, B$2:INDEX(B:B,ROW()-1), I$2:INDEX(I:I,ROW()-1), 0, 0, -1),0)</f>
        <v>7</v>
      </c>
      <c r="E175">
        <v>8</v>
      </c>
      <c r="F175">
        <f t="shared" ca="1" si="15"/>
        <v>5</v>
      </c>
      <c r="G175">
        <f t="shared" ca="1" si="16"/>
        <v>6</v>
      </c>
      <c r="H175">
        <f t="shared" ca="1" si="17"/>
        <v>2</v>
      </c>
      <c r="I175">
        <f t="shared" ca="1" si="18"/>
        <v>2</v>
      </c>
      <c r="J175">
        <v>3.5</v>
      </c>
      <c r="K175">
        <v>3</v>
      </c>
      <c r="L175">
        <v>8</v>
      </c>
      <c r="M175" s="3">
        <f t="shared" ca="1" si="20"/>
        <v>45413</v>
      </c>
      <c r="N175" s="3">
        <f t="shared" ca="1" si="20"/>
        <v>45426</v>
      </c>
      <c r="O175" s="3">
        <v>45316</v>
      </c>
    </row>
    <row r="176" spans="1:15" x14ac:dyDescent="0.3">
      <c r="A176" s="3">
        <v>45318</v>
      </c>
      <c r="B176" t="s">
        <v>57</v>
      </c>
      <c r="C176" t="s">
        <v>75</v>
      </c>
      <c r="D176" s="4" cm="1">
        <f t="array" aca="1" ref="D176" ca="1">IFERROR( _xlfn.XLOOKUP(B176, B$2:INDEX(B:B,ROW()-1), I$2:INDEX(I:I,ROW()-1), 0, 0, -1),0)</f>
        <v>2</v>
      </c>
      <c r="E176">
        <v>8</v>
      </c>
      <c r="F176">
        <f t="shared" ca="1" si="15"/>
        <v>4</v>
      </c>
      <c r="G176">
        <f t="shared" ca="1" si="16"/>
        <v>1</v>
      </c>
      <c r="H176">
        <f t="shared" ca="1" si="17"/>
        <v>1</v>
      </c>
      <c r="I176">
        <f t="shared" ca="1" si="18"/>
        <v>4</v>
      </c>
      <c r="J176">
        <v>6</v>
      </c>
      <c r="K176">
        <v>5.5</v>
      </c>
      <c r="L176">
        <v>20</v>
      </c>
      <c r="M176" s="3">
        <f t="shared" ca="1" si="20"/>
        <v>45312</v>
      </c>
      <c r="N176" s="3">
        <f t="shared" ca="1" si="20"/>
        <v>45301</v>
      </c>
      <c r="O176" s="3">
        <v>45427</v>
      </c>
    </row>
    <row r="177" spans="1:15" x14ac:dyDescent="0.3">
      <c r="A177" s="3">
        <v>45318</v>
      </c>
      <c r="B177" t="s">
        <v>20</v>
      </c>
      <c r="C177" t="s">
        <v>25</v>
      </c>
      <c r="D177" s="4" cm="1">
        <f t="array" aca="1" ref="D177" ca="1">IFERROR( _xlfn.XLOOKUP(B177, B$2:INDEX(B:B,ROW()-1), I$2:INDEX(I:I,ROW()-1), 0, 0, -1),0)</f>
        <v>7</v>
      </c>
      <c r="E177">
        <v>10</v>
      </c>
      <c r="F177">
        <f t="shared" ca="1" si="15"/>
        <v>3</v>
      </c>
      <c r="G177">
        <f t="shared" ca="1" si="16"/>
        <v>7</v>
      </c>
      <c r="H177">
        <f t="shared" ca="1" si="17"/>
        <v>4</v>
      </c>
      <c r="I177">
        <f t="shared" ca="1" si="18"/>
        <v>3</v>
      </c>
      <c r="J177">
        <v>4.5</v>
      </c>
      <c r="K177">
        <v>4</v>
      </c>
      <c r="L177">
        <v>10</v>
      </c>
      <c r="M177" s="3">
        <f t="shared" ca="1" si="20"/>
        <v>45383</v>
      </c>
      <c r="N177" s="3">
        <f t="shared" ca="1" si="20"/>
        <v>45348</v>
      </c>
      <c r="O177" s="3">
        <v>45334</v>
      </c>
    </row>
    <row r="178" spans="1:15" x14ac:dyDescent="0.3">
      <c r="A178" s="3">
        <v>45318</v>
      </c>
      <c r="B178" t="s">
        <v>60</v>
      </c>
      <c r="C178" t="s">
        <v>94</v>
      </c>
      <c r="D178" s="4" cm="1">
        <f t="array" aca="1" ref="D178" ca="1">IFERROR( _xlfn.XLOOKUP(B178, B$2:INDEX(B:B,ROW()-1), I$2:INDEX(I:I,ROW()-1), 0, 0, -1),0)</f>
        <v>4</v>
      </c>
      <c r="E178">
        <v>10</v>
      </c>
      <c r="F178">
        <f t="shared" ca="1" si="15"/>
        <v>8</v>
      </c>
      <c r="G178">
        <f t="shared" ca="1" si="16"/>
        <v>1</v>
      </c>
      <c r="H178">
        <f t="shared" ca="1" si="17"/>
        <v>2</v>
      </c>
      <c r="I178">
        <f t="shared" ca="1" si="18"/>
        <v>3</v>
      </c>
      <c r="J178">
        <v>4</v>
      </c>
      <c r="K178">
        <v>3.5</v>
      </c>
      <c r="L178">
        <v>10</v>
      </c>
      <c r="M178" s="3">
        <f t="shared" ca="1" si="20"/>
        <v>45366</v>
      </c>
      <c r="N178" s="3">
        <f t="shared" ca="1" si="20"/>
        <v>45295</v>
      </c>
      <c r="O178" s="3">
        <v>45420</v>
      </c>
    </row>
    <row r="179" spans="1:15" x14ac:dyDescent="0.3">
      <c r="A179" s="3">
        <v>45318</v>
      </c>
      <c r="B179" t="s">
        <v>37</v>
      </c>
      <c r="C179" t="s">
        <v>51</v>
      </c>
      <c r="D179" s="4" cm="1">
        <f t="array" aca="1" ref="D179" ca="1">IFERROR( _xlfn.XLOOKUP(B179, B$2:INDEX(B:B,ROW()-1), I$2:INDEX(I:I,ROW()-1), 0, 0, -1),0)</f>
        <v>11</v>
      </c>
      <c r="E179">
        <v>12</v>
      </c>
      <c r="F179">
        <f t="shared" ca="1" si="15"/>
        <v>12</v>
      </c>
      <c r="G179">
        <f t="shared" ca="1" si="16"/>
        <v>2</v>
      </c>
      <c r="H179">
        <f t="shared" ca="1" si="17"/>
        <v>1</v>
      </c>
      <c r="I179">
        <f t="shared" ca="1" si="18"/>
        <v>8</v>
      </c>
      <c r="J179">
        <v>3.5</v>
      </c>
      <c r="K179">
        <v>3</v>
      </c>
      <c r="L179">
        <v>14</v>
      </c>
      <c r="M179" s="3">
        <f t="shared" ca="1" si="20"/>
        <v>45366</v>
      </c>
      <c r="N179" s="3">
        <f t="shared" ca="1" si="20"/>
        <v>45331</v>
      </c>
      <c r="O179" s="3">
        <v>45399</v>
      </c>
    </row>
    <row r="180" spans="1:15" x14ac:dyDescent="0.3">
      <c r="A180" s="3">
        <v>45318</v>
      </c>
      <c r="B180" t="s">
        <v>57</v>
      </c>
      <c r="C180" t="s">
        <v>75</v>
      </c>
      <c r="D180" s="4" cm="1">
        <f t="array" aca="1" ref="D180" ca="1">IFERROR( _xlfn.XLOOKUP(B180, B$2:INDEX(B:B,ROW()-1), I$2:INDEX(I:I,ROW()-1), 0, 0, -1),0)</f>
        <v>4</v>
      </c>
      <c r="E180">
        <v>8</v>
      </c>
      <c r="F180">
        <f t="shared" ca="1" si="15"/>
        <v>2</v>
      </c>
      <c r="G180">
        <f t="shared" ca="1" si="16"/>
        <v>3</v>
      </c>
      <c r="H180">
        <f t="shared" ca="1" si="17"/>
        <v>2</v>
      </c>
      <c r="I180">
        <f t="shared" ca="1" si="18"/>
        <v>5</v>
      </c>
      <c r="J180">
        <v>6</v>
      </c>
      <c r="K180">
        <v>5.5</v>
      </c>
      <c r="L180">
        <v>20</v>
      </c>
      <c r="M180" s="3">
        <f t="shared" ca="1" si="20"/>
        <v>45320</v>
      </c>
      <c r="N180" s="3">
        <f t="shared" ca="1" si="20"/>
        <v>45365</v>
      </c>
      <c r="O180" s="3">
        <v>45303</v>
      </c>
    </row>
    <row r="181" spans="1:15" x14ac:dyDescent="0.3">
      <c r="A181" s="3">
        <v>45318</v>
      </c>
      <c r="B181" t="s">
        <v>81</v>
      </c>
      <c r="C181" t="s">
        <v>50</v>
      </c>
      <c r="D181" s="4" cm="1">
        <f t="array" aca="1" ref="D181" ca="1">IFERROR( _xlfn.XLOOKUP(B181, B$2:INDEX(B:B,ROW()-1), I$2:INDEX(I:I,ROW()-1), 0, 0, -1),0)</f>
        <v>2</v>
      </c>
      <c r="E181">
        <v>8</v>
      </c>
      <c r="F181">
        <f t="shared" ca="1" si="15"/>
        <v>2</v>
      </c>
      <c r="G181">
        <f t="shared" ca="1" si="16"/>
        <v>2</v>
      </c>
      <c r="H181">
        <f t="shared" ca="1" si="17"/>
        <v>2</v>
      </c>
      <c r="I181">
        <f t="shared" ca="1" si="18"/>
        <v>4</v>
      </c>
      <c r="J181">
        <v>2.5</v>
      </c>
      <c r="K181">
        <v>2</v>
      </c>
      <c r="L181">
        <v>5</v>
      </c>
      <c r="M181" s="3">
        <f t="shared" ca="1" si="20"/>
        <v>45335</v>
      </c>
      <c r="N181" s="3">
        <f t="shared" ca="1" si="20"/>
        <v>45381</v>
      </c>
      <c r="O181" s="3">
        <v>45411</v>
      </c>
    </row>
    <row r="182" spans="1:15" x14ac:dyDescent="0.3">
      <c r="A182" s="3">
        <v>45318</v>
      </c>
      <c r="B182" t="s">
        <v>34</v>
      </c>
      <c r="C182" t="s">
        <v>30</v>
      </c>
      <c r="D182" s="4" cm="1">
        <f t="array" aca="1" ref="D182" ca="1">IFERROR( _xlfn.XLOOKUP(B182, B$2:INDEX(B:B,ROW()-1), I$2:INDEX(I:I,ROW()-1), 0, 0, -1),0)</f>
        <v>1</v>
      </c>
      <c r="E182">
        <v>6</v>
      </c>
      <c r="F182">
        <f t="shared" ca="1" si="15"/>
        <v>3</v>
      </c>
      <c r="G182">
        <f t="shared" ca="1" si="16"/>
        <v>1</v>
      </c>
      <c r="H182">
        <f t="shared" ca="1" si="17"/>
        <v>0</v>
      </c>
      <c r="I182">
        <f t="shared" ca="1" si="18"/>
        <v>3</v>
      </c>
      <c r="J182">
        <v>3.5</v>
      </c>
      <c r="K182">
        <v>3</v>
      </c>
      <c r="L182">
        <v>10</v>
      </c>
      <c r="M182" s="3">
        <f t="shared" ref="M182:N201" ca="1" si="21">DATE(2024,1,1) + RANDBETWEEN(0, DATE(2024,5,25) - DATE(2024,1,1))</f>
        <v>45329</v>
      </c>
      <c r="N182" s="3">
        <f t="shared" ca="1" si="21"/>
        <v>45416</v>
      </c>
      <c r="O182" s="3">
        <v>45319</v>
      </c>
    </row>
    <row r="183" spans="1:15" x14ac:dyDescent="0.3">
      <c r="A183" s="3">
        <v>45319</v>
      </c>
      <c r="B183" t="s">
        <v>62</v>
      </c>
      <c r="C183" t="s">
        <v>96</v>
      </c>
      <c r="D183" s="4" cm="1">
        <f t="array" aca="1" ref="D183" ca="1">IFERROR( _xlfn.XLOOKUP(B183, B$2:INDEX(B:B,ROW()-1), I$2:INDEX(I:I,ROW()-1), 0, 0, -1),0)</f>
        <v>7</v>
      </c>
      <c r="E183">
        <v>10</v>
      </c>
      <c r="F183">
        <f t="shared" ca="1" si="15"/>
        <v>3</v>
      </c>
      <c r="G183">
        <f t="shared" ca="1" si="16"/>
        <v>6</v>
      </c>
      <c r="H183">
        <f t="shared" ca="1" si="17"/>
        <v>2</v>
      </c>
      <c r="I183">
        <f t="shared" ca="1" si="18"/>
        <v>6</v>
      </c>
      <c r="J183">
        <v>4</v>
      </c>
      <c r="K183">
        <v>3.5</v>
      </c>
      <c r="L183">
        <v>10</v>
      </c>
      <c r="M183" s="3">
        <f t="shared" ca="1" si="21"/>
        <v>45296</v>
      </c>
      <c r="N183" s="3">
        <f t="shared" ca="1" si="21"/>
        <v>45310</v>
      </c>
      <c r="O183" s="3">
        <v>45380</v>
      </c>
    </row>
    <row r="184" spans="1:15" x14ac:dyDescent="0.3">
      <c r="A184" s="3">
        <v>45319</v>
      </c>
      <c r="B184" t="s">
        <v>88</v>
      </c>
      <c r="C184" t="s">
        <v>102</v>
      </c>
      <c r="D184" s="4" cm="1">
        <f t="array" ref="D184">IFERROR( _xlfn.XLOOKUP(B184, B$2:INDEX(B:B,ROW()-1), I$2:INDEX(I:I,ROW()-1), 0, 0, -1),0)</f>
        <v>0</v>
      </c>
      <c r="E184">
        <v>8</v>
      </c>
      <c r="F184">
        <f t="shared" ca="1" si="15"/>
        <v>2</v>
      </c>
      <c r="G184">
        <f t="shared" ca="1" si="16"/>
        <v>3</v>
      </c>
      <c r="H184">
        <f t="shared" ca="1" si="17"/>
        <v>1</v>
      </c>
      <c r="I184">
        <f t="shared" ca="1" si="18"/>
        <v>2</v>
      </c>
      <c r="J184">
        <v>3.5</v>
      </c>
      <c r="K184">
        <v>3</v>
      </c>
      <c r="L184">
        <v>8</v>
      </c>
      <c r="M184" s="3">
        <f t="shared" ca="1" si="21"/>
        <v>45316</v>
      </c>
      <c r="N184" s="3">
        <f t="shared" ca="1" si="21"/>
        <v>45356</v>
      </c>
      <c r="O184" s="3">
        <v>45322</v>
      </c>
    </row>
    <row r="185" spans="1:15" x14ac:dyDescent="0.3">
      <c r="A185" s="3">
        <v>45319</v>
      </c>
      <c r="B185" t="s">
        <v>62</v>
      </c>
      <c r="C185" t="s">
        <v>96</v>
      </c>
      <c r="D185" s="4" cm="1">
        <f t="array" aca="1" ref="D185" ca="1">IFERROR( _xlfn.XLOOKUP(B185, B$2:INDEX(B:B,ROW()-1), I$2:INDEX(I:I,ROW()-1), 0, 0, -1),0)</f>
        <v>6</v>
      </c>
      <c r="E185">
        <v>10</v>
      </c>
      <c r="F185">
        <f t="shared" ca="1" si="15"/>
        <v>0</v>
      </c>
      <c r="G185">
        <f t="shared" ca="1" si="16"/>
        <v>0</v>
      </c>
      <c r="H185">
        <f t="shared" ca="1" si="17"/>
        <v>1</v>
      </c>
      <c r="I185">
        <f t="shared" ca="1" si="18"/>
        <v>15</v>
      </c>
      <c r="J185">
        <v>4</v>
      </c>
      <c r="K185">
        <v>3.5</v>
      </c>
      <c r="L185">
        <v>10</v>
      </c>
      <c r="M185" s="3">
        <f t="shared" ca="1" si="21"/>
        <v>45357</v>
      </c>
      <c r="N185" s="3">
        <f t="shared" ca="1" si="21"/>
        <v>45378</v>
      </c>
      <c r="O185" s="3">
        <v>45400</v>
      </c>
    </row>
    <row r="186" spans="1:15" x14ac:dyDescent="0.3">
      <c r="A186" s="3">
        <v>45319</v>
      </c>
      <c r="B186" t="s">
        <v>83</v>
      </c>
      <c r="C186" t="s">
        <v>100</v>
      </c>
      <c r="D186" s="4" cm="1">
        <f t="array" aca="1" ref="D186" ca="1">IFERROR( _xlfn.XLOOKUP(B186, B$2:INDEX(B:B,ROW()-1), I$2:INDEX(I:I,ROW()-1), 0, 0, -1),0)</f>
        <v>2</v>
      </c>
      <c r="E186">
        <v>10</v>
      </c>
      <c r="F186">
        <f t="shared" ca="1" si="15"/>
        <v>5</v>
      </c>
      <c r="G186">
        <f t="shared" ca="1" si="16"/>
        <v>2</v>
      </c>
      <c r="H186">
        <f t="shared" ca="1" si="17"/>
        <v>2</v>
      </c>
      <c r="I186">
        <f t="shared" ca="1" si="18"/>
        <v>3</v>
      </c>
      <c r="J186">
        <v>4.5</v>
      </c>
      <c r="K186">
        <v>4</v>
      </c>
      <c r="L186">
        <v>10</v>
      </c>
      <c r="M186" s="3">
        <f t="shared" ca="1" si="21"/>
        <v>45436</v>
      </c>
      <c r="N186" s="3">
        <f t="shared" ca="1" si="21"/>
        <v>45350</v>
      </c>
      <c r="O186" s="3">
        <v>45365</v>
      </c>
    </row>
    <row r="187" spans="1:15" x14ac:dyDescent="0.3">
      <c r="A187" s="3">
        <v>45319</v>
      </c>
      <c r="B187" t="s">
        <v>22</v>
      </c>
      <c r="C187" t="s">
        <v>26</v>
      </c>
      <c r="D187" s="4" cm="1">
        <f t="array" aca="1" ref="D187" ca="1">IFERROR( _xlfn.XLOOKUP(B187, B$2:INDEX(B:B,ROW()-1), I$2:INDEX(I:I,ROW()-1), 0, 0, -1),0)</f>
        <v>3</v>
      </c>
      <c r="E187">
        <v>12</v>
      </c>
      <c r="F187">
        <f t="shared" ca="1" si="15"/>
        <v>4</v>
      </c>
      <c r="G187">
        <f t="shared" ca="1" si="16"/>
        <v>5</v>
      </c>
      <c r="H187">
        <f t="shared" ca="1" si="17"/>
        <v>1</v>
      </c>
      <c r="I187">
        <f t="shared" ca="1" si="18"/>
        <v>5</v>
      </c>
      <c r="J187">
        <v>3.5</v>
      </c>
      <c r="K187">
        <v>3</v>
      </c>
      <c r="L187">
        <v>14</v>
      </c>
      <c r="M187" s="3">
        <f t="shared" ca="1" si="21"/>
        <v>45402</v>
      </c>
      <c r="N187" s="3">
        <f t="shared" ca="1" si="21"/>
        <v>45417</v>
      </c>
      <c r="O187" s="3">
        <v>45376</v>
      </c>
    </row>
    <row r="188" spans="1:15" x14ac:dyDescent="0.3">
      <c r="A188" s="3">
        <v>45319</v>
      </c>
      <c r="B188" t="s">
        <v>67</v>
      </c>
      <c r="C188" t="s">
        <v>46</v>
      </c>
      <c r="D188" s="4" cm="1">
        <f t="array" aca="1" ref="D188" ca="1">IFERROR( _xlfn.XLOOKUP(B188, B$2:INDEX(B:B,ROW()-1), I$2:INDEX(I:I,ROW()-1), 0, 0, -1),0)</f>
        <v>2</v>
      </c>
      <c r="E188">
        <v>8</v>
      </c>
      <c r="F188">
        <f t="shared" ca="1" si="15"/>
        <v>2</v>
      </c>
      <c r="G188">
        <f t="shared" ca="1" si="16"/>
        <v>0</v>
      </c>
      <c r="H188">
        <f t="shared" ca="1" si="17"/>
        <v>5</v>
      </c>
      <c r="I188">
        <f t="shared" ca="1" si="18"/>
        <v>3</v>
      </c>
      <c r="J188">
        <v>3.5</v>
      </c>
      <c r="K188">
        <v>3</v>
      </c>
      <c r="L188">
        <v>8</v>
      </c>
      <c r="M188" s="3">
        <f t="shared" ca="1" si="21"/>
        <v>45340</v>
      </c>
      <c r="N188" s="3">
        <f t="shared" ca="1" si="21"/>
        <v>45361</v>
      </c>
      <c r="O188" s="3">
        <v>45335</v>
      </c>
    </row>
    <row r="189" spans="1:15" x14ac:dyDescent="0.3">
      <c r="A189" s="3">
        <v>45319</v>
      </c>
      <c r="B189" t="s">
        <v>21</v>
      </c>
      <c r="C189" t="s">
        <v>27</v>
      </c>
      <c r="D189" s="4" cm="1">
        <f t="array" aca="1" ref="D189" ca="1">IFERROR( _xlfn.XLOOKUP(B189, B$2:INDEX(B:B,ROW()-1), I$2:INDEX(I:I,ROW()-1), 0, 0, -1),0)</f>
        <v>3</v>
      </c>
      <c r="E189">
        <v>8</v>
      </c>
      <c r="F189">
        <f t="shared" ca="1" si="15"/>
        <v>7</v>
      </c>
      <c r="G189">
        <f t="shared" ca="1" si="16"/>
        <v>0</v>
      </c>
      <c r="H189">
        <f t="shared" ca="1" si="17"/>
        <v>0</v>
      </c>
      <c r="I189">
        <f t="shared" ca="1" si="18"/>
        <v>4</v>
      </c>
      <c r="J189">
        <v>4</v>
      </c>
      <c r="K189">
        <v>3</v>
      </c>
      <c r="L189">
        <v>14</v>
      </c>
      <c r="M189" s="3">
        <f t="shared" ca="1" si="21"/>
        <v>45303</v>
      </c>
      <c r="N189" s="3">
        <f t="shared" ca="1" si="21"/>
        <v>45338</v>
      </c>
      <c r="O189" s="3">
        <v>45366</v>
      </c>
    </row>
    <row r="190" spans="1:15" x14ac:dyDescent="0.3">
      <c r="A190" s="3">
        <v>45319</v>
      </c>
      <c r="B190" t="s">
        <v>62</v>
      </c>
      <c r="C190" t="s">
        <v>96</v>
      </c>
      <c r="D190" s="4" cm="1">
        <f t="array" aca="1" ref="D190" ca="1">IFERROR( _xlfn.XLOOKUP(B190, B$2:INDEX(B:B,ROW()-1), I$2:INDEX(I:I,ROW()-1), 0, 0, -1),0)</f>
        <v>15</v>
      </c>
      <c r="E190">
        <v>10</v>
      </c>
      <c r="F190">
        <f t="shared" ca="1" si="15"/>
        <v>14</v>
      </c>
      <c r="G190">
        <f t="shared" ca="1" si="16"/>
        <v>5</v>
      </c>
      <c r="H190">
        <f t="shared" ca="1" si="17"/>
        <v>3</v>
      </c>
      <c r="I190">
        <f t="shared" ca="1" si="18"/>
        <v>3</v>
      </c>
      <c r="J190">
        <v>4</v>
      </c>
      <c r="K190">
        <v>3.5</v>
      </c>
      <c r="L190">
        <v>10</v>
      </c>
      <c r="M190" s="3">
        <f t="shared" ca="1" si="21"/>
        <v>45397</v>
      </c>
      <c r="N190" s="3">
        <f t="shared" ca="1" si="21"/>
        <v>45354</v>
      </c>
      <c r="O190" s="3">
        <v>45365</v>
      </c>
    </row>
    <row r="191" spans="1:15" x14ac:dyDescent="0.3">
      <c r="A191" s="3">
        <v>45319</v>
      </c>
      <c r="B191" t="s">
        <v>88</v>
      </c>
      <c r="C191" t="s">
        <v>102</v>
      </c>
      <c r="D191" s="4" cm="1">
        <f t="array" aca="1" ref="D191" ca="1">IFERROR( _xlfn.XLOOKUP(B191, B$2:INDEX(B:B,ROW()-1), I$2:INDEX(I:I,ROW()-1), 0, 0, -1),0)</f>
        <v>2</v>
      </c>
      <c r="E191">
        <v>8</v>
      </c>
      <c r="F191">
        <f t="shared" ca="1" si="15"/>
        <v>0</v>
      </c>
      <c r="G191">
        <f t="shared" ca="1" si="16"/>
        <v>6</v>
      </c>
      <c r="H191">
        <f t="shared" ca="1" si="17"/>
        <v>0</v>
      </c>
      <c r="I191">
        <f t="shared" ca="1" si="18"/>
        <v>4</v>
      </c>
      <c r="J191">
        <v>3.5</v>
      </c>
      <c r="K191">
        <v>3</v>
      </c>
      <c r="L191">
        <v>8</v>
      </c>
      <c r="M191" s="3">
        <f t="shared" ca="1" si="21"/>
        <v>45355</v>
      </c>
      <c r="N191" s="3">
        <f t="shared" ca="1" si="21"/>
        <v>45340</v>
      </c>
      <c r="O191" s="3">
        <v>45373</v>
      </c>
    </row>
    <row r="192" spans="1:15" x14ac:dyDescent="0.3">
      <c r="A192" s="3">
        <v>45320</v>
      </c>
      <c r="B192" t="s">
        <v>92</v>
      </c>
      <c r="C192" t="s">
        <v>91</v>
      </c>
      <c r="D192" s="4" cm="1">
        <f t="array" aca="1" ref="D192" ca="1">IFERROR( _xlfn.XLOOKUP(B192, B$2:INDEX(B:B,ROW()-1), I$2:INDEX(I:I,ROW()-1), 0, 0, -1),0)</f>
        <v>1</v>
      </c>
      <c r="E192">
        <v>6</v>
      </c>
      <c r="F192">
        <f t="shared" ca="1" si="15"/>
        <v>1</v>
      </c>
      <c r="G192">
        <f t="shared" ca="1" si="16"/>
        <v>0</v>
      </c>
      <c r="H192">
        <f t="shared" ca="1" si="17"/>
        <v>0</v>
      </c>
      <c r="I192">
        <f t="shared" ca="1" si="18"/>
        <v>6</v>
      </c>
      <c r="J192">
        <v>4.5</v>
      </c>
      <c r="K192">
        <v>4</v>
      </c>
      <c r="L192">
        <v>14</v>
      </c>
      <c r="M192" s="3">
        <f t="shared" ca="1" si="21"/>
        <v>45387</v>
      </c>
      <c r="N192" s="3">
        <f t="shared" ca="1" si="21"/>
        <v>45401</v>
      </c>
      <c r="O192" s="3">
        <v>45401</v>
      </c>
    </row>
    <row r="193" spans="1:15" x14ac:dyDescent="0.3">
      <c r="A193" s="3">
        <v>45320</v>
      </c>
      <c r="B193" t="s">
        <v>55</v>
      </c>
      <c r="C193" t="s">
        <v>53</v>
      </c>
      <c r="D193" s="4" cm="1">
        <f t="array" aca="1" ref="D193" ca="1">IFERROR( _xlfn.XLOOKUP(B193, B$2:INDEX(B:B,ROW()-1), I$2:INDEX(I:I,ROW()-1), 0, 0, -1),0)</f>
        <v>1</v>
      </c>
      <c r="E193">
        <v>4</v>
      </c>
      <c r="F193">
        <f t="shared" ca="1" si="15"/>
        <v>1</v>
      </c>
      <c r="G193">
        <f t="shared" ca="1" si="16"/>
        <v>1</v>
      </c>
      <c r="H193">
        <f t="shared" ca="1" si="17"/>
        <v>2</v>
      </c>
      <c r="I193">
        <f t="shared" ca="1" si="18"/>
        <v>1</v>
      </c>
      <c r="J193">
        <v>8.5</v>
      </c>
      <c r="K193">
        <v>6</v>
      </c>
      <c r="L193">
        <v>7</v>
      </c>
      <c r="M193" s="3">
        <f t="shared" ca="1" si="21"/>
        <v>45424</v>
      </c>
      <c r="N193" s="3">
        <f t="shared" ca="1" si="21"/>
        <v>45355</v>
      </c>
      <c r="O193" s="3">
        <v>45313</v>
      </c>
    </row>
    <row r="194" spans="1:15" x14ac:dyDescent="0.3">
      <c r="A194" s="3">
        <v>45320</v>
      </c>
      <c r="B194" t="s">
        <v>59</v>
      </c>
      <c r="C194" t="s">
        <v>93</v>
      </c>
      <c r="D194" s="4" cm="1">
        <f t="array" aca="1" ref="D194" ca="1">IFERROR( _xlfn.XLOOKUP(B194, B$2:INDEX(B:B,ROW()-1), I$2:INDEX(I:I,ROW()-1), 0, 0, -1),0)</f>
        <v>7</v>
      </c>
      <c r="E194">
        <v>10</v>
      </c>
      <c r="F194">
        <f t="shared" ref="F194:F257" ca="1" si="22">RANDBETWEEN(0, ROUND((D194+E194)*0.6,0))</f>
        <v>7</v>
      </c>
      <c r="G194">
        <f t="shared" ref="G194:G257" ca="1" si="23">RANDBETWEEN(0,ROUND((D194+E194-F194)*0.6,0))</f>
        <v>5</v>
      </c>
      <c r="H194">
        <f t="shared" ref="H194:H257" ca="1" si="24">RANDBETWEEN(0,ROUND((D194+E194-F194-G194)*0.6,0))</f>
        <v>0</v>
      </c>
      <c r="I194">
        <f t="shared" ref="I194:I257" ca="1" si="25">D194+E194-F194-G194-H194</f>
        <v>5</v>
      </c>
      <c r="J194">
        <v>4</v>
      </c>
      <c r="K194">
        <v>3.5</v>
      </c>
      <c r="L194">
        <v>10</v>
      </c>
      <c r="M194" s="3">
        <f t="shared" ca="1" si="21"/>
        <v>45295</v>
      </c>
      <c r="N194" s="3">
        <f t="shared" ca="1" si="21"/>
        <v>45323</v>
      </c>
      <c r="O194" s="3">
        <v>45328</v>
      </c>
    </row>
    <row r="195" spans="1:15" x14ac:dyDescent="0.3">
      <c r="A195" s="3">
        <v>45320</v>
      </c>
      <c r="B195" t="s">
        <v>60</v>
      </c>
      <c r="C195" t="s">
        <v>94</v>
      </c>
      <c r="D195" s="4" cm="1">
        <f t="array" aca="1" ref="D195" ca="1">IFERROR( _xlfn.XLOOKUP(B195, B$2:INDEX(B:B,ROW()-1), I$2:INDEX(I:I,ROW()-1), 0, 0, -1),0)</f>
        <v>3</v>
      </c>
      <c r="E195">
        <v>10</v>
      </c>
      <c r="F195">
        <f t="shared" ca="1" si="22"/>
        <v>0</v>
      </c>
      <c r="G195">
        <f t="shared" ca="1" si="23"/>
        <v>3</v>
      </c>
      <c r="H195">
        <f t="shared" ca="1" si="24"/>
        <v>1</v>
      </c>
      <c r="I195">
        <f t="shared" ca="1" si="25"/>
        <v>9</v>
      </c>
      <c r="J195">
        <v>4</v>
      </c>
      <c r="K195">
        <v>3.5</v>
      </c>
      <c r="L195">
        <v>10</v>
      </c>
      <c r="M195" s="3">
        <f t="shared" ca="1" si="21"/>
        <v>45297</v>
      </c>
      <c r="N195" s="3">
        <f t="shared" ca="1" si="21"/>
        <v>45304</v>
      </c>
      <c r="O195" s="3">
        <v>45381</v>
      </c>
    </row>
    <row r="196" spans="1:15" x14ac:dyDescent="0.3">
      <c r="A196" s="3">
        <v>45320</v>
      </c>
      <c r="B196" t="s">
        <v>19</v>
      </c>
      <c r="C196" t="s">
        <v>17</v>
      </c>
      <c r="D196" s="4" cm="1">
        <f t="array" aca="1" ref="D196" ca="1">IFERROR( _xlfn.XLOOKUP(B196, B$2:INDEX(B:B,ROW()-1), I$2:INDEX(I:I,ROW()-1), 0, 0, -1),0)</f>
        <v>1</v>
      </c>
      <c r="E196">
        <v>10</v>
      </c>
      <c r="F196">
        <f t="shared" ca="1" si="22"/>
        <v>3</v>
      </c>
      <c r="G196">
        <f t="shared" ca="1" si="23"/>
        <v>5</v>
      </c>
      <c r="H196">
        <f t="shared" ca="1" si="24"/>
        <v>0</v>
      </c>
      <c r="I196">
        <f t="shared" ca="1" si="25"/>
        <v>3</v>
      </c>
      <c r="J196">
        <v>4.5</v>
      </c>
      <c r="K196">
        <v>4</v>
      </c>
      <c r="L196">
        <v>10</v>
      </c>
      <c r="M196" s="3">
        <f t="shared" ca="1" si="21"/>
        <v>45313</v>
      </c>
      <c r="N196" s="3">
        <f t="shared" ca="1" si="21"/>
        <v>45426</v>
      </c>
      <c r="O196" s="3">
        <v>45387</v>
      </c>
    </row>
    <row r="197" spans="1:15" x14ac:dyDescent="0.3">
      <c r="A197" s="3">
        <v>45320</v>
      </c>
      <c r="B197" t="s">
        <v>84</v>
      </c>
      <c r="C197" t="s">
        <v>101</v>
      </c>
      <c r="D197" s="4" cm="1">
        <f t="array" aca="1" ref="D197" ca="1">IFERROR( _xlfn.XLOOKUP(B197, B$2:INDEX(B:B,ROW()-1), I$2:INDEX(I:I,ROW()-1), 0, 0, -1),0)</f>
        <v>8</v>
      </c>
      <c r="E197">
        <v>8</v>
      </c>
      <c r="F197">
        <f t="shared" ca="1" si="22"/>
        <v>0</v>
      </c>
      <c r="G197">
        <f t="shared" ca="1" si="23"/>
        <v>8</v>
      </c>
      <c r="H197">
        <f t="shared" ca="1" si="24"/>
        <v>3</v>
      </c>
      <c r="I197">
        <f t="shared" ca="1" si="25"/>
        <v>5</v>
      </c>
      <c r="J197">
        <v>3.5</v>
      </c>
      <c r="K197">
        <v>3</v>
      </c>
      <c r="L197">
        <v>8</v>
      </c>
      <c r="M197" s="3">
        <f t="shared" ca="1" si="21"/>
        <v>45346</v>
      </c>
      <c r="N197" s="3">
        <f t="shared" ca="1" si="21"/>
        <v>45323</v>
      </c>
      <c r="O197" s="3">
        <v>45346</v>
      </c>
    </row>
    <row r="198" spans="1:15" x14ac:dyDescent="0.3">
      <c r="A198" s="3">
        <v>45321</v>
      </c>
      <c r="B198" t="s">
        <v>41</v>
      </c>
      <c r="C198" t="s">
        <v>86</v>
      </c>
      <c r="D198" s="4" cm="1">
        <f t="array" aca="1" ref="D198" ca="1">IFERROR( _xlfn.XLOOKUP(B198, B$2:INDEX(B:B,ROW()-1), I$2:INDEX(I:I,ROW()-1), 0, 0, -1),0)</f>
        <v>8</v>
      </c>
      <c r="E198">
        <v>15</v>
      </c>
      <c r="F198">
        <f t="shared" ca="1" si="22"/>
        <v>10</v>
      </c>
      <c r="G198">
        <f t="shared" ca="1" si="23"/>
        <v>8</v>
      </c>
      <c r="H198">
        <f t="shared" ca="1" si="24"/>
        <v>2</v>
      </c>
      <c r="I198">
        <f t="shared" ca="1" si="25"/>
        <v>3</v>
      </c>
      <c r="J198">
        <v>3</v>
      </c>
      <c r="K198">
        <v>2.5</v>
      </c>
      <c r="L198">
        <v>14</v>
      </c>
      <c r="M198" s="3">
        <f t="shared" ca="1" si="21"/>
        <v>45363</v>
      </c>
      <c r="N198" s="3">
        <f t="shared" ca="1" si="21"/>
        <v>45398</v>
      </c>
      <c r="O198" s="3">
        <v>45299</v>
      </c>
    </row>
    <row r="199" spans="1:15" x14ac:dyDescent="0.3">
      <c r="A199" s="3">
        <v>45321</v>
      </c>
      <c r="B199" t="s">
        <v>19</v>
      </c>
      <c r="C199" t="s">
        <v>17</v>
      </c>
      <c r="D199" s="4" cm="1">
        <f t="array" aca="1" ref="D199" ca="1">IFERROR( _xlfn.XLOOKUP(B199, B$2:INDEX(B:B,ROW()-1), I$2:INDEX(I:I,ROW()-1), 0, 0, -1),0)</f>
        <v>3</v>
      </c>
      <c r="E199">
        <v>10</v>
      </c>
      <c r="F199">
        <f t="shared" ca="1" si="22"/>
        <v>1</v>
      </c>
      <c r="G199">
        <f t="shared" ca="1" si="23"/>
        <v>4</v>
      </c>
      <c r="H199">
        <f t="shared" ca="1" si="24"/>
        <v>1</v>
      </c>
      <c r="I199">
        <f t="shared" ca="1" si="25"/>
        <v>7</v>
      </c>
      <c r="J199">
        <v>4.5</v>
      </c>
      <c r="K199">
        <v>4</v>
      </c>
      <c r="L199">
        <v>10</v>
      </c>
      <c r="M199" s="3">
        <f t="shared" ca="1" si="21"/>
        <v>45373</v>
      </c>
      <c r="N199" s="3">
        <f t="shared" ca="1" si="21"/>
        <v>45319</v>
      </c>
      <c r="O199" s="3">
        <v>45404</v>
      </c>
    </row>
    <row r="200" spans="1:15" x14ac:dyDescent="0.3">
      <c r="A200" s="3">
        <v>45321</v>
      </c>
      <c r="B200" t="s">
        <v>72</v>
      </c>
      <c r="C200" t="s">
        <v>48</v>
      </c>
      <c r="D200" s="4" cm="1">
        <f t="array" aca="1" ref="D200" ca="1">IFERROR( _xlfn.XLOOKUP(B200, B$2:INDEX(B:B,ROW()-1), I$2:INDEX(I:I,ROW()-1), 0, 0, -1),0)</f>
        <v>2</v>
      </c>
      <c r="E200">
        <v>6</v>
      </c>
      <c r="F200">
        <f t="shared" ca="1" si="22"/>
        <v>1</v>
      </c>
      <c r="G200">
        <f t="shared" ca="1" si="23"/>
        <v>4</v>
      </c>
      <c r="H200">
        <f t="shared" ca="1" si="24"/>
        <v>2</v>
      </c>
      <c r="I200">
        <f t="shared" ca="1" si="25"/>
        <v>1</v>
      </c>
      <c r="J200">
        <v>4</v>
      </c>
      <c r="K200">
        <v>3</v>
      </c>
      <c r="L200">
        <v>7</v>
      </c>
      <c r="M200" s="3">
        <f t="shared" ca="1" si="21"/>
        <v>45298</v>
      </c>
      <c r="N200" s="3">
        <f t="shared" ca="1" si="21"/>
        <v>45299</v>
      </c>
      <c r="O200" s="3">
        <v>45414</v>
      </c>
    </row>
    <row r="201" spans="1:15" x14ac:dyDescent="0.3">
      <c r="A201" s="3">
        <v>45321</v>
      </c>
      <c r="B201" t="s">
        <v>64</v>
      </c>
      <c r="C201" t="s">
        <v>42</v>
      </c>
      <c r="D201" s="4" cm="1">
        <f t="array" aca="1" ref="D201" ca="1">IFERROR( _xlfn.XLOOKUP(B201, B$2:INDEX(B:B,ROW()-1), I$2:INDEX(I:I,ROW()-1), 0, 0, -1),0)</f>
        <v>5</v>
      </c>
      <c r="E201">
        <v>8</v>
      </c>
      <c r="F201">
        <f t="shared" ca="1" si="22"/>
        <v>5</v>
      </c>
      <c r="G201">
        <f t="shared" ca="1" si="23"/>
        <v>5</v>
      </c>
      <c r="H201">
        <f t="shared" ca="1" si="24"/>
        <v>0</v>
      </c>
      <c r="I201">
        <f t="shared" ca="1" si="25"/>
        <v>3</v>
      </c>
      <c r="J201">
        <v>3.5</v>
      </c>
      <c r="K201">
        <v>3</v>
      </c>
      <c r="L201">
        <v>8</v>
      </c>
      <c r="M201" s="3">
        <f t="shared" ca="1" si="21"/>
        <v>45334</v>
      </c>
      <c r="N201" s="3">
        <f t="shared" ca="1" si="21"/>
        <v>45357</v>
      </c>
      <c r="O201" s="3">
        <v>45363</v>
      </c>
    </row>
    <row r="202" spans="1:15" x14ac:dyDescent="0.3">
      <c r="A202" s="3">
        <v>45321</v>
      </c>
      <c r="B202" t="s">
        <v>80</v>
      </c>
      <c r="C202" t="s">
        <v>49</v>
      </c>
      <c r="D202" s="4" cm="1">
        <f t="array" aca="1" ref="D202" ca="1">IFERROR( _xlfn.XLOOKUP(B202, B$2:INDEX(B:B,ROW()-1), I$2:INDEX(I:I,ROW()-1), 0, 0, -1),0)</f>
        <v>5</v>
      </c>
      <c r="E202">
        <v>8</v>
      </c>
      <c r="F202">
        <f t="shared" ca="1" si="22"/>
        <v>2</v>
      </c>
      <c r="G202">
        <f t="shared" ca="1" si="23"/>
        <v>6</v>
      </c>
      <c r="H202">
        <f t="shared" ca="1" si="24"/>
        <v>0</v>
      </c>
      <c r="I202">
        <f t="shared" ca="1" si="25"/>
        <v>5</v>
      </c>
      <c r="J202">
        <v>2.5</v>
      </c>
      <c r="K202">
        <v>2</v>
      </c>
      <c r="L202">
        <v>5</v>
      </c>
      <c r="M202" s="3">
        <f t="shared" ref="M202:N221" ca="1" si="26">DATE(2024,1,1) + RANDBETWEEN(0, DATE(2024,5,25) - DATE(2024,1,1))</f>
        <v>45310</v>
      </c>
      <c r="N202" s="3">
        <f t="shared" ca="1" si="26"/>
        <v>45354</v>
      </c>
      <c r="O202" s="3">
        <v>45406</v>
      </c>
    </row>
    <row r="203" spans="1:15" x14ac:dyDescent="0.3">
      <c r="A203" s="3">
        <v>45321</v>
      </c>
      <c r="B203" t="s">
        <v>62</v>
      </c>
      <c r="C203" t="s">
        <v>96</v>
      </c>
      <c r="D203" s="4" cm="1">
        <f t="array" aca="1" ref="D203" ca="1">IFERROR( _xlfn.XLOOKUP(B203, B$2:INDEX(B:B,ROW()-1), I$2:INDEX(I:I,ROW()-1), 0, 0, -1),0)</f>
        <v>3</v>
      </c>
      <c r="E203">
        <v>10</v>
      </c>
      <c r="F203">
        <f t="shared" ca="1" si="22"/>
        <v>3</v>
      </c>
      <c r="G203">
        <f t="shared" ca="1" si="23"/>
        <v>1</v>
      </c>
      <c r="H203">
        <f t="shared" ca="1" si="24"/>
        <v>5</v>
      </c>
      <c r="I203">
        <f t="shared" ca="1" si="25"/>
        <v>4</v>
      </c>
      <c r="J203">
        <v>4</v>
      </c>
      <c r="K203">
        <v>3.5</v>
      </c>
      <c r="L203">
        <v>10</v>
      </c>
      <c r="M203" s="3">
        <f t="shared" ca="1" si="26"/>
        <v>45316</v>
      </c>
      <c r="N203" s="3">
        <f t="shared" ca="1" si="26"/>
        <v>45388</v>
      </c>
      <c r="O203" s="3">
        <v>45360</v>
      </c>
    </row>
    <row r="204" spans="1:15" x14ac:dyDescent="0.3">
      <c r="A204" s="3">
        <v>45321</v>
      </c>
      <c r="B204" t="s">
        <v>24</v>
      </c>
      <c r="C204" t="s">
        <v>29</v>
      </c>
      <c r="D204" s="4" cm="1">
        <f t="array" aca="1" ref="D204" ca="1">IFERROR( _xlfn.XLOOKUP(B204, B$2:INDEX(B:B,ROW()-1), I$2:INDEX(I:I,ROW()-1), 0, 0, -1),0)</f>
        <v>7</v>
      </c>
      <c r="E204">
        <v>8</v>
      </c>
      <c r="F204">
        <f t="shared" ca="1" si="22"/>
        <v>8</v>
      </c>
      <c r="G204">
        <f t="shared" ca="1" si="23"/>
        <v>3</v>
      </c>
      <c r="H204">
        <f t="shared" ca="1" si="24"/>
        <v>0</v>
      </c>
      <c r="I204">
        <f t="shared" ca="1" si="25"/>
        <v>4</v>
      </c>
      <c r="J204">
        <v>7.5</v>
      </c>
      <c r="K204">
        <v>5.5</v>
      </c>
      <c r="L204">
        <v>7</v>
      </c>
      <c r="M204" s="3">
        <f t="shared" ca="1" si="26"/>
        <v>45415</v>
      </c>
      <c r="N204" s="3">
        <f t="shared" ca="1" si="26"/>
        <v>45329</v>
      </c>
      <c r="O204" s="3">
        <v>45417</v>
      </c>
    </row>
    <row r="205" spans="1:15" x14ac:dyDescent="0.3">
      <c r="A205" s="3">
        <v>45321</v>
      </c>
      <c r="B205" t="s">
        <v>19</v>
      </c>
      <c r="C205" t="s">
        <v>17</v>
      </c>
      <c r="D205" s="4" cm="1">
        <f t="array" aca="1" ref="D205" ca="1">IFERROR( _xlfn.XLOOKUP(B205, B$2:INDEX(B:B,ROW()-1), I$2:INDEX(I:I,ROW()-1), 0, 0, -1),0)</f>
        <v>7</v>
      </c>
      <c r="E205">
        <v>10</v>
      </c>
      <c r="F205">
        <f t="shared" ca="1" si="22"/>
        <v>2</v>
      </c>
      <c r="G205">
        <f t="shared" ca="1" si="23"/>
        <v>7</v>
      </c>
      <c r="H205">
        <f t="shared" ca="1" si="24"/>
        <v>5</v>
      </c>
      <c r="I205">
        <f t="shared" ca="1" si="25"/>
        <v>3</v>
      </c>
      <c r="J205">
        <v>4.5</v>
      </c>
      <c r="K205">
        <v>4</v>
      </c>
      <c r="L205">
        <v>10</v>
      </c>
      <c r="M205" s="3">
        <f t="shared" ca="1" si="26"/>
        <v>45316</v>
      </c>
      <c r="N205" s="3">
        <f t="shared" ca="1" si="26"/>
        <v>45366</v>
      </c>
      <c r="O205" s="3">
        <v>45318</v>
      </c>
    </row>
    <row r="206" spans="1:15" x14ac:dyDescent="0.3">
      <c r="A206" s="3">
        <v>45322</v>
      </c>
      <c r="B206" t="s">
        <v>72</v>
      </c>
      <c r="C206" t="s">
        <v>48</v>
      </c>
      <c r="D206" s="4" cm="1">
        <f t="array" aca="1" ref="D206" ca="1">IFERROR( _xlfn.XLOOKUP(B206, B$2:INDEX(B:B,ROW()-1), I$2:INDEX(I:I,ROW()-1), 0, 0, -1),0)</f>
        <v>1</v>
      </c>
      <c r="E206">
        <v>6</v>
      </c>
      <c r="F206">
        <f t="shared" ca="1" si="22"/>
        <v>2</v>
      </c>
      <c r="G206">
        <f t="shared" ca="1" si="23"/>
        <v>2</v>
      </c>
      <c r="H206">
        <f t="shared" ca="1" si="24"/>
        <v>0</v>
      </c>
      <c r="I206">
        <f t="shared" ca="1" si="25"/>
        <v>3</v>
      </c>
      <c r="J206">
        <v>4</v>
      </c>
      <c r="K206">
        <v>3</v>
      </c>
      <c r="L206">
        <v>7</v>
      </c>
      <c r="M206" s="3">
        <f t="shared" ca="1" si="26"/>
        <v>45297</v>
      </c>
      <c r="N206" s="3">
        <f t="shared" ca="1" si="26"/>
        <v>45349</v>
      </c>
      <c r="O206" s="3">
        <v>45316</v>
      </c>
    </row>
    <row r="207" spans="1:15" x14ac:dyDescent="0.3">
      <c r="A207" s="3">
        <v>45322</v>
      </c>
      <c r="B207" t="s">
        <v>90</v>
      </c>
      <c r="C207" t="s">
        <v>87</v>
      </c>
      <c r="D207" s="4" cm="1">
        <f t="array" aca="1" ref="D207" ca="1">IFERROR( _xlfn.XLOOKUP(B207, B$2:INDEX(B:B,ROW()-1), I$2:INDEX(I:I,ROW()-1), 0, 0, -1),0)</f>
        <v>4</v>
      </c>
      <c r="E207">
        <v>12</v>
      </c>
      <c r="F207">
        <f t="shared" ca="1" si="22"/>
        <v>7</v>
      </c>
      <c r="G207">
        <f t="shared" ca="1" si="23"/>
        <v>2</v>
      </c>
      <c r="H207">
        <f t="shared" ca="1" si="24"/>
        <v>3</v>
      </c>
      <c r="I207">
        <f t="shared" ca="1" si="25"/>
        <v>4</v>
      </c>
      <c r="J207">
        <v>4.5</v>
      </c>
      <c r="K207">
        <v>4</v>
      </c>
      <c r="L207">
        <v>14</v>
      </c>
      <c r="M207" s="3">
        <f t="shared" ca="1" si="26"/>
        <v>45375</v>
      </c>
      <c r="N207" s="3">
        <f t="shared" ca="1" si="26"/>
        <v>45372</v>
      </c>
      <c r="O207" s="3">
        <v>45325</v>
      </c>
    </row>
    <row r="208" spans="1:15" x14ac:dyDescent="0.3">
      <c r="A208" s="3">
        <v>45322</v>
      </c>
      <c r="B208" t="s">
        <v>72</v>
      </c>
      <c r="C208" t="s">
        <v>48</v>
      </c>
      <c r="D208" s="4" cm="1">
        <f t="array" aca="1" ref="D208" ca="1">IFERROR( _xlfn.XLOOKUP(B208, B$2:INDEX(B:B,ROW()-1), I$2:INDEX(I:I,ROW()-1), 0, 0, -1),0)</f>
        <v>3</v>
      </c>
      <c r="E208">
        <v>6</v>
      </c>
      <c r="F208">
        <f t="shared" ca="1" si="22"/>
        <v>4</v>
      </c>
      <c r="G208">
        <f t="shared" ca="1" si="23"/>
        <v>3</v>
      </c>
      <c r="H208">
        <f t="shared" ca="1" si="24"/>
        <v>0</v>
      </c>
      <c r="I208">
        <f t="shared" ca="1" si="25"/>
        <v>2</v>
      </c>
      <c r="J208">
        <v>4</v>
      </c>
      <c r="K208">
        <v>3</v>
      </c>
      <c r="L208">
        <v>7</v>
      </c>
      <c r="M208" s="3">
        <f t="shared" ca="1" si="26"/>
        <v>45349</v>
      </c>
      <c r="N208" s="3">
        <f t="shared" ca="1" si="26"/>
        <v>45330</v>
      </c>
      <c r="O208" s="3">
        <v>45315</v>
      </c>
    </row>
    <row r="209" spans="1:15" x14ac:dyDescent="0.3">
      <c r="A209" s="3">
        <v>45322</v>
      </c>
      <c r="B209" t="s">
        <v>21</v>
      </c>
      <c r="C209" t="s">
        <v>27</v>
      </c>
      <c r="D209" s="4" cm="1">
        <f t="array" aca="1" ref="D209" ca="1">IFERROR( _xlfn.XLOOKUP(B209, B$2:INDEX(B:B,ROW()-1), I$2:INDEX(I:I,ROW()-1), 0, 0, -1),0)</f>
        <v>4</v>
      </c>
      <c r="E209">
        <v>8</v>
      </c>
      <c r="F209">
        <f t="shared" ca="1" si="22"/>
        <v>4</v>
      </c>
      <c r="G209">
        <f t="shared" ca="1" si="23"/>
        <v>1</v>
      </c>
      <c r="H209">
        <f t="shared" ca="1" si="24"/>
        <v>4</v>
      </c>
      <c r="I209">
        <f t="shared" ca="1" si="25"/>
        <v>3</v>
      </c>
      <c r="J209">
        <v>4</v>
      </c>
      <c r="K209">
        <v>3</v>
      </c>
      <c r="L209">
        <v>14</v>
      </c>
      <c r="M209" s="3">
        <f t="shared" ca="1" si="26"/>
        <v>45397</v>
      </c>
      <c r="N209" s="3">
        <f t="shared" ca="1" si="26"/>
        <v>45379</v>
      </c>
      <c r="O209" s="3">
        <v>45398</v>
      </c>
    </row>
    <row r="210" spans="1:15" x14ac:dyDescent="0.3">
      <c r="A210" s="3">
        <v>45322</v>
      </c>
      <c r="B210" t="s">
        <v>38</v>
      </c>
      <c r="C210" t="s">
        <v>52</v>
      </c>
      <c r="D210" s="4" cm="1">
        <f t="array" aca="1" ref="D210" ca="1">IFERROR( _xlfn.XLOOKUP(B210, B$2:INDEX(B:B,ROW()-1), I$2:INDEX(I:I,ROW()-1), 0, 0, -1),0)</f>
        <v>4</v>
      </c>
      <c r="E210">
        <v>12</v>
      </c>
      <c r="F210">
        <f t="shared" ca="1" si="22"/>
        <v>9</v>
      </c>
      <c r="G210">
        <f t="shared" ca="1" si="23"/>
        <v>1</v>
      </c>
      <c r="H210">
        <f t="shared" ca="1" si="24"/>
        <v>0</v>
      </c>
      <c r="I210">
        <f t="shared" ca="1" si="25"/>
        <v>6</v>
      </c>
      <c r="J210">
        <v>3.5</v>
      </c>
      <c r="K210">
        <v>3</v>
      </c>
      <c r="L210">
        <v>14</v>
      </c>
      <c r="M210" s="3">
        <f t="shared" ca="1" si="26"/>
        <v>45371</v>
      </c>
      <c r="N210" s="3">
        <f t="shared" ca="1" si="26"/>
        <v>45383</v>
      </c>
      <c r="O210" s="3">
        <v>45392</v>
      </c>
    </row>
    <row r="211" spans="1:15" x14ac:dyDescent="0.3">
      <c r="A211" s="3">
        <v>45322</v>
      </c>
      <c r="B211" t="s">
        <v>60</v>
      </c>
      <c r="C211" t="s">
        <v>94</v>
      </c>
      <c r="D211" s="4" cm="1">
        <f t="array" aca="1" ref="D211" ca="1">IFERROR( _xlfn.XLOOKUP(B211, B$2:INDEX(B:B,ROW()-1), I$2:INDEX(I:I,ROW()-1), 0, 0, -1),0)</f>
        <v>9</v>
      </c>
      <c r="E211">
        <v>10</v>
      </c>
      <c r="F211">
        <f t="shared" ca="1" si="22"/>
        <v>11</v>
      </c>
      <c r="G211">
        <f t="shared" ca="1" si="23"/>
        <v>5</v>
      </c>
      <c r="H211">
        <f t="shared" ca="1" si="24"/>
        <v>0</v>
      </c>
      <c r="I211">
        <f t="shared" ca="1" si="25"/>
        <v>3</v>
      </c>
      <c r="J211">
        <v>4</v>
      </c>
      <c r="K211">
        <v>3.5</v>
      </c>
      <c r="L211">
        <v>10</v>
      </c>
      <c r="M211" s="3">
        <f t="shared" ca="1" si="26"/>
        <v>45347</v>
      </c>
      <c r="N211" s="3">
        <f t="shared" ca="1" si="26"/>
        <v>45408</v>
      </c>
      <c r="O211" s="3">
        <v>45385</v>
      </c>
    </row>
    <row r="212" spans="1:15" x14ac:dyDescent="0.3">
      <c r="A212" s="3">
        <v>45323</v>
      </c>
      <c r="B212" t="s">
        <v>34</v>
      </c>
      <c r="C212" t="s">
        <v>30</v>
      </c>
      <c r="D212" s="4" cm="1">
        <f t="array" aca="1" ref="D212" ca="1">IFERROR( _xlfn.XLOOKUP(B212, B$2:INDEX(B:B,ROW()-1), I$2:INDEX(I:I,ROW()-1), 0, 0, -1),0)</f>
        <v>3</v>
      </c>
      <c r="E212">
        <v>6</v>
      </c>
      <c r="F212">
        <f t="shared" ca="1" si="22"/>
        <v>4</v>
      </c>
      <c r="G212">
        <f t="shared" ca="1" si="23"/>
        <v>3</v>
      </c>
      <c r="H212">
        <f t="shared" ca="1" si="24"/>
        <v>0</v>
      </c>
      <c r="I212">
        <f t="shared" ca="1" si="25"/>
        <v>2</v>
      </c>
      <c r="J212">
        <v>3.5</v>
      </c>
      <c r="K212">
        <v>3</v>
      </c>
      <c r="L212">
        <v>10</v>
      </c>
      <c r="M212" s="3">
        <f t="shared" ca="1" si="26"/>
        <v>45404</v>
      </c>
      <c r="N212" s="3">
        <f t="shared" ca="1" si="26"/>
        <v>45430</v>
      </c>
      <c r="O212" s="3">
        <v>45422</v>
      </c>
    </row>
    <row r="213" spans="1:15" x14ac:dyDescent="0.3">
      <c r="A213" s="3">
        <v>45323</v>
      </c>
      <c r="B213" t="s">
        <v>61</v>
      </c>
      <c r="C213" t="s">
        <v>95</v>
      </c>
      <c r="D213" s="4" cm="1">
        <f t="array" aca="1" ref="D213" ca="1">IFERROR( _xlfn.XLOOKUP(B213, B$2:INDEX(B:B,ROW()-1), I$2:INDEX(I:I,ROW()-1), 0, 0, -1),0)</f>
        <v>3</v>
      </c>
      <c r="E213">
        <v>10</v>
      </c>
      <c r="F213">
        <f t="shared" ca="1" si="22"/>
        <v>1</v>
      </c>
      <c r="G213">
        <f t="shared" ca="1" si="23"/>
        <v>1</v>
      </c>
      <c r="H213">
        <f t="shared" ca="1" si="24"/>
        <v>6</v>
      </c>
      <c r="I213">
        <f t="shared" ca="1" si="25"/>
        <v>5</v>
      </c>
      <c r="J213">
        <v>4</v>
      </c>
      <c r="K213">
        <v>3.5</v>
      </c>
      <c r="L213">
        <v>10</v>
      </c>
      <c r="M213" s="3">
        <f t="shared" ca="1" si="26"/>
        <v>45319</v>
      </c>
      <c r="N213" s="3">
        <f t="shared" ca="1" si="26"/>
        <v>45352</v>
      </c>
      <c r="O213" s="3">
        <v>45306</v>
      </c>
    </row>
    <row r="214" spans="1:15" x14ac:dyDescent="0.3">
      <c r="A214" s="3">
        <v>45323</v>
      </c>
      <c r="B214" t="s">
        <v>61</v>
      </c>
      <c r="C214" t="s">
        <v>95</v>
      </c>
      <c r="D214" s="4" cm="1">
        <f t="array" aca="1" ref="D214" ca="1">IFERROR( _xlfn.XLOOKUP(B214, B$2:INDEX(B:B,ROW()-1), I$2:INDEX(I:I,ROW()-1), 0, 0, -1),0)</f>
        <v>5</v>
      </c>
      <c r="E214">
        <v>10</v>
      </c>
      <c r="F214">
        <f t="shared" ca="1" si="22"/>
        <v>3</v>
      </c>
      <c r="G214">
        <f t="shared" ca="1" si="23"/>
        <v>4</v>
      </c>
      <c r="H214">
        <f t="shared" ca="1" si="24"/>
        <v>1</v>
      </c>
      <c r="I214">
        <f t="shared" ca="1" si="25"/>
        <v>7</v>
      </c>
      <c r="J214">
        <v>4</v>
      </c>
      <c r="K214">
        <v>3.5</v>
      </c>
      <c r="L214">
        <v>10</v>
      </c>
      <c r="M214" s="3">
        <f t="shared" ca="1" si="26"/>
        <v>45357</v>
      </c>
      <c r="N214" s="3">
        <f t="shared" ca="1" si="26"/>
        <v>45310</v>
      </c>
      <c r="O214" s="3">
        <v>45368</v>
      </c>
    </row>
    <row r="215" spans="1:15" x14ac:dyDescent="0.3">
      <c r="A215" s="3">
        <v>45323</v>
      </c>
      <c r="B215" t="s">
        <v>81</v>
      </c>
      <c r="C215" t="s">
        <v>50</v>
      </c>
      <c r="D215" s="4" cm="1">
        <f t="array" aca="1" ref="D215" ca="1">IFERROR( _xlfn.XLOOKUP(B215, B$2:INDEX(B:B,ROW()-1), I$2:INDEX(I:I,ROW()-1), 0, 0, -1),0)</f>
        <v>4</v>
      </c>
      <c r="E215">
        <v>8</v>
      </c>
      <c r="F215">
        <f t="shared" ca="1" si="22"/>
        <v>7</v>
      </c>
      <c r="G215">
        <f t="shared" ca="1" si="23"/>
        <v>1</v>
      </c>
      <c r="H215">
        <f t="shared" ca="1" si="24"/>
        <v>1</v>
      </c>
      <c r="I215">
        <f t="shared" ca="1" si="25"/>
        <v>3</v>
      </c>
      <c r="J215">
        <v>2.5</v>
      </c>
      <c r="K215">
        <v>2</v>
      </c>
      <c r="L215">
        <v>5</v>
      </c>
      <c r="M215" s="3">
        <f t="shared" ca="1" si="26"/>
        <v>45433</v>
      </c>
      <c r="N215" s="3">
        <f t="shared" ca="1" si="26"/>
        <v>45386</v>
      </c>
      <c r="O215" s="3">
        <v>45426</v>
      </c>
    </row>
    <row r="216" spans="1:15" x14ac:dyDescent="0.3">
      <c r="A216" s="3">
        <v>45324</v>
      </c>
      <c r="B216" t="s">
        <v>89</v>
      </c>
      <c r="C216" t="s">
        <v>103</v>
      </c>
      <c r="D216" s="4" cm="1">
        <f t="array" aca="1" ref="D216" ca="1">IFERROR( _xlfn.XLOOKUP(B216, B$2:INDEX(B:B,ROW()-1), I$2:INDEX(I:I,ROW()-1), 0, 0, -1),0)</f>
        <v>2</v>
      </c>
      <c r="E216">
        <v>8</v>
      </c>
      <c r="F216">
        <f t="shared" ca="1" si="22"/>
        <v>2</v>
      </c>
      <c r="G216">
        <f t="shared" ca="1" si="23"/>
        <v>4</v>
      </c>
      <c r="H216">
        <f t="shared" ca="1" si="24"/>
        <v>0</v>
      </c>
      <c r="I216">
        <f t="shared" ca="1" si="25"/>
        <v>4</v>
      </c>
      <c r="J216">
        <v>3.5</v>
      </c>
      <c r="K216">
        <v>3</v>
      </c>
      <c r="L216">
        <v>8</v>
      </c>
      <c r="M216" s="3">
        <f t="shared" ca="1" si="26"/>
        <v>45314</v>
      </c>
      <c r="N216" s="3">
        <f t="shared" ca="1" si="26"/>
        <v>45331</v>
      </c>
      <c r="O216" s="3">
        <v>45295</v>
      </c>
    </row>
    <row r="217" spans="1:15" x14ac:dyDescent="0.3">
      <c r="A217" s="3">
        <v>45324</v>
      </c>
      <c r="B217" t="s">
        <v>66</v>
      </c>
      <c r="C217" t="s">
        <v>45</v>
      </c>
      <c r="D217" s="4" cm="1">
        <f t="array" aca="1" ref="D217" ca="1">IFERROR( _xlfn.XLOOKUP(B217, B$2:INDEX(B:B,ROW()-1), I$2:INDEX(I:I,ROW()-1), 0, 0, -1),0)</f>
        <v>2</v>
      </c>
      <c r="E217">
        <v>8</v>
      </c>
      <c r="F217">
        <f t="shared" ca="1" si="22"/>
        <v>4</v>
      </c>
      <c r="G217">
        <f t="shared" ca="1" si="23"/>
        <v>3</v>
      </c>
      <c r="H217">
        <f t="shared" ca="1" si="24"/>
        <v>1</v>
      </c>
      <c r="I217">
        <f t="shared" ca="1" si="25"/>
        <v>2</v>
      </c>
      <c r="J217">
        <v>3.5</v>
      </c>
      <c r="K217">
        <v>3</v>
      </c>
      <c r="L217">
        <v>8</v>
      </c>
      <c r="M217" s="3">
        <f t="shared" ca="1" si="26"/>
        <v>45383</v>
      </c>
      <c r="N217" s="3">
        <f t="shared" ca="1" si="26"/>
        <v>45423</v>
      </c>
      <c r="O217" s="3">
        <v>45303</v>
      </c>
    </row>
    <row r="218" spans="1:15" x14ac:dyDescent="0.3">
      <c r="A218" s="3">
        <v>45324</v>
      </c>
      <c r="B218" t="s">
        <v>64</v>
      </c>
      <c r="C218" t="s">
        <v>42</v>
      </c>
      <c r="D218" s="4" cm="1">
        <f t="array" aca="1" ref="D218" ca="1">IFERROR( _xlfn.XLOOKUP(B218, B$2:INDEX(B:B,ROW()-1), I$2:INDEX(I:I,ROW()-1), 0, 0, -1),0)</f>
        <v>3</v>
      </c>
      <c r="E218">
        <v>8</v>
      </c>
      <c r="F218">
        <f t="shared" ca="1" si="22"/>
        <v>1</v>
      </c>
      <c r="G218">
        <f t="shared" ca="1" si="23"/>
        <v>0</v>
      </c>
      <c r="H218">
        <f t="shared" ca="1" si="24"/>
        <v>4</v>
      </c>
      <c r="I218">
        <f t="shared" ca="1" si="25"/>
        <v>6</v>
      </c>
      <c r="J218">
        <v>3.5</v>
      </c>
      <c r="K218">
        <v>3</v>
      </c>
      <c r="L218">
        <v>8</v>
      </c>
      <c r="M218" s="3">
        <f t="shared" ca="1" si="26"/>
        <v>45316</v>
      </c>
      <c r="N218" s="3">
        <f t="shared" ca="1" si="26"/>
        <v>45395</v>
      </c>
      <c r="O218" s="3">
        <v>45313</v>
      </c>
    </row>
    <row r="219" spans="1:15" x14ac:dyDescent="0.3">
      <c r="A219" s="3">
        <v>45324</v>
      </c>
      <c r="B219" t="s">
        <v>38</v>
      </c>
      <c r="C219" t="s">
        <v>52</v>
      </c>
      <c r="D219" s="4" cm="1">
        <f t="array" aca="1" ref="D219" ca="1">IFERROR( _xlfn.XLOOKUP(B219, B$2:INDEX(B:B,ROW()-1), I$2:INDEX(I:I,ROW()-1), 0, 0, -1),0)</f>
        <v>6</v>
      </c>
      <c r="E219">
        <v>12</v>
      </c>
      <c r="F219">
        <f t="shared" ca="1" si="22"/>
        <v>3</v>
      </c>
      <c r="G219">
        <f t="shared" ca="1" si="23"/>
        <v>0</v>
      </c>
      <c r="H219">
        <f t="shared" ca="1" si="24"/>
        <v>9</v>
      </c>
      <c r="I219">
        <f t="shared" ca="1" si="25"/>
        <v>6</v>
      </c>
      <c r="J219">
        <v>3.5</v>
      </c>
      <c r="K219">
        <v>3</v>
      </c>
      <c r="L219">
        <v>14</v>
      </c>
      <c r="M219" s="3">
        <f t="shared" ca="1" si="26"/>
        <v>45396</v>
      </c>
      <c r="N219" s="3">
        <f t="shared" ca="1" si="26"/>
        <v>45303</v>
      </c>
      <c r="O219" s="3">
        <v>45383</v>
      </c>
    </row>
    <row r="220" spans="1:15" x14ac:dyDescent="0.3">
      <c r="A220" s="3">
        <v>45324</v>
      </c>
      <c r="B220" t="s">
        <v>55</v>
      </c>
      <c r="C220" t="s">
        <v>53</v>
      </c>
      <c r="D220" s="4" cm="1">
        <f t="array" aca="1" ref="D220" ca="1">IFERROR( _xlfn.XLOOKUP(B220, B$2:INDEX(B:B,ROW()-1), I$2:INDEX(I:I,ROW()-1), 0, 0, -1),0)</f>
        <v>1</v>
      </c>
      <c r="E220">
        <v>4</v>
      </c>
      <c r="F220">
        <f t="shared" ca="1" si="22"/>
        <v>2</v>
      </c>
      <c r="G220">
        <f t="shared" ca="1" si="23"/>
        <v>1</v>
      </c>
      <c r="H220">
        <f t="shared" ca="1" si="24"/>
        <v>0</v>
      </c>
      <c r="I220">
        <f t="shared" ca="1" si="25"/>
        <v>2</v>
      </c>
      <c r="J220">
        <v>8.5</v>
      </c>
      <c r="K220">
        <v>6</v>
      </c>
      <c r="L220">
        <v>7</v>
      </c>
      <c r="M220" s="3">
        <f t="shared" ca="1" si="26"/>
        <v>45395</v>
      </c>
      <c r="N220" s="3">
        <f t="shared" ca="1" si="26"/>
        <v>45405</v>
      </c>
      <c r="O220" s="3">
        <v>45375</v>
      </c>
    </row>
    <row r="221" spans="1:15" x14ac:dyDescent="0.3">
      <c r="A221" s="3">
        <v>45324</v>
      </c>
      <c r="B221" t="s">
        <v>19</v>
      </c>
      <c r="C221" t="s">
        <v>17</v>
      </c>
      <c r="D221" s="4" cm="1">
        <f t="array" aca="1" ref="D221" ca="1">IFERROR( _xlfn.XLOOKUP(B221, B$2:INDEX(B:B,ROW()-1), I$2:INDEX(I:I,ROW()-1), 0, 0, -1),0)</f>
        <v>3</v>
      </c>
      <c r="E221">
        <v>10</v>
      </c>
      <c r="F221">
        <f t="shared" ca="1" si="22"/>
        <v>5</v>
      </c>
      <c r="G221">
        <f t="shared" ca="1" si="23"/>
        <v>2</v>
      </c>
      <c r="H221">
        <f t="shared" ca="1" si="24"/>
        <v>3</v>
      </c>
      <c r="I221">
        <f t="shared" ca="1" si="25"/>
        <v>3</v>
      </c>
      <c r="J221">
        <v>4.5</v>
      </c>
      <c r="K221">
        <v>4</v>
      </c>
      <c r="L221">
        <v>10</v>
      </c>
      <c r="M221" s="3">
        <f t="shared" ca="1" si="26"/>
        <v>45332</v>
      </c>
      <c r="N221" s="3">
        <f t="shared" ca="1" si="26"/>
        <v>45409</v>
      </c>
      <c r="O221" s="3">
        <v>45311</v>
      </c>
    </row>
    <row r="222" spans="1:15" x14ac:dyDescent="0.3">
      <c r="A222" s="3">
        <v>45324</v>
      </c>
      <c r="B222" t="s">
        <v>69</v>
      </c>
      <c r="C222" t="s">
        <v>98</v>
      </c>
      <c r="D222" s="4" cm="1">
        <f t="array" aca="1" ref="D222" ca="1">IFERROR( _xlfn.XLOOKUP(B222, B$2:INDEX(B:B,ROW()-1), I$2:INDEX(I:I,ROW()-1), 0, 0, -1),0)</f>
        <v>4</v>
      </c>
      <c r="E222">
        <v>6</v>
      </c>
      <c r="F222">
        <f t="shared" ca="1" si="22"/>
        <v>3</v>
      </c>
      <c r="G222">
        <f t="shared" ca="1" si="23"/>
        <v>2</v>
      </c>
      <c r="H222">
        <f t="shared" ca="1" si="24"/>
        <v>2</v>
      </c>
      <c r="I222">
        <f t="shared" ca="1" si="25"/>
        <v>3</v>
      </c>
      <c r="J222">
        <v>4</v>
      </c>
      <c r="K222">
        <v>3</v>
      </c>
      <c r="L222">
        <v>7</v>
      </c>
      <c r="M222" s="3">
        <f t="shared" ref="M222:N241" ca="1" si="27">DATE(2024,1,1) + RANDBETWEEN(0, DATE(2024,5,25) - DATE(2024,1,1))</f>
        <v>45327</v>
      </c>
      <c r="N222" s="3">
        <f t="shared" ca="1" si="27"/>
        <v>45375</v>
      </c>
      <c r="O222" s="3">
        <v>45368</v>
      </c>
    </row>
    <row r="223" spans="1:15" x14ac:dyDescent="0.3">
      <c r="A223" s="3">
        <v>45325</v>
      </c>
      <c r="B223" t="s">
        <v>71</v>
      </c>
      <c r="C223" t="s">
        <v>47</v>
      </c>
      <c r="D223" s="4" cm="1">
        <f t="array" aca="1" ref="D223" ca="1">IFERROR( _xlfn.XLOOKUP(B223, B$2:INDEX(B:B,ROW()-1), I$2:INDEX(I:I,ROW()-1), 0, 0, -1),0)</f>
        <v>3</v>
      </c>
      <c r="E223">
        <v>6</v>
      </c>
      <c r="F223">
        <f t="shared" ca="1" si="22"/>
        <v>0</v>
      </c>
      <c r="G223">
        <f t="shared" ca="1" si="23"/>
        <v>0</v>
      </c>
      <c r="H223">
        <f t="shared" ca="1" si="24"/>
        <v>2</v>
      </c>
      <c r="I223">
        <f t="shared" ca="1" si="25"/>
        <v>7</v>
      </c>
      <c r="J223">
        <v>4</v>
      </c>
      <c r="K223">
        <v>3</v>
      </c>
      <c r="L223">
        <v>7</v>
      </c>
      <c r="M223" s="3">
        <f t="shared" ca="1" si="27"/>
        <v>45425</v>
      </c>
      <c r="N223" s="3">
        <f t="shared" ca="1" si="27"/>
        <v>45399</v>
      </c>
      <c r="O223" s="3">
        <v>45366</v>
      </c>
    </row>
    <row r="224" spans="1:15" x14ac:dyDescent="0.3">
      <c r="A224" s="3">
        <v>45325</v>
      </c>
      <c r="B224" t="s">
        <v>68</v>
      </c>
      <c r="C224" t="s">
        <v>43</v>
      </c>
      <c r="D224" s="4" cm="1">
        <f t="array" aca="1" ref="D224" ca="1">IFERROR( _xlfn.XLOOKUP(B224, B$2:INDEX(B:B,ROW()-1), I$2:INDEX(I:I,ROW()-1), 0, 0, -1),0)</f>
        <v>4</v>
      </c>
      <c r="E224">
        <v>15</v>
      </c>
      <c r="F224">
        <f t="shared" ca="1" si="22"/>
        <v>4</v>
      </c>
      <c r="G224">
        <f t="shared" ca="1" si="23"/>
        <v>5</v>
      </c>
      <c r="H224">
        <f t="shared" ca="1" si="24"/>
        <v>2</v>
      </c>
      <c r="I224">
        <f t="shared" ca="1" si="25"/>
        <v>8</v>
      </c>
      <c r="J224">
        <v>4</v>
      </c>
      <c r="K224">
        <v>3</v>
      </c>
      <c r="L224">
        <v>14</v>
      </c>
      <c r="M224" s="3">
        <f t="shared" ca="1" si="27"/>
        <v>45341</v>
      </c>
      <c r="N224" s="3">
        <f t="shared" ca="1" si="27"/>
        <v>45353</v>
      </c>
      <c r="O224" s="3">
        <v>45395</v>
      </c>
    </row>
    <row r="225" spans="1:15" x14ac:dyDescent="0.3">
      <c r="A225" s="3">
        <v>45325</v>
      </c>
      <c r="B225" t="s">
        <v>68</v>
      </c>
      <c r="C225" t="s">
        <v>43</v>
      </c>
      <c r="D225" s="4" cm="1">
        <f t="array" aca="1" ref="D225" ca="1">IFERROR( _xlfn.XLOOKUP(B225, B$2:INDEX(B:B,ROW()-1), I$2:INDEX(I:I,ROW()-1), 0, 0, -1),0)</f>
        <v>6</v>
      </c>
      <c r="E225">
        <v>15</v>
      </c>
      <c r="F225">
        <f t="shared" ca="1" si="22"/>
        <v>0</v>
      </c>
      <c r="G225">
        <f t="shared" ca="1" si="23"/>
        <v>2</v>
      </c>
      <c r="H225">
        <f t="shared" ca="1" si="24"/>
        <v>3</v>
      </c>
      <c r="I225">
        <f t="shared" ca="1" si="25"/>
        <v>16</v>
      </c>
      <c r="J225">
        <v>4</v>
      </c>
      <c r="K225">
        <v>3</v>
      </c>
      <c r="L225">
        <v>14</v>
      </c>
      <c r="M225" s="3">
        <f t="shared" ca="1" si="27"/>
        <v>45319</v>
      </c>
      <c r="N225" s="3">
        <f t="shared" ca="1" si="27"/>
        <v>45345</v>
      </c>
      <c r="O225" s="3">
        <v>45432</v>
      </c>
    </row>
    <row r="226" spans="1:15" x14ac:dyDescent="0.3">
      <c r="A226" s="3">
        <v>45325</v>
      </c>
      <c r="B226" t="s">
        <v>62</v>
      </c>
      <c r="C226" t="s">
        <v>96</v>
      </c>
      <c r="D226" s="4" cm="1">
        <f t="array" aca="1" ref="D226" ca="1">IFERROR( _xlfn.XLOOKUP(B226, B$2:INDEX(B:B,ROW()-1), I$2:INDEX(I:I,ROW()-1), 0, 0, -1),0)</f>
        <v>4</v>
      </c>
      <c r="E226">
        <v>10</v>
      </c>
      <c r="F226">
        <f t="shared" ca="1" si="22"/>
        <v>2</v>
      </c>
      <c r="G226">
        <f t="shared" ca="1" si="23"/>
        <v>3</v>
      </c>
      <c r="H226">
        <f t="shared" ca="1" si="24"/>
        <v>1</v>
      </c>
      <c r="I226">
        <f t="shared" ca="1" si="25"/>
        <v>8</v>
      </c>
      <c r="J226">
        <v>4</v>
      </c>
      <c r="K226">
        <v>3.5</v>
      </c>
      <c r="L226">
        <v>10</v>
      </c>
      <c r="M226" s="3">
        <f t="shared" ca="1" si="27"/>
        <v>45298</v>
      </c>
      <c r="N226" s="3">
        <f t="shared" ca="1" si="27"/>
        <v>45349</v>
      </c>
      <c r="O226" s="3">
        <v>45312</v>
      </c>
    </row>
    <row r="227" spans="1:15" x14ac:dyDescent="0.3">
      <c r="A227" s="3">
        <v>45325</v>
      </c>
      <c r="B227" t="s">
        <v>79</v>
      </c>
      <c r="C227" t="s">
        <v>104</v>
      </c>
      <c r="D227" s="4" cm="1">
        <f t="array" aca="1" ref="D227" ca="1">IFERROR( _xlfn.XLOOKUP(B227, B$2:INDEX(B:B,ROW()-1), I$2:INDEX(I:I,ROW()-1), 0, 0, -1),0)</f>
        <v>4</v>
      </c>
      <c r="E227">
        <v>8</v>
      </c>
      <c r="F227">
        <f t="shared" ca="1" si="22"/>
        <v>7</v>
      </c>
      <c r="G227">
        <f t="shared" ca="1" si="23"/>
        <v>0</v>
      </c>
      <c r="H227">
        <f t="shared" ca="1" si="24"/>
        <v>2</v>
      </c>
      <c r="I227">
        <f t="shared" ca="1" si="25"/>
        <v>3</v>
      </c>
      <c r="J227">
        <v>2.5</v>
      </c>
      <c r="K227">
        <v>2</v>
      </c>
      <c r="L227">
        <v>5</v>
      </c>
      <c r="M227" s="3">
        <f t="shared" ca="1" si="27"/>
        <v>45345</v>
      </c>
      <c r="N227" s="3">
        <f t="shared" ca="1" si="27"/>
        <v>45382</v>
      </c>
      <c r="O227" s="3">
        <v>45412</v>
      </c>
    </row>
    <row r="228" spans="1:15" x14ac:dyDescent="0.3">
      <c r="A228" s="3">
        <v>45326</v>
      </c>
      <c r="B228" t="s">
        <v>82</v>
      </c>
      <c r="C228" t="s">
        <v>73</v>
      </c>
      <c r="D228" s="4" cm="1">
        <f t="array" aca="1" ref="D228" ca="1">IFERROR( _xlfn.XLOOKUP(B228, B$2:INDEX(B:B,ROW()-1), I$2:INDEX(I:I,ROW()-1), 0, 0, -1),0)</f>
        <v>16</v>
      </c>
      <c r="E228">
        <v>8</v>
      </c>
      <c r="F228">
        <f t="shared" ca="1" si="22"/>
        <v>4</v>
      </c>
      <c r="G228">
        <f t="shared" ca="1" si="23"/>
        <v>6</v>
      </c>
      <c r="H228">
        <f t="shared" ca="1" si="24"/>
        <v>1</v>
      </c>
      <c r="I228">
        <f t="shared" ca="1" si="25"/>
        <v>13</v>
      </c>
      <c r="J228">
        <v>2.5</v>
      </c>
      <c r="K228">
        <v>2</v>
      </c>
      <c r="L228">
        <v>5</v>
      </c>
      <c r="M228" s="3">
        <f t="shared" ca="1" si="27"/>
        <v>45358</v>
      </c>
      <c r="N228" s="3">
        <f t="shared" ca="1" si="27"/>
        <v>45327</v>
      </c>
      <c r="O228" s="3">
        <v>45433</v>
      </c>
    </row>
    <row r="229" spans="1:15" x14ac:dyDescent="0.3">
      <c r="A229" s="3">
        <v>45326</v>
      </c>
      <c r="B229" t="s">
        <v>41</v>
      </c>
      <c r="C229" t="s">
        <v>86</v>
      </c>
      <c r="D229" s="4" cm="1">
        <f t="array" aca="1" ref="D229" ca="1">IFERROR( _xlfn.XLOOKUP(B229, B$2:INDEX(B:B,ROW()-1), I$2:INDEX(I:I,ROW()-1), 0, 0, -1),0)</f>
        <v>3</v>
      </c>
      <c r="E229">
        <v>15</v>
      </c>
      <c r="F229">
        <f t="shared" ca="1" si="22"/>
        <v>5</v>
      </c>
      <c r="G229">
        <f t="shared" ca="1" si="23"/>
        <v>8</v>
      </c>
      <c r="H229">
        <f t="shared" ca="1" si="24"/>
        <v>3</v>
      </c>
      <c r="I229">
        <f t="shared" ca="1" si="25"/>
        <v>2</v>
      </c>
      <c r="J229">
        <v>3</v>
      </c>
      <c r="K229">
        <v>2.5</v>
      </c>
      <c r="L229">
        <v>14</v>
      </c>
      <c r="M229" s="3">
        <f t="shared" ca="1" si="27"/>
        <v>45313</v>
      </c>
      <c r="N229" s="3">
        <f t="shared" ca="1" si="27"/>
        <v>45313</v>
      </c>
      <c r="O229" s="3">
        <v>45435</v>
      </c>
    </row>
    <row r="230" spans="1:15" x14ac:dyDescent="0.3">
      <c r="A230" s="3">
        <v>45326</v>
      </c>
      <c r="B230" t="s">
        <v>39</v>
      </c>
      <c r="C230" t="s">
        <v>32</v>
      </c>
      <c r="D230" s="4" cm="1">
        <f t="array" aca="1" ref="D230" ca="1">IFERROR( _xlfn.XLOOKUP(B230, B$2:INDEX(B:B,ROW()-1), I$2:INDEX(I:I,ROW()-1), 0, 0, -1),0)</f>
        <v>6</v>
      </c>
      <c r="E230">
        <v>12</v>
      </c>
      <c r="F230">
        <f t="shared" ca="1" si="22"/>
        <v>0</v>
      </c>
      <c r="G230">
        <f t="shared" ca="1" si="23"/>
        <v>5</v>
      </c>
      <c r="H230">
        <f t="shared" ca="1" si="24"/>
        <v>5</v>
      </c>
      <c r="I230">
        <f t="shared" ca="1" si="25"/>
        <v>8</v>
      </c>
      <c r="J230">
        <v>3.5</v>
      </c>
      <c r="K230">
        <v>3</v>
      </c>
      <c r="L230">
        <v>14</v>
      </c>
      <c r="M230" s="3">
        <f t="shared" ca="1" si="27"/>
        <v>45319</v>
      </c>
      <c r="N230" s="3">
        <f t="shared" ca="1" si="27"/>
        <v>45388</v>
      </c>
      <c r="O230" s="3">
        <v>45313</v>
      </c>
    </row>
    <row r="231" spans="1:15" x14ac:dyDescent="0.3">
      <c r="A231" s="3">
        <v>45326</v>
      </c>
      <c r="B231" t="s">
        <v>83</v>
      </c>
      <c r="C231" t="s">
        <v>100</v>
      </c>
      <c r="D231" s="4" cm="1">
        <f t="array" aca="1" ref="D231" ca="1">IFERROR( _xlfn.XLOOKUP(B231, B$2:INDEX(B:B,ROW()-1), I$2:INDEX(I:I,ROW()-1), 0, 0, -1),0)</f>
        <v>3</v>
      </c>
      <c r="E231">
        <v>10</v>
      </c>
      <c r="F231">
        <f t="shared" ca="1" si="22"/>
        <v>4</v>
      </c>
      <c r="G231">
        <f t="shared" ca="1" si="23"/>
        <v>2</v>
      </c>
      <c r="H231">
        <f t="shared" ca="1" si="24"/>
        <v>2</v>
      </c>
      <c r="I231">
        <f t="shared" ca="1" si="25"/>
        <v>5</v>
      </c>
      <c r="J231">
        <v>4.5</v>
      </c>
      <c r="K231">
        <v>4</v>
      </c>
      <c r="L231">
        <v>10</v>
      </c>
      <c r="M231" s="3">
        <f t="shared" ca="1" si="27"/>
        <v>45431</v>
      </c>
      <c r="N231" s="3">
        <f t="shared" ca="1" si="27"/>
        <v>45437</v>
      </c>
      <c r="O231" s="3">
        <v>45292</v>
      </c>
    </row>
    <row r="232" spans="1:15" x14ac:dyDescent="0.3">
      <c r="A232" s="3">
        <v>45327</v>
      </c>
      <c r="B232" t="s">
        <v>84</v>
      </c>
      <c r="C232" t="s">
        <v>101</v>
      </c>
      <c r="D232" s="4" cm="1">
        <f t="array" aca="1" ref="D232" ca="1">IFERROR( _xlfn.XLOOKUP(B232, B$2:INDEX(B:B,ROW()-1), I$2:INDEX(I:I,ROW()-1), 0, 0, -1),0)</f>
        <v>5</v>
      </c>
      <c r="E232">
        <v>8</v>
      </c>
      <c r="F232">
        <f t="shared" ca="1" si="22"/>
        <v>6</v>
      </c>
      <c r="G232">
        <f t="shared" ca="1" si="23"/>
        <v>1</v>
      </c>
      <c r="H232">
        <f t="shared" ca="1" si="24"/>
        <v>2</v>
      </c>
      <c r="I232">
        <f t="shared" ca="1" si="25"/>
        <v>4</v>
      </c>
      <c r="J232">
        <v>3.5</v>
      </c>
      <c r="K232">
        <v>3</v>
      </c>
      <c r="L232">
        <v>8</v>
      </c>
      <c r="M232" s="3">
        <f t="shared" ca="1" si="27"/>
        <v>45337</v>
      </c>
      <c r="N232" s="3">
        <f t="shared" ca="1" si="27"/>
        <v>45348</v>
      </c>
      <c r="O232" s="3">
        <v>45329</v>
      </c>
    </row>
    <row r="233" spans="1:15" x14ac:dyDescent="0.3">
      <c r="A233" s="3">
        <v>45327</v>
      </c>
      <c r="B233" t="s">
        <v>60</v>
      </c>
      <c r="C233" t="s">
        <v>94</v>
      </c>
      <c r="D233" s="4" cm="1">
        <f t="array" aca="1" ref="D233" ca="1">IFERROR( _xlfn.XLOOKUP(B233, B$2:INDEX(B:B,ROW()-1), I$2:INDEX(I:I,ROW()-1), 0, 0, -1),0)</f>
        <v>3</v>
      </c>
      <c r="E233">
        <v>10</v>
      </c>
      <c r="F233">
        <f t="shared" ca="1" si="22"/>
        <v>5</v>
      </c>
      <c r="G233">
        <f t="shared" ca="1" si="23"/>
        <v>3</v>
      </c>
      <c r="H233">
        <f t="shared" ca="1" si="24"/>
        <v>0</v>
      </c>
      <c r="I233">
        <f t="shared" ca="1" si="25"/>
        <v>5</v>
      </c>
      <c r="J233">
        <v>4</v>
      </c>
      <c r="K233">
        <v>3.5</v>
      </c>
      <c r="L233">
        <v>10</v>
      </c>
      <c r="M233" s="3">
        <f t="shared" ca="1" si="27"/>
        <v>45404</v>
      </c>
      <c r="N233" s="3">
        <f t="shared" ca="1" si="27"/>
        <v>45363</v>
      </c>
      <c r="O233" s="3">
        <v>45327</v>
      </c>
    </row>
    <row r="234" spans="1:15" x14ac:dyDescent="0.3">
      <c r="A234" s="3">
        <v>45327</v>
      </c>
      <c r="B234" t="s">
        <v>35</v>
      </c>
      <c r="C234" t="s">
        <v>31</v>
      </c>
      <c r="D234" s="4" cm="1">
        <f t="array" aca="1" ref="D234" ca="1">IFERROR( _xlfn.XLOOKUP(B234, B$2:INDEX(B:B,ROW()-1), I$2:INDEX(I:I,ROW()-1), 0, 0, -1),0)</f>
        <v>1</v>
      </c>
      <c r="E234">
        <v>8</v>
      </c>
      <c r="F234">
        <f t="shared" ca="1" si="22"/>
        <v>0</v>
      </c>
      <c r="G234">
        <f t="shared" ca="1" si="23"/>
        <v>4</v>
      </c>
      <c r="H234">
        <f t="shared" ca="1" si="24"/>
        <v>3</v>
      </c>
      <c r="I234">
        <f t="shared" ca="1" si="25"/>
        <v>2</v>
      </c>
      <c r="J234">
        <v>3.5</v>
      </c>
      <c r="K234">
        <v>3</v>
      </c>
      <c r="L234">
        <v>14</v>
      </c>
      <c r="M234" s="3">
        <f t="shared" ca="1" si="27"/>
        <v>45375</v>
      </c>
      <c r="N234" s="3">
        <f t="shared" ca="1" si="27"/>
        <v>45296</v>
      </c>
      <c r="O234" s="3">
        <v>45428</v>
      </c>
    </row>
    <row r="235" spans="1:15" x14ac:dyDescent="0.3">
      <c r="A235" s="3">
        <v>45327</v>
      </c>
      <c r="B235" t="s">
        <v>24</v>
      </c>
      <c r="C235" t="s">
        <v>29</v>
      </c>
      <c r="D235" s="4" cm="1">
        <f t="array" aca="1" ref="D235" ca="1">IFERROR( _xlfn.XLOOKUP(B235, B$2:INDEX(B:B,ROW()-1), I$2:INDEX(I:I,ROW()-1), 0, 0, -1),0)</f>
        <v>4</v>
      </c>
      <c r="E235">
        <v>8</v>
      </c>
      <c r="F235">
        <f t="shared" ca="1" si="22"/>
        <v>0</v>
      </c>
      <c r="G235">
        <f t="shared" ca="1" si="23"/>
        <v>2</v>
      </c>
      <c r="H235">
        <f t="shared" ca="1" si="24"/>
        <v>3</v>
      </c>
      <c r="I235">
        <f t="shared" ca="1" si="25"/>
        <v>7</v>
      </c>
      <c r="J235">
        <v>7.5</v>
      </c>
      <c r="K235">
        <v>5.5</v>
      </c>
      <c r="L235">
        <v>7</v>
      </c>
      <c r="M235" s="3">
        <f t="shared" ca="1" si="27"/>
        <v>45377</v>
      </c>
      <c r="N235" s="3">
        <f t="shared" ca="1" si="27"/>
        <v>45302</v>
      </c>
      <c r="O235" s="3">
        <v>45404</v>
      </c>
    </row>
    <row r="236" spans="1:15" x14ac:dyDescent="0.3">
      <c r="A236" s="3">
        <v>45327</v>
      </c>
      <c r="B236" t="s">
        <v>36</v>
      </c>
      <c r="C236" t="s">
        <v>33</v>
      </c>
      <c r="D236" s="4" cm="1">
        <f t="array" aca="1" ref="D236" ca="1">IFERROR( _xlfn.XLOOKUP(B236, B$2:INDEX(B:B,ROW()-1), I$2:INDEX(I:I,ROW()-1), 0, 0, -1),0)</f>
        <v>3</v>
      </c>
      <c r="E236">
        <v>12</v>
      </c>
      <c r="F236">
        <f t="shared" ca="1" si="22"/>
        <v>8</v>
      </c>
      <c r="G236">
        <f t="shared" ca="1" si="23"/>
        <v>3</v>
      </c>
      <c r="H236">
        <f t="shared" ca="1" si="24"/>
        <v>2</v>
      </c>
      <c r="I236">
        <f t="shared" ca="1" si="25"/>
        <v>2</v>
      </c>
      <c r="J236">
        <v>3.5</v>
      </c>
      <c r="K236">
        <v>3</v>
      </c>
      <c r="L236">
        <v>14</v>
      </c>
      <c r="M236" s="3">
        <f t="shared" ca="1" si="27"/>
        <v>45361</v>
      </c>
      <c r="N236" s="3">
        <f t="shared" ca="1" si="27"/>
        <v>45356</v>
      </c>
      <c r="O236" s="3">
        <v>45381</v>
      </c>
    </row>
    <row r="237" spans="1:15" x14ac:dyDescent="0.3">
      <c r="A237" s="3">
        <v>45327</v>
      </c>
      <c r="B237" t="s">
        <v>38</v>
      </c>
      <c r="C237" t="s">
        <v>52</v>
      </c>
      <c r="D237" s="4" cm="1">
        <f t="array" aca="1" ref="D237" ca="1">IFERROR( _xlfn.XLOOKUP(B237, B$2:INDEX(B:B,ROW()-1), I$2:INDEX(I:I,ROW()-1), 0, 0, -1),0)</f>
        <v>6</v>
      </c>
      <c r="E237">
        <v>12</v>
      </c>
      <c r="F237">
        <f t="shared" ca="1" si="22"/>
        <v>6</v>
      </c>
      <c r="G237">
        <f t="shared" ca="1" si="23"/>
        <v>7</v>
      </c>
      <c r="H237">
        <f t="shared" ca="1" si="24"/>
        <v>2</v>
      </c>
      <c r="I237">
        <f t="shared" ca="1" si="25"/>
        <v>3</v>
      </c>
      <c r="J237">
        <v>3.5</v>
      </c>
      <c r="K237">
        <v>3</v>
      </c>
      <c r="L237">
        <v>14</v>
      </c>
      <c r="M237" s="3">
        <f t="shared" ca="1" si="27"/>
        <v>45436</v>
      </c>
      <c r="N237" s="3">
        <f t="shared" ca="1" si="27"/>
        <v>45340</v>
      </c>
      <c r="O237" s="3">
        <v>45421</v>
      </c>
    </row>
    <row r="238" spans="1:15" x14ac:dyDescent="0.3">
      <c r="A238" s="3">
        <v>45327</v>
      </c>
      <c r="B238" t="s">
        <v>16</v>
      </c>
      <c r="C238" t="s">
        <v>77</v>
      </c>
      <c r="D238" s="4" cm="1">
        <f t="array" aca="1" ref="D238" ca="1">IFERROR( _xlfn.XLOOKUP(B238, B$2:INDEX(B:B,ROW()-1), I$2:INDEX(I:I,ROW()-1), 0, 0, -1),0)</f>
        <v>3</v>
      </c>
      <c r="E238">
        <v>10</v>
      </c>
      <c r="F238">
        <f t="shared" ca="1" si="22"/>
        <v>2</v>
      </c>
      <c r="G238">
        <f t="shared" ca="1" si="23"/>
        <v>4</v>
      </c>
      <c r="H238">
        <f t="shared" ca="1" si="24"/>
        <v>0</v>
      </c>
      <c r="I238">
        <f t="shared" ca="1" si="25"/>
        <v>7</v>
      </c>
      <c r="J238">
        <v>5.5</v>
      </c>
      <c r="K238">
        <v>4.5</v>
      </c>
      <c r="L238">
        <v>7</v>
      </c>
      <c r="M238" s="3">
        <f t="shared" ca="1" si="27"/>
        <v>45428</v>
      </c>
      <c r="N238" s="3">
        <f t="shared" ca="1" si="27"/>
        <v>45414</v>
      </c>
      <c r="O238" s="3">
        <v>45318</v>
      </c>
    </row>
    <row r="239" spans="1:15" x14ac:dyDescent="0.3">
      <c r="A239" s="3">
        <v>45327</v>
      </c>
      <c r="B239" t="s">
        <v>41</v>
      </c>
      <c r="C239" t="s">
        <v>86</v>
      </c>
      <c r="D239" s="4" cm="1">
        <f t="array" aca="1" ref="D239" ca="1">IFERROR( _xlfn.XLOOKUP(B239, B$2:INDEX(B:B,ROW()-1), I$2:INDEX(I:I,ROW()-1), 0, 0, -1),0)</f>
        <v>2</v>
      </c>
      <c r="E239">
        <v>15</v>
      </c>
      <c r="F239">
        <f t="shared" ca="1" si="22"/>
        <v>7</v>
      </c>
      <c r="G239">
        <f t="shared" ca="1" si="23"/>
        <v>5</v>
      </c>
      <c r="H239">
        <f t="shared" ca="1" si="24"/>
        <v>0</v>
      </c>
      <c r="I239">
        <f t="shared" ca="1" si="25"/>
        <v>5</v>
      </c>
      <c r="J239">
        <v>3</v>
      </c>
      <c r="K239">
        <v>2.5</v>
      </c>
      <c r="L239">
        <v>14</v>
      </c>
      <c r="M239" s="3">
        <f t="shared" ca="1" si="27"/>
        <v>45404</v>
      </c>
      <c r="N239" s="3">
        <f t="shared" ca="1" si="27"/>
        <v>45319</v>
      </c>
      <c r="O239" s="3">
        <v>45351</v>
      </c>
    </row>
    <row r="240" spans="1:15" x14ac:dyDescent="0.3">
      <c r="A240" s="3">
        <v>45327</v>
      </c>
      <c r="B240" t="s">
        <v>83</v>
      </c>
      <c r="C240" t="s">
        <v>100</v>
      </c>
      <c r="D240" s="4" cm="1">
        <f t="array" aca="1" ref="D240" ca="1">IFERROR( _xlfn.XLOOKUP(B240, B$2:INDEX(B:B,ROW()-1), I$2:INDEX(I:I,ROW()-1), 0, 0, -1),0)</f>
        <v>5</v>
      </c>
      <c r="E240">
        <v>10</v>
      </c>
      <c r="F240">
        <f t="shared" ca="1" si="22"/>
        <v>3</v>
      </c>
      <c r="G240">
        <f t="shared" ca="1" si="23"/>
        <v>2</v>
      </c>
      <c r="H240">
        <f t="shared" ca="1" si="24"/>
        <v>3</v>
      </c>
      <c r="I240">
        <f t="shared" ca="1" si="25"/>
        <v>7</v>
      </c>
      <c r="J240">
        <v>4.5</v>
      </c>
      <c r="K240">
        <v>4</v>
      </c>
      <c r="L240">
        <v>10</v>
      </c>
      <c r="M240" s="3">
        <f t="shared" ca="1" si="27"/>
        <v>45433</v>
      </c>
      <c r="N240" s="3">
        <f t="shared" ca="1" si="27"/>
        <v>45371</v>
      </c>
      <c r="O240" s="3">
        <v>45319</v>
      </c>
    </row>
    <row r="241" spans="1:15" x14ac:dyDescent="0.3">
      <c r="A241" s="3">
        <v>45328</v>
      </c>
      <c r="B241" t="s">
        <v>90</v>
      </c>
      <c r="C241" t="s">
        <v>87</v>
      </c>
      <c r="D241" s="4" cm="1">
        <f t="array" aca="1" ref="D241" ca="1">IFERROR( _xlfn.XLOOKUP(B241, B$2:INDEX(B:B,ROW()-1), I$2:INDEX(I:I,ROW()-1), 0, 0, -1),0)</f>
        <v>4</v>
      </c>
      <c r="E241">
        <v>12</v>
      </c>
      <c r="F241">
        <f t="shared" ca="1" si="22"/>
        <v>6</v>
      </c>
      <c r="G241">
        <f t="shared" ca="1" si="23"/>
        <v>2</v>
      </c>
      <c r="H241">
        <f t="shared" ca="1" si="24"/>
        <v>5</v>
      </c>
      <c r="I241">
        <f t="shared" ca="1" si="25"/>
        <v>3</v>
      </c>
      <c r="J241">
        <v>4.5</v>
      </c>
      <c r="K241">
        <v>4</v>
      </c>
      <c r="L241">
        <v>14</v>
      </c>
      <c r="M241" s="3">
        <f t="shared" ca="1" si="27"/>
        <v>45311</v>
      </c>
      <c r="N241" s="3">
        <f t="shared" ca="1" si="27"/>
        <v>45382</v>
      </c>
      <c r="O241" s="3">
        <v>45329</v>
      </c>
    </row>
    <row r="242" spans="1:15" x14ac:dyDescent="0.3">
      <c r="A242" s="3">
        <v>45328</v>
      </c>
      <c r="B242" t="s">
        <v>78</v>
      </c>
      <c r="C242" t="s">
        <v>74</v>
      </c>
      <c r="D242" s="4" cm="1">
        <f t="array" aca="1" ref="D242" ca="1">IFERROR( _xlfn.XLOOKUP(B242, B$2:INDEX(B:B,ROW()-1), I$2:INDEX(I:I,ROW()-1), 0, 0, -1),0)</f>
        <v>2</v>
      </c>
      <c r="E242">
        <v>6</v>
      </c>
      <c r="F242">
        <f t="shared" ca="1" si="22"/>
        <v>5</v>
      </c>
      <c r="G242">
        <f t="shared" ca="1" si="23"/>
        <v>0</v>
      </c>
      <c r="H242">
        <f t="shared" ca="1" si="24"/>
        <v>0</v>
      </c>
      <c r="I242">
        <f t="shared" ca="1" si="25"/>
        <v>3</v>
      </c>
      <c r="J242">
        <v>4</v>
      </c>
      <c r="K242">
        <v>3</v>
      </c>
      <c r="L242">
        <v>7</v>
      </c>
      <c r="M242" s="3">
        <f t="shared" ref="M242:N261" ca="1" si="28">DATE(2024,1,1) + RANDBETWEEN(0, DATE(2024,5,25) - DATE(2024,1,1))</f>
        <v>45378</v>
      </c>
      <c r="N242" s="3">
        <f t="shared" ca="1" si="28"/>
        <v>45317</v>
      </c>
      <c r="O242" s="3">
        <v>45335</v>
      </c>
    </row>
    <row r="243" spans="1:15" x14ac:dyDescent="0.3">
      <c r="A243" s="3">
        <v>45328</v>
      </c>
      <c r="B243" t="s">
        <v>16</v>
      </c>
      <c r="C243" t="s">
        <v>77</v>
      </c>
      <c r="D243" s="4" cm="1">
        <f t="array" aca="1" ref="D243" ca="1">IFERROR( _xlfn.XLOOKUP(B243, B$2:INDEX(B:B,ROW()-1), I$2:INDEX(I:I,ROW()-1), 0, 0, -1),0)</f>
        <v>7</v>
      </c>
      <c r="E243">
        <v>10</v>
      </c>
      <c r="F243">
        <f t="shared" ca="1" si="22"/>
        <v>4</v>
      </c>
      <c r="G243">
        <f t="shared" ca="1" si="23"/>
        <v>4</v>
      </c>
      <c r="H243">
        <f t="shared" ca="1" si="24"/>
        <v>2</v>
      </c>
      <c r="I243">
        <f t="shared" ca="1" si="25"/>
        <v>7</v>
      </c>
      <c r="J243">
        <v>5.5</v>
      </c>
      <c r="K243">
        <v>4.5</v>
      </c>
      <c r="L243">
        <v>7</v>
      </c>
      <c r="M243" s="3">
        <f t="shared" ca="1" si="28"/>
        <v>45320</v>
      </c>
      <c r="N243" s="3">
        <f t="shared" ca="1" si="28"/>
        <v>45335</v>
      </c>
      <c r="O243" s="3">
        <v>45294</v>
      </c>
    </row>
    <row r="244" spans="1:15" x14ac:dyDescent="0.3">
      <c r="A244" s="3">
        <v>45328</v>
      </c>
      <c r="B244" t="s">
        <v>70</v>
      </c>
      <c r="C244" t="s">
        <v>99</v>
      </c>
      <c r="D244" s="4" cm="1">
        <f t="array" aca="1" ref="D244" ca="1">IFERROR( _xlfn.XLOOKUP(B244, B$2:INDEX(B:B,ROW()-1), I$2:INDEX(I:I,ROW()-1), 0, 0, -1),0)</f>
        <v>2</v>
      </c>
      <c r="E244">
        <v>6</v>
      </c>
      <c r="F244">
        <f t="shared" ca="1" si="22"/>
        <v>5</v>
      </c>
      <c r="G244">
        <f t="shared" ca="1" si="23"/>
        <v>2</v>
      </c>
      <c r="H244">
        <f t="shared" ca="1" si="24"/>
        <v>0</v>
      </c>
      <c r="I244">
        <f t="shared" ca="1" si="25"/>
        <v>1</v>
      </c>
      <c r="J244">
        <v>4</v>
      </c>
      <c r="K244">
        <v>3</v>
      </c>
      <c r="L244">
        <v>7</v>
      </c>
      <c r="M244" s="3">
        <f t="shared" ca="1" si="28"/>
        <v>45308</v>
      </c>
      <c r="N244" s="3">
        <f t="shared" ca="1" si="28"/>
        <v>45302</v>
      </c>
      <c r="O244" s="3">
        <v>45341</v>
      </c>
    </row>
    <row r="245" spans="1:15" x14ac:dyDescent="0.3">
      <c r="A245" s="3">
        <v>45328</v>
      </c>
      <c r="B245" t="s">
        <v>38</v>
      </c>
      <c r="C245" t="s">
        <v>52</v>
      </c>
      <c r="D245" s="4" cm="1">
        <f t="array" aca="1" ref="D245" ca="1">IFERROR( _xlfn.XLOOKUP(B245, B$2:INDEX(B:B,ROW()-1), I$2:INDEX(I:I,ROW()-1), 0, 0, -1),0)</f>
        <v>3</v>
      </c>
      <c r="E245">
        <v>12</v>
      </c>
      <c r="F245">
        <f t="shared" ca="1" si="22"/>
        <v>1</v>
      </c>
      <c r="G245">
        <f t="shared" ca="1" si="23"/>
        <v>2</v>
      </c>
      <c r="H245">
        <f t="shared" ca="1" si="24"/>
        <v>7</v>
      </c>
      <c r="I245">
        <f t="shared" ca="1" si="25"/>
        <v>5</v>
      </c>
      <c r="J245">
        <v>3.5</v>
      </c>
      <c r="K245">
        <v>3</v>
      </c>
      <c r="L245">
        <v>14</v>
      </c>
      <c r="M245" s="3">
        <f t="shared" ca="1" si="28"/>
        <v>45306</v>
      </c>
      <c r="N245" s="3">
        <f t="shared" ca="1" si="28"/>
        <v>45392</v>
      </c>
      <c r="O245" s="3">
        <v>45304</v>
      </c>
    </row>
    <row r="246" spans="1:15" x14ac:dyDescent="0.3">
      <c r="A246" s="3">
        <v>45328</v>
      </c>
      <c r="B246" t="s">
        <v>59</v>
      </c>
      <c r="C246" t="s">
        <v>93</v>
      </c>
      <c r="D246" s="4" cm="1">
        <f t="array" aca="1" ref="D246" ca="1">IFERROR( _xlfn.XLOOKUP(B246, B$2:INDEX(B:B,ROW()-1), I$2:INDEX(I:I,ROW()-1), 0, 0, -1),0)</f>
        <v>5</v>
      </c>
      <c r="E246">
        <v>10</v>
      </c>
      <c r="F246">
        <f t="shared" ca="1" si="22"/>
        <v>1</v>
      </c>
      <c r="G246">
        <f t="shared" ca="1" si="23"/>
        <v>3</v>
      </c>
      <c r="H246">
        <f t="shared" ca="1" si="24"/>
        <v>7</v>
      </c>
      <c r="I246">
        <f t="shared" ca="1" si="25"/>
        <v>4</v>
      </c>
      <c r="J246">
        <v>4</v>
      </c>
      <c r="K246">
        <v>3.5</v>
      </c>
      <c r="L246">
        <v>10</v>
      </c>
      <c r="M246" s="3">
        <f t="shared" ca="1" si="28"/>
        <v>45412</v>
      </c>
      <c r="N246" s="3">
        <f t="shared" ca="1" si="28"/>
        <v>45356</v>
      </c>
      <c r="O246" s="3">
        <v>45414</v>
      </c>
    </row>
    <row r="247" spans="1:15" x14ac:dyDescent="0.3">
      <c r="A247" s="3">
        <v>45328</v>
      </c>
      <c r="B247" t="s">
        <v>36</v>
      </c>
      <c r="C247" t="s">
        <v>33</v>
      </c>
      <c r="D247" s="4" cm="1">
        <f t="array" aca="1" ref="D247" ca="1">IFERROR( _xlfn.XLOOKUP(B247, B$2:INDEX(B:B,ROW()-1), I$2:INDEX(I:I,ROW()-1), 0, 0, -1),0)</f>
        <v>2</v>
      </c>
      <c r="E247">
        <v>12</v>
      </c>
      <c r="F247">
        <f t="shared" ca="1" si="22"/>
        <v>7</v>
      </c>
      <c r="G247">
        <f t="shared" ca="1" si="23"/>
        <v>2</v>
      </c>
      <c r="H247">
        <f t="shared" ca="1" si="24"/>
        <v>0</v>
      </c>
      <c r="I247">
        <f t="shared" ca="1" si="25"/>
        <v>5</v>
      </c>
      <c r="J247">
        <v>3.5</v>
      </c>
      <c r="K247">
        <v>3</v>
      </c>
      <c r="L247">
        <v>14</v>
      </c>
      <c r="M247" s="3">
        <f t="shared" ca="1" si="28"/>
        <v>45395</v>
      </c>
      <c r="N247" s="3">
        <f t="shared" ca="1" si="28"/>
        <v>45299</v>
      </c>
      <c r="O247" s="3">
        <v>45409</v>
      </c>
    </row>
    <row r="248" spans="1:15" x14ac:dyDescent="0.3">
      <c r="A248" s="3">
        <v>45328</v>
      </c>
      <c r="B248" t="s">
        <v>81</v>
      </c>
      <c r="C248" t="s">
        <v>50</v>
      </c>
      <c r="D248" s="4" cm="1">
        <f t="array" aca="1" ref="D248" ca="1">IFERROR( _xlfn.XLOOKUP(B248, B$2:INDEX(B:B,ROW()-1), I$2:INDEX(I:I,ROW()-1), 0, 0, -1),0)</f>
        <v>3</v>
      </c>
      <c r="E248">
        <v>8</v>
      </c>
      <c r="F248">
        <f t="shared" ca="1" si="22"/>
        <v>3</v>
      </c>
      <c r="G248">
        <f t="shared" ca="1" si="23"/>
        <v>4</v>
      </c>
      <c r="H248">
        <f t="shared" ca="1" si="24"/>
        <v>2</v>
      </c>
      <c r="I248">
        <f t="shared" ca="1" si="25"/>
        <v>2</v>
      </c>
      <c r="J248">
        <v>2.5</v>
      </c>
      <c r="K248">
        <v>2</v>
      </c>
      <c r="L248">
        <v>5</v>
      </c>
      <c r="M248" s="3">
        <f t="shared" ca="1" si="28"/>
        <v>45429</v>
      </c>
      <c r="N248" s="3">
        <f t="shared" ca="1" si="28"/>
        <v>45382</v>
      </c>
      <c r="O248" s="3">
        <v>45425</v>
      </c>
    </row>
    <row r="249" spans="1:15" x14ac:dyDescent="0.3">
      <c r="A249" s="3">
        <v>45328</v>
      </c>
      <c r="B249" t="s">
        <v>81</v>
      </c>
      <c r="C249" t="s">
        <v>50</v>
      </c>
      <c r="D249" s="4" cm="1">
        <f t="array" aca="1" ref="D249" ca="1">IFERROR( _xlfn.XLOOKUP(B249, B$2:INDEX(B:B,ROW()-1), I$2:INDEX(I:I,ROW()-1), 0, 0, -1),0)</f>
        <v>2</v>
      </c>
      <c r="E249">
        <v>8</v>
      </c>
      <c r="F249">
        <f t="shared" ca="1" si="22"/>
        <v>5</v>
      </c>
      <c r="G249">
        <f t="shared" ca="1" si="23"/>
        <v>3</v>
      </c>
      <c r="H249">
        <f t="shared" ca="1" si="24"/>
        <v>0</v>
      </c>
      <c r="I249">
        <f t="shared" ca="1" si="25"/>
        <v>2</v>
      </c>
      <c r="J249">
        <v>2.5</v>
      </c>
      <c r="K249">
        <v>2</v>
      </c>
      <c r="L249">
        <v>5</v>
      </c>
      <c r="M249" s="3">
        <f t="shared" ca="1" si="28"/>
        <v>45293</v>
      </c>
      <c r="N249" s="3">
        <f t="shared" ca="1" si="28"/>
        <v>45351</v>
      </c>
      <c r="O249" s="3">
        <v>45346</v>
      </c>
    </row>
    <row r="250" spans="1:15" x14ac:dyDescent="0.3">
      <c r="A250" s="3">
        <v>45329</v>
      </c>
      <c r="B250" t="s">
        <v>34</v>
      </c>
      <c r="C250" t="s">
        <v>30</v>
      </c>
      <c r="D250" s="4" cm="1">
        <f t="array" aca="1" ref="D250" ca="1">IFERROR( _xlfn.XLOOKUP(B250, B$2:INDEX(B:B,ROW()-1), I$2:INDEX(I:I,ROW()-1), 0, 0, -1),0)</f>
        <v>2</v>
      </c>
      <c r="E250">
        <v>6</v>
      </c>
      <c r="F250">
        <f t="shared" ca="1" si="22"/>
        <v>1</v>
      </c>
      <c r="G250">
        <f t="shared" ca="1" si="23"/>
        <v>1</v>
      </c>
      <c r="H250">
        <f t="shared" ca="1" si="24"/>
        <v>3</v>
      </c>
      <c r="I250">
        <f t="shared" ca="1" si="25"/>
        <v>3</v>
      </c>
      <c r="J250">
        <v>3.5</v>
      </c>
      <c r="K250">
        <v>3</v>
      </c>
      <c r="L250">
        <v>10</v>
      </c>
      <c r="M250" s="3">
        <f t="shared" ca="1" si="28"/>
        <v>45405</v>
      </c>
      <c r="N250" s="3">
        <f t="shared" ca="1" si="28"/>
        <v>45356</v>
      </c>
      <c r="O250" s="3">
        <v>45364</v>
      </c>
    </row>
    <row r="251" spans="1:15" x14ac:dyDescent="0.3">
      <c r="A251" s="3">
        <v>45329</v>
      </c>
      <c r="B251" t="s">
        <v>55</v>
      </c>
      <c r="C251" t="s">
        <v>53</v>
      </c>
      <c r="D251" s="4" cm="1">
        <f t="array" aca="1" ref="D251" ca="1">IFERROR( _xlfn.XLOOKUP(B251, B$2:INDEX(B:B,ROW()-1), I$2:INDEX(I:I,ROW()-1), 0, 0, -1),0)</f>
        <v>2</v>
      </c>
      <c r="E251">
        <v>4</v>
      </c>
      <c r="F251">
        <f t="shared" ca="1" si="22"/>
        <v>2</v>
      </c>
      <c r="G251">
        <f t="shared" ca="1" si="23"/>
        <v>1</v>
      </c>
      <c r="H251">
        <f t="shared" ca="1" si="24"/>
        <v>0</v>
      </c>
      <c r="I251">
        <f t="shared" ca="1" si="25"/>
        <v>3</v>
      </c>
      <c r="J251">
        <v>8.5</v>
      </c>
      <c r="K251">
        <v>6</v>
      </c>
      <c r="L251">
        <v>7</v>
      </c>
      <c r="M251" s="3">
        <f t="shared" ca="1" si="28"/>
        <v>45308</v>
      </c>
      <c r="N251" s="3">
        <f t="shared" ca="1" si="28"/>
        <v>45333</v>
      </c>
      <c r="O251" s="3">
        <v>45325</v>
      </c>
    </row>
    <row r="252" spans="1:15" x14ac:dyDescent="0.3">
      <c r="A252" s="3">
        <v>45329</v>
      </c>
      <c r="B252" t="s">
        <v>22</v>
      </c>
      <c r="C252" t="s">
        <v>26</v>
      </c>
      <c r="D252" s="4" cm="1">
        <f t="array" aca="1" ref="D252" ca="1">IFERROR( _xlfn.XLOOKUP(B252, B$2:INDEX(B:B,ROW()-1), I$2:INDEX(I:I,ROW()-1), 0, 0, -1),0)</f>
        <v>5</v>
      </c>
      <c r="E252">
        <v>12</v>
      </c>
      <c r="F252">
        <f t="shared" ca="1" si="22"/>
        <v>0</v>
      </c>
      <c r="G252">
        <f t="shared" ca="1" si="23"/>
        <v>3</v>
      </c>
      <c r="H252">
        <f t="shared" ca="1" si="24"/>
        <v>1</v>
      </c>
      <c r="I252">
        <f t="shared" ca="1" si="25"/>
        <v>13</v>
      </c>
      <c r="J252">
        <v>3.5</v>
      </c>
      <c r="K252">
        <v>3</v>
      </c>
      <c r="L252">
        <v>14</v>
      </c>
      <c r="M252" s="3">
        <f t="shared" ca="1" si="28"/>
        <v>45418</v>
      </c>
      <c r="N252" s="3">
        <f t="shared" ca="1" si="28"/>
        <v>45326</v>
      </c>
      <c r="O252" s="3">
        <v>45397</v>
      </c>
    </row>
    <row r="253" spans="1:15" x14ac:dyDescent="0.3">
      <c r="A253" s="3">
        <v>45329</v>
      </c>
      <c r="B253" t="s">
        <v>88</v>
      </c>
      <c r="C253" t="s">
        <v>102</v>
      </c>
      <c r="D253" s="4" cm="1">
        <f t="array" aca="1" ref="D253" ca="1">IFERROR( _xlfn.XLOOKUP(B253, B$2:INDEX(B:B,ROW()-1), I$2:INDEX(I:I,ROW()-1), 0, 0, -1),0)</f>
        <v>4</v>
      </c>
      <c r="E253">
        <v>8</v>
      </c>
      <c r="F253">
        <f t="shared" ca="1" si="22"/>
        <v>4</v>
      </c>
      <c r="G253">
        <f t="shared" ca="1" si="23"/>
        <v>3</v>
      </c>
      <c r="H253">
        <f t="shared" ca="1" si="24"/>
        <v>0</v>
      </c>
      <c r="I253">
        <f t="shared" ca="1" si="25"/>
        <v>5</v>
      </c>
      <c r="J253">
        <v>3.5</v>
      </c>
      <c r="K253">
        <v>3</v>
      </c>
      <c r="L253">
        <v>8</v>
      </c>
      <c r="M253" s="3">
        <f t="shared" ca="1" si="28"/>
        <v>45380</v>
      </c>
      <c r="N253" s="3">
        <f t="shared" ca="1" si="28"/>
        <v>45370</v>
      </c>
      <c r="O253" s="3">
        <v>45339</v>
      </c>
    </row>
    <row r="254" spans="1:15" x14ac:dyDescent="0.3">
      <c r="A254" s="3">
        <v>45329</v>
      </c>
      <c r="B254" t="s">
        <v>62</v>
      </c>
      <c r="C254" t="s">
        <v>96</v>
      </c>
      <c r="D254" s="4" cm="1">
        <f t="array" aca="1" ref="D254" ca="1">IFERROR( _xlfn.XLOOKUP(B254, B$2:INDEX(B:B,ROW()-1), I$2:INDEX(I:I,ROW()-1), 0, 0, -1),0)</f>
        <v>8</v>
      </c>
      <c r="E254">
        <v>10</v>
      </c>
      <c r="F254">
        <f t="shared" ca="1" si="22"/>
        <v>8</v>
      </c>
      <c r="G254">
        <f t="shared" ca="1" si="23"/>
        <v>0</v>
      </c>
      <c r="H254">
        <f t="shared" ca="1" si="24"/>
        <v>1</v>
      </c>
      <c r="I254">
        <f t="shared" ca="1" si="25"/>
        <v>9</v>
      </c>
      <c r="J254">
        <v>4</v>
      </c>
      <c r="K254">
        <v>3.5</v>
      </c>
      <c r="L254">
        <v>10</v>
      </c>
      <c r="M254" s="3">
        <f t="shared" ca="1" si="28"/>
        <v>45345</v>
      </c>
      <c r="N254" s="3">
        <f t="shared" ca="1" si="28"/>
        <v>45309</v>
      </c>
      <c r="O254" s="3">
        <v>45321</v>
      </c>
    </row>
    <row r="255" spans="1:15" x14ac:dyDescent="0.3">
      <c r="A255" s="3">
        <v>45329</v>
      </c>
      <c r="B255" t="s">
        <v>22</v>
      </c>
      <c r="C255" t="s">
        <v>26</v>
      </c>
      <c r="D255" s="4" cm="1">
        <f t="array" aca="1" ref="D255" ca="1">IFERROR( _xlfn.XLOOKUP(B255, B$2:INDEX(B:B,ROW()-1), I$2:INDEX(I:I,ROW()-1), 0, 0, -1),0)</f>
        <v>13</v>
      </c>
      <c r="E255">
        <v>12</v>
      </c>
      <c r="F255">
        <f t="shared" ca="1" si="22"/>
        <v>12</v>
      </c>
      <c r="G255">
        <f t="shared" ca="1" si="23"/>
        <v>1</v>
      </c>
      <c r="H255">
        <f t="shared" ca="1" si="24"/>
        <v>3</v>
      </c>
      <c r="I255">
        <f t="shared" ca="1" si="25"/>
        <v>9</v>
      </c>
      <c r="J255">
        <v>3.5</v>
      </c>
      <c r="K255">
        <v>3</v>
      </c>
      <c r="L255">
        <v>14</v>
      </c>
      <c r="M255" s="3">
        <f t="shared" ca="1" si="28"/>
        <v>45433</v>
      </c>
      <c r="N255" s="3">
        <f t="shared" ca="1" si="28"/>
        <v>45407</v>
      </c>
      <c r="O255" s="3">
        <v>45303</v>
      </c>
    </row>
    <row r="256" spans="1:15" x14ac:dyDescent="0.3">
      <c r="A256" s="3">
        <v>45329</v>
      </c>
      <c r="B256" t="s">
        <v>68</v>
      </c>
      <c r="C256" t="s">
        <v>43</v>
      </c>
      <c r="D256" s="4" cm="1">
        <f t="array" aca="1" ref="D256" ca="1">IFERROR( _xlfn.XLOOKUP(B256, B$2:INDEX(B:B,ROW()-1), I$2:INDEX(I:I,ROW()-1), 0, 0, -1),0)</f>
        <v>6</v>
      </c>
      <c r="E256">
        <v>15</v>
      </c>
      <c r="F256">
        <f t="shared" ca="1" si="22"/>
        <v>1</v>
      </c>
      <c r="G256">
        <f t="shared" ca="1" si="23"/>
        <v>2</v>
      </c>
      <c r="H256">
        <f t="shared" ca="1" si="24"/>
        <v>3</v>
      </c>
      <c r="I256">
        <f t="shared" ca="1" si="25"/>
        <v>15</v>
      </c>
      <c r="J256">
        <v>4</v>
      </c>
      <c r="K256">
        <v>3</v>
      </c>
      <c r="L256">
        <v>14</v>
      </c>
      <c r="M256" s="3">
        <f t="shared" ca="1" si="28"/>
        <v>45313</v>
      </c>
      <c r="N256" s="3">
        <f t="shared" ca="1" si="28"/>
        <v>45376</v>
      </c>
      <c r="O256" s="3">
        <v>45381</v>
      </c>
    </row>
    <row r="257" spans="1:15" x14ac:dyDescent="0.3">
      <c r="A257" s="3">
        <v>45330</v>
      </c>
      <c r="B257" t="s">
        <v>57</v>
      </c>
      <c r="C257" t="s">
        <v>75</v>
      </c>
      <c r="D257" s="4" cm="1">
        <f t="array" aca="1" ref="D257" ca="1">IFERROR( _xlfn.XLOOKUP(B257, B$2:INDEX(B:B,ROW()-1), I$2:INDEX(I:I,ROW()-1), 0, 0, -1),0)</f>
        <v>5</v>
      </c>
      <c r="E257">
        <v>8</v>
      </c>
      <c r="F257">
        <f t="shared" ca="1" si="22"/>
        <v>1</v>
      </c>
      <c r="G257">
        <f t="shared" ca="1" si="23"/>
        <v>7</v>
      </c>
      <c r="H257">
        <f t="shared" ca="1" si="24"/>
        <v>0</v>
      </c>
      <c r="I257">
        <f t="shared" ca="1" si="25"/>
        <v>5</v>
      </c>
      <c r="J257">
        <v>6</v>
      </c>
      <c r="K257">
        <v>5.5</v>
      </c>
      <c r="L257">
        <v>20</v>
      </c>
      <c r="M257" s="3">
        <f t="shared" ca="1" si="28"/>
        <v>45341</v>
      </c>
      <c r="N257" s="3">
        <f t="shared" ca="1" si="28"/>
        <v>45322</v>
      </c>
      <c r="O257" s="3">
        <v>45436</v>
      </c>
    </row>
    <row r="258" spans="1:15" x14ac:dyDescent="0.3">
      <c r="A258" s="3">
        <v>45330</v>
      </c>
      <c r="B258" t="s">
        <v>21</v>
      </c>
      <c r="C258" t="s">
        <v>27</v>
      </c>
      <c r="D258" s="4" cm="1">
        <f t="array" aca="1" ref="D258" ca="1">IFERROR( _xlfn.XLOOKUP(B258, B$2:INDEX(B:B,ROW()-1), I$2:INDEX(I:I,ROW()-1), 0, 0, -1),0)</f>
        <v>3</v>
      </c>
      <c r="E258">
        <v>8</v>
      </c>
      <c r="F258">
        <f t="shared" ref="F258:F321" ca="1" si="29">RANDBETWEEN(0, ROUND((D258+E258)*0.6,0))</f>
        <v>5</v>
      </c>
      <c r="G258">
        <f t="shared" ref="G258:G321" ca="1" si="30">RANDBETWEEN(0,ROUND((D258+E258-F258)*0.6,0))</f>
        <v>0</v>
      </c>
      <c r="H258">
        <f t="shared" ref="H258:H321" ca="1" si="31">RANDBETWEEN(0,ROUND((D258+E258-F258-G258)*0.6,0))</f>
        <v>0</v>
      </c>
      <c r="I258">
        <f t="shared" ref="I258:I321" ca="1" si="32">D258+E258-F258-G258-H258</f>
        <v>6</v>
      </c>
      <c r="J258">
        <v>4</v>
      </c>
      <c r="K258">
        <v>3</v>
      </c>
      <c r="L258">
        <v>14</v>
      </c>
      <c r="M258" s="3">
        <f t="shared" ca="1" si="28"/>
        <v>45340</v>
      </c>
      <c r="N258" s="3">
        <f t="shared" ca="1" si="28"/>
        <v>45305</v>
      </c>
      <c r="O258" s="3">
        <v>45295</v>
      </c>
    </row>
    <row r="259" spans="1:15" x14ac:dyDescent="0.3">
      <c r="A259" s="3">
        <v>45330</v>
      </c>
      <c r="B259" t="s">
        <v>36</v>
      </c>
      <c r="C259" t="s">
        <v>33</v>
      </c>
      <c r="D259" s="4" cm="1">
        <f t="array" aca="1" ref="D259" ca="1">IFERROR( _xlfn.XLOOKUP(B259, B$2:INDEX(B:B,ROW()-1), I$2:INDEX(I:I,ROW()-1), 0, 0, -1),0)</f>
        <v>5</v>
      </c>
      <c r="E259">
        <v>12</v>
      </c>
      <c r="F259">
        <f t="shared" ca="1" si="29"/>
        <v>10</v>
      </c>
      <c r="G259">
        <f t="shared" ca="1" si="30"/>
        <v>0</v>
      </c>
      <c r="H259">
        <f t="shared" ca="1" si="31"/>
        <v>2</v>
      </c>
      <c r="I259">
        <f t="shared" ca="1" si="32"/>
        <v>5</v>
      </c>
      <c r="J259">
        <v>3.5</v>
      </c>
      <c r="K259">
        <v>3</v>
      </c>
      <c r="L259">
        <v>14</v>
      </c>
      <c r="M259" s="3">
        <f t="shared" ca="1" si="28"/>
        <v>45298</v>
      </c>
      <c r="N259" s="3">
        <f t="shared" ca="1" si="28"/>
        <v>45300</v>
      </c>
      <c r="O259" s="3">
        <v>45328</v>
      </c>
    </row>
    <row r="260" spans="1:15" x14ac:dyDescent="0.3">
      <c r="A260" s="3">
        <v>45330</v>
      </c>
      <c r="B260" t="s">
        <v>55</v>
      </c>
      <c r="C260" t="s">
        <v>53</v>
      </c>
      <c r="D260" s="4" cm="1">
        <f t="array" aca="1" ref="D260" ca="1">IFERROR( _xlfn.XLOOKUP(B260, B$2:INDEX(B:B,ROW()-1), I$2:INDEX(I:I,ROW()-1), 0, 0, -1),0)</f>
        <v>3</v>
      </c>
      <c r="E260">
        <v>4</v>
      </c>
      <c r="F260">
        <f t="shared" ca="1" si="29"/>
        <v>1</v>
      </c>
      <c r="G260">
        <f t="shared" ca="1" si="30"/>
        <v>1</v>
      </c>
      <c r="H260">
        <f t="shared" ca="1" si="31"/>
        <v>1</v>
      </c>
      <c r="I260">
        <f t="shared" ca="1" si="32"/>
        <v>4</v>
      </c>
      <c r="J260">
        <v>8.5</v>
      </c>
      <c r="K260">
        <v>6</v>
      </c>
      <c r="L260">
        <v>7</v>
      </c>
      <c r="M260" s="3">
        <f t="shared" ca="1" si="28"/>
        <v>45317</v>
      </c>
      <c r="N260" s="3">
        <f t="shared" ca="1" si="28"/>
        <v>45317</v>
      </c>
      <c r="O260" s="3">
        <v>45328</v>
      </c>
    </row>
    <row r="261" spans="1:15" x14ac:dyDescent="0.3">
      <c r="A261" s="3">
        <v>45330</v>
      </c>
      <c r="B261" t="s">
        <v>10</v>
      </c>
      <c r="C261" t="s">
        <v>18</v>
      </c>
      <c r="D261" s="4" cm="1">
        <f t="array" aca="1" ref="D261" ca="1">IFERROR( _xlfn.XLOOKUP(B261, B$2:INDEX(B:B,ROW()-1), I$2:INDEX(I:I,ROW()-1), 0, 0, -1),0)</f>
        <v>4</v>
      </c>
      <c r="E261">
        <v>10</v>
      </c>
      <c r="F261">
        <f t="shared" ca="1" si="29"/>
        <v>8</v>
      </c>
      <c r="G261">
        <f t="shared" ca="1" si="30"/>
        <v>1</v>
      </c>
      <c r="H261">
        <f t="shared" ca="1" si="31"/>
        <v>1</v>
      </c>
      <c r="I261">
        <f t="shared" ca="1" si="32"/>
        <v>4</v>
      </c>
      <c r="J261">
        <v>5.5</v>
      </c>
      <c r="K261">
        <v>4.5</v>
      </c>
      <c r="L261">
        <v>7</v>
      </c>
      <c r="M261" s="3">
        <f t="shared" ca="1" si="28"/>
        <v>45371</v>
      </c>
      <c r="N261" s="3">
        <f t="shared" ca="1" si="28"/>
        <v>45390</v>
      </c>
      <c r="O261" s="3">
        <v>45337</v>
      </c>
    </row>
    <row r="262" spans="1:15" x14ac:dyDescent="0.3">
      <c r="A262" s="3">
        <v>45330</v>
      </c>
      <c r="B262" t="s">
        <v>22</v>
      </c>
      <c r="C262" t="s">
        <v>26</v>
      </c>
      <c r="D262" s="4" cm="1">
        <f t="array" aca="1" ref="D262" ca="1">IFERROR( _xlfn.XLOOKUP(B262, B$2:INDEX(B:B,ROW()-1), I$2:INDEX(I:I,ROW()-1), 0, 0, -1),0)</f>
        <v>9</v>
      </c>
      <c r="E262">
        <v>12</v>
      </c>
      <c r="F262">
        <f t="shared" ca="1" si="29"/>
        <v>7</v>
      </c>
      <c r="G262">
        <f t="shared" ca="1" si="30"/>
        <v>3</v>
      </c>
      <c r="H262">
        <f t="shared" ca="1" si="31"/>
        <v>5</v>
      </c>
      <c r="I262">
        <f t="shared" ca="1" si="32"/>
        <v>6</v>
      </c>
      <c r="J262">
        <v>3.5</v>
      </c>
      <c r="K262">
        <v>3</v>
      </c>
      <c r="L262">
        <v>14</v>
      </c>
      <c r="M262" s="3">
        <f t="shared" ref="M262:N281" ca="1" si="33">DATE(2024,1,1) + RANDBETWEEN(0, DATE(2024,5,25) - DATE(2024,1,1))</f>
        <v>45316</v>
      </c>
      <c r="N262" s="3">
        <f t="shared" ca="1" si="33"/>
        <v>45426</v>
      </c>
      <c r="O262" s="3">
        <v>45420</v>
      </c>
    </row>
    <row r="263" spans="1:15" x14ac:dyDescent="0.3">
      <c r="A263" s="3">
        <v>45330</v>
      </c>
      <c r="B263" t="s">
        <v>62</v>
      </c>
      <c r="C263" t="s">
        <v>96</v>
      </c>
      <c r="D263" s="4" cm="1">
        <f t="array" aca="1" ref="D263" ca="1">IFERROR( _xlfn.XLOOKUP(B263, B$2:INDEX(B:B,ROW()-1), I$2:INDEX(I:I,ROW()-1), 0, 0, -1),0)</f>
        <v>9</v>
      </c>
      <c r="E263">
        <v>10</v>
      </c>
      <c r="F263">
        <f t="shared" ca="1" si="29"/>
        <v>10</v>
      </c>
      <c r="G263">
        <f t="shared" ca="1" si="30"/>
        <v>0</v>
      </c>
      <c r="H263">
        <f t="shared" ca="1" si="31"/>
        <v>2</v>
      </c>
      <c r="I263">
        <f t="shared" ca="1" si="32"/>
        <v>7</v>
      </c>
      <c r="J263">
        <v>4</v>
      </c>
      <c r="K263">
        <v>3.5</v>
      </c>
      <c r="L263">
        <v>10</v>
      </c>
      <c r="M263" s="3">
        <f t="shared" ca="1" si="33"/>
        <v>45392</v>
      </c>
      <c r="N263" s="3">
        <f t="shared" ca="1" si="33"/>
        <v>45359</v>
      </c>
      <c r="O263" s="3">
        <v>45371</v>
      </c>
    </row>
    <row r="264" spans="1:15" x14ac:dyDescent="0.3">
      <c r="A264" s="3">
        <v>45330</v>
      </c>
      <c r="B264" t="s">
        <v>59</v>
      </c>
      <c r="C264" t="s">
        <v>93</v>
      </c>
      <c r="D264" s="4" cm="1">
        <f t="array" aca="1" ref="D264" ca="1">IFERROR( _xlfn.XLOOKUP(B264, B$2:INDEX(B:B,ROW()-1), I$2:INDEX(I:I,ROW()-1), 0, 0, -1),0)</f>
        <v>4</v>
      </c>
      <c r="E264">
        <v>10</v>
      </c>
      <c r="F264">
        <f t="shared" ca="1" si="29"/>
        <v>8</v>
      </c>
      <c r="G264">
        <f t="shared" ca="1" si="30"/>
        <v>2</v>
      </c>
      <c r="H264">
        <f t="shared" ca="1" si="31"/>
        <v>2</v>
      </c>
      <c r="I264">
        <f t="shared" ca="1" si="32"/>
        <v>2</v>
      </c>
      <c r="J264">
        <v>4</v>
      </c>
      <c r="K264">
        <v>3.5</v>
      </c>
      <c r="L264">
        <v>10</v>
      </c>
      <c r="M264" s="3">
        <f t="shared" ca="1" si="33"/>
        <v>45434</v>
      </c>
      <c r="N264" s="3">
        <f t="shared" ca="1" si="33"/>
        <v>45313</v>
      </c>
      <c r="O264" s="3">
        <v>45436</v>
      </c>
    </row>
    <row r="265" spans="1:15" x14ac:dyDescent="0.3">
      <c r="A265" s="3">
        <v>45331</v>
      </c>
      <c r="B265" t="s">
        <v>41</v>
      </c>
      <c r="C265" t="s">
        <v>86</v>
      </c>
      <c r="D265" s="4" cm="1">
        <f t="array" aca="1" ref="D265" ca="1">IFERROR( _xlfn.XLOOKUP(B265, B$2:INDEX(B:B,ROW()-1), I$2:INDEX(I:I,ROW()-1), 0, 0, -1),0)</f>
        <v>5</v>
      </c>
      <c r="E265">
        <v>15</v>
      </c>
      <c r="F265">
        <f t="shared" ca="1" si="29"/>
        <v>6</v>
      </c>
      <c r="G265">
        <f t="shared" ca="1" si="30"/>
        <v>5</v>
      </c>
      <c r="H265">
        <f t="shared" ca="1" si="31"/>
        <v>3</v>
      </c>
      <c r="I265">
        <f t="shared" ca="1" si="32"/>
        <v>6</v>
      </c>
      <c r="J265">
        <v>3</v>
      </c>
      <c r="K265">
        <v>2.5</v>
      </c>
      <c r="L265">
        <v>14</v>
      </c>
      <c r="M265" s="3">
        <f t="shared" ca="1" si="33"/>
        <v>45429</v>
      </c>
      <c r="N265" s="3">
        <f t="shared" ca="1" si="33"/>
        <v>45401</v>
      </c>
      <c r="O265" s="3">
        <v>45410</v>
      </c>
    </row>
    <row r="266" spans="1:15" x14ac:dyDescent="0.3">
      <c r="A266" s="3">
        <v>45331</v>
      </c>
      <c r="B266" t="s">
        <v>57</v>
      </c>
      <c r="C266" t="s">
        <v>75</v>
      </c>
      <c r="D266" s="4" cm="1">
        <f t="array" aca="1" ref="D266" ca="1">IFERROR( _xlfn.XLOOKUP(B266, B$2:INDEX(B:B,ROW()-1), I$2:INDEX(I:I,ROW()-1), 0, 0, -1),0)</f>
        <v>5</v>
      </c>
      <c r="E266">
        <v>8</v>
      </c>
      <c r="F266">
        <f t="shared" ca="1" si="29"/>
        <v>7</v>
      </c>
      <c r="G266">
        <f t="shared" ca="1" si="30"/>
        <v>2</v>
      </c>
      <c r="H266">
        <f t="shared" ca="1" si="31"/>
        <v>0</v>
      </c>
      <c r="I266">
        <f t="shared" ca="1" si="32"/>
        <v>4</v>
      </c>
      <c r="J266">
        <v>6</v>
      </c>
      <c r="K266">
        <v>5.5</v>
      </c>
      <c r="L266">
        <v>20</v>
      </c>
      <c r="M266" s="3">
        <f t="shared" ca="1" si="33"/>
        <v>45293</v>
      </c>
      <c r="N266" s="3">
        <f t="shared" ca="1" si="33"/>
        <v>45337</v>
      </c>
      <c r="O266" s="3">
        <v>45418</v>
      </c>
    </row>
    <row r="267" spans="1:15" x14ac:dyDescent="0.3">
      <c r="A267" s="3">
        <v>45331</v>
      </c>
      <c r="B267" t="s">
        <v>90</v>
      </c>
      <c r="C267" t="s">
        <v>87</v>
      </c>
      <c r="D267" s="4" cm="1">
        <f t="array" aca="1" ref="D267" ca="1">IFERROR( _xlfn.XLOOKUP(B267, B$2:INDEX(B:B,ROW()-1), I$2:INDEX(I:I,ROW()-1), 0, 0, -1),0)</f>
        <v>3</v>
      </c>
      <c r="E267">
        <v>12</v>
      </c>
      <c r="F267">
        <f t="shared" ca="1" si="29"/>
        <v>8</v>
      </c>
      <c r="G267">
        <f t="shared" ca="1" si="30"/>
        <v>0</v>
      </c>
      <c r="H267">
        <f t="shared" ca="1" si="31"/>
        <v>1</v>
      </c>
      <c r="I267">
        <f t="shared" ca="1" si="32"/>
        <v>6</v>
      </c>
      <c r="J267">
        <v>4.5</v>
      </c>
      <c r="K267">
        <v>4</v>
      </c>
      <c r="L267">
        <v>14</v>
      </c>
      <c r="M267" s="3">
        <f t="shared" ca="1" si="33"/>
        <v>45424</v>
      </c>
      <c r="N267" s="3">
        <f t="shared" ca="1" si="33"/>
        <v>45305</v>
      </c>
      <c r="O267" s="3">
        <v>45433</v>
      </c>
    </row>
    <row r="268" spans="1:15" x14ac:dyDescent="0.3">
      <c r="A268" s="3">
        <v>45331</v>
      </c>
      <c r="B268" t="s">
        <v>21</v>
      </c>
      <c r="C268" t="s">
        <v>27</v>
      </c>
      <c r="D268" s="4" cm="1">
        <f t="array" aca="1" ref="D268" ca="1">IFERROR( _xlfn.XLOOKUP(B268, B$2:INDEX(B:B,ROW()-1), I$2:INDEX(I:I,ROW()-1), 0, 0, -1),0)</f>
        <v>6</v>
      </c>
      <c r="E268">
        <v>8</v>
      </c>
      <c r="F268">
        <f t="shared" ca="1" si="29"/>
        <v>2</v>
      </c>
      <c r="G268">
        <f t="shared" ca="1" si="30"/>
        <v>1</v>
      </c>
      <c r="H268">
        <f t="shared" ca="1" si="31"/>
        <v>6</v>
      </c>
      <c r="I268">
        <f t="shared" ca="1" si="32"/>
        <v>5</v>
      </c>
      <c r="J268">
        <v>4</v>
      </c>
      <c r="K268">
        <v>3</v>
      </c>
      <c r="L268">
        <v>14</v>
      </c>
      <c r="M268" s="3">
        <f t="shared" ca="1" si="33"/>
        <v>45337</v>
      </c>
      <c r="N268" s="3">
        <f t="shared" ca="1" si="33"/>
        <v>45389</v>
      </c>
      <c r="O268" s="3">
        <v>45404</v>
      </c>
    </row>
    <row r="269" spans="1:15" x14ac:dyDescent="0.3">
      <c r="A269" s="3">
        <v>45331</v>
      </c>
      <c r="B269" t="s">
        <v>41</v>
      </c>
      <c r="C269" t="s">
        <v>86</v>
      </c>
      <c r="D269" s="4" cm="1">
        <f t="array" aca="1" ref="D269" ca="1">IFERROR( _xlfn.XLOOKUP(B269, B$2:INDEX(B:B,ROW()-1), I$2:INDEX(I:I,ROW()-1), 0, 0, -1),0)</f>
        <v>6</v>
      </c>
      <c r="E269">
        <v>15</v>
      </c>
      <c r="F269">
        <f t="shared" ca="1" si="29"/>
        <v>12</v>
      </c>
      <c r="G269">
        <f t="shared" ca="1" si="30"/>
        <v>5</v>
      </c>
      <c r="H269">
        <f t="shared" ca="1" si="31"/>
        <v>0</v>
      </c>
      <c r="I269">
        <f t="shared" ca="1" si="32"/>
        <v>4</v>
      </c>
      <c r="J269">
        <v>3</v>
      </c>
      <c r="K269">
        <v>2.5</v>
      </c>
      <c r="L269">
        <v>14</v>
      </c>
      <c r="M269" s="3">
        <f t="shared" ca="1" si="33"/>
        <v>45400</v>
      </c>
      <c r="N269" s="3">
        <f t="shared" ca="1" si="33"/>
        <v>45381</v>
      </c>
      <c r="O269" s="3">
        <v>45340</v>
      </c>
    </row>
    <row r="270" spans="1:15" x14ac:dyDescent="0.3">
      <c r="A270" s="3">
        <v>45331</v>
      </c>
      <c r="B270" t="s">
        <v>72</v>
      </c>
      <c r="C270" t="s">
        <v>48</v>
      </c>
      <c r="D270" s="4" cm="1">
        <f t="array" aca="1" ref="D270" ca="1">IFERROR( _xlfn.XLOOKUP(B270, B$2:INDEX(B:B,ROW()-1), I$2:INDEX(I:I,ROW()-1), 0, 0, -1),0)</f>
        <v>2</v>
      </c>
      <c r="E270">
        <v>6</v>
      </c>
      <c r="F270">
        <f t="shared" ca="1" si="29"/>
        <v>5</v>
      </c>
      <c r="G270">
        <f t="shared" ca="1" si="30"/>
        <v>2</v>
      </c>
      <c r="H270">
        <f t="shared" ca="1" si="31"/>
        <v>0</v>
      </c>
      <c r="I270">
        <f t="shared" ca="1" si="32"/>
        <v>1</v>
      </c>
      <c r="J270">
        <v>4</v>
      </c>
      <c r="K270">
        <v>3</v>
      </c>
      <c r="L270">
        <v>7</v>
      </c>
      <c r="M270" s="3">
        <f t="shared" ca="1" si="33"/>
        <v>45367</v>
      </c>
      <c r="N270" s="3">
        <f t="shared" ca="1" si="33"/>
        <v>45391</v>
      </c>
      <c r="O270" s="3">
        <v>45299</v>
      </c>
    </row>
    <row r="271" spans="1:15" x14ac:dyDescent="0.3">
      <c r="A271" s="3">
        <v>45331</v>
      </c>
      <c r="B271" t="s">
        <v>61</v>
      </c>
      <c r="C271" t="s">
        <v>95</v>
      </c>
      <c r="D271" s="4" cm="1">
        <f t="array" aca="1" ref="D271" ca="1">IFERROR( _xlfn.XLOOKUP(B271, B$2:INDEX(B:B,ROW()-1), I$2:INDEX(I:I,ROW()-1), 0, 0, -1),0)</f>
        <v>7</v>
      </c>
      <c r="E271">
        <v>10</v>
      </c>
      <c r="F271">
        <f t="shared" ca="1" si="29"/>
        <v>0</v>
      </c>
      <c r="G271">
        <f t="shared" ca="1" si="30"/>
        <v>8</v>
      </c>
      <c r="H271">
        <f t="shared" ca="1" si="31"/>
        <v>1</v>
      </c>
      <c r="I271">
        <f t="shared" ca="1" si="32"/>
        <v>8</v>
      </c>
      <c r="J271">
        <v>4</v>
      </c>
      <c r="K271">
        <v>3.5</v>
      </c>
      <c r="L271">
        <v>10</v>
      </c>
      <c r="M271" s="3">
        <f t="shared" ca="1" si="33"/>
        <v>45384</v>
      </c>
      <c r="N271" s="3">
        <f t="shared" ca="1" si="33"/>
        <v>45361</v>
      </c>
      <c r="O271" s="3">
        <v>45396</v>
      </c>
    </row>
    <row r="272" spans="1:15" x14ac:dyDescent="0.3">
      <c r="A272" s="3">
        <v>45331</v>
      </c>
      <c r="B272" t="s">
        <v>65</v>
      </c>
      <c r="C272" t="s">
        <v>44</v>
      </c>
      <c r="D272" s="4" cm="1">
        <f t="array" aca="1" ref="D272" ca="1">IFERROR( _xlfn.XLOOKUP(B272, B$2:INDEX(B:B,ROW()-1), I$2:INDEX(I:I,ROW()-1), 0, 0, -1),0)</f>
        <v>6</v>
      </c>
      <c r="E272">
        <v>10</v>
      </c>
      <c r="F272">
        <f t="shared" ca="1" si="29"/>
        <v>9</v>
      </c>
      <c r="G272">
        <f t="shared" ca="1" si="30"/>
        <v>1</v>
      </c>
      <c r="H272">
        <f t="shared" ca="1" si="31"/>
        <v>4</v>
      </c>
      <c r="I272">
        <f t="shared" ca="1" si="32"/>
        <v>2</v>
      </c>
      <c r="J272">
        <v>3.5</v>
      </c>
      <c r="K272">
        <v>3</v>
      </c>
      <c r="L272">
        <v>8</v>
      </c>
      <c r="M272" s="3">
        <f t="shared" ca="1" si="33"/>
        <v>45349</v>
      </c>
      <c r="N272" s="3">
        <f t="shared" ca="1" si="33"/>
        <v>45373</v>
      </c>
      <c r="O272" s="3">
        <v>45425</v>
      </c>
    </row>
    <row r="273" spans="1:15" x14ac:dyDescent="0.3">
      <c r="A273" s="3">
        <v>45332</v>
      </c>
      <c r="B273" t="s">
        <v>23</v>
      </c>
      <c r="C273" t="s">
        <v>28</v>
      </c>
      <c r="D273" s="4" cm="1">
        <f t="array" aca="1" ref="D273" ca="1">IFERROR( _xlfn.XLOOKUP(B273, B$2:INDEX(B:B,ROW()-1), I$2:INDEX(I:I,ROW()-1), 0, 0, -1),0)</f>
        <v>3</v>
      </c>
      <c r="E273">
        <v>9</v>
      </c>
      <c r="F273">
        <f t="shared" ca="1" si="29"/>
        <v>3</v>
      </c>
      <c r="G273">
        <f t="shared" ca="1" si="30"/>
        <v>3</v>
      </c>
      <c r="H273">
        <f t="shared" ca="1" si="31"/>
        <v>0</v>
      </c>
      <c r="I273">
        <f t="shared" ca="1" si="32"/>
        <v>6</v>
      </c>
      <c r="J273">
        <v>6.5</v>
      </c>
      <c r="K273">
        <v>5.5</v>
      </c>
      <c r="L273">
        <v>9</v>
      </c>
      <c r="M273" s="3">
        <f t="shared" ca="1" si="33"/>
        <v>45414</v>
      </c>
      <c r="N273" s="3">
        <f t="shared" ca="1" si="33"/>
        <v>45417</v>
      </c>
      <c r="O273" s="3">
        <v>45345</v>
      </c>
    </row>
    <row r="274" spans="1:15" x14ac:dyDescent="0.3">
      <c r="A274" s="3">
        <v>45332</v>
      </c>
      <c r="B274" t="s">
        <v>61</v>
      </c>
      <c r="C274" t="s">
        <v>95</v>
      </c>
      <c r="D274" s="4" cm="1">
        <f t="array" aca="1" ref="D274" ca="1">IFERROR( _xlfn.XLOOKUP(B274, B$2:INDEX(B:B,ROW()-1), I$2:INDEX(I:I,ROW()-1), 0, 0, -1),0)</f>
        <v>8</v>
      </c>
      <c r="E274">
        <v>10</v>
      </c>
      <c r="F274">
        <f t="shared" ca="1" si="29"/>
        <v>9</v>
      </c>
      <c r="G274">
        <f t="shared" ca="1" si="30"/>
        <v>2</v>
      </c>
      <c r="H274">
        <f t="shared" ca="1" si="31"/>
        <v>4</v>
      </c>
      <c r="I274">
        <f t="shared" ca="1" si="32"/>
        <v>3</v>
      </c>
      <c r="J274">
        <v>4</v>
      </c>
      <c r="K274">
        <v>3.5</v>
      </c>
      <c r="L274">
        <v>10</v>
      </c>
      <c r="M274" s="3">
        <f t="shared" ca="1" si="33"/>
        <v>45378</v>
      </c>
      <c r="N274" s="3">
        <f t="shared" ca="1" si="33"/>
        <v>45342</v>
      </c>
      <c r="O274" s="3">
        <v>45433</v>
      </c>
    </row>
    <row r="275" spans="1:15" x14ac:dyDescent="0.3">
      <c r="A275" s="3">
        <v>45332</v>
      </c>
      <c r="B275" t="s">
        <v>34</v>
      </c>
      <c r="C275" t="s">
        <v>30</v>
      </c>
      <c r="D275" s="4" cm="1">
        <f t="array" aca="1" ref="D275" ca="1">IFERROR( _xlfn.XLOOKUP(B275, B$2:INDEX(B:B,ROW()-1), I$2:INDEX(I:I,ROW()-1), 0, 0, -1),0)</f>
        <v>3</v>
      </c>
      <c r="E275">
        <v>6</v>
      </c>
      <c r="F275">
        <f t="shared" ca="1" si="29"/>
        <v>0</v>
      </c>
      <c r="G275">
        <f t="shared" ca="1" si="30"/>
        <v>5</v>
      </c>
      <c r="H275">
        <f t="shared" ca="1" si="31"/>
        <v>2</v>
      </c>
      <c r="I275">
        <f t="shared" ca="1" si="32"/>
        <v>2</v>
      </c>
      <c r="J275">
        <v>3.5</v>
      </c>
      <c r="K275">
        <v>3</v>
      </c>
      <c r="L275">
        <v>10</v>
      </c>
      <c r="M275" s="3">
        <f t="shared" ca="1" si="33"/>
        <v>45323</v>
      </c>
      <c r="N275" s="3">
        <f t="shared" ca="1" si="33"/>
        <v>45322</v>
      </c>
      <c r="O275" s="3">
        <v>45361</v>
      </c>
    </row>
    <row r="276" spans="1:15" x14ac:dyDescent="0.3">
      <c r="A276" s="3">
        <v>45332</v>
      </c>
      <c r="B276" t="s">
        <v>83</v>
      </c>
      <c r="C276" t="s">
        <v>100</v>
      </c>
      <c r="D276" s="4" cm="1">
        <f t="array" aca="1" ref="D276" ca="1">IFERROR( _xlfn.XLOOKUP(B276, B$2:INDEX(B:B,ROW()-1), I$2:INDEX(I:I,ROW()-1), 0, 0, -1),0)</f>
        <v>7</v>
      </c>
      <c r="E276">
        <v>10</v>
      </c>
      <c r="F276">
        <f t="shared" ca="1" si="29"/>
        <v>3</v>
      </c>
      <c r="G276">
        <f t="shared" ca="1" si="30"/>
        <v>4</v>
      </c>
      <c r="H276">
        <f t="shared" ca="1" si="31"/>
        <v>4</v>
      </c>
      <c r="I276">
        <f t="shared" ca="1" si="32"/>
        <v>6</v>
      </c>
      <c r="J276">
        <v>4.5</v>
      </c>
      <c r="K276">
        <v>4</v>
      </c>
      <c r="L276">
        <v>10</v>
      </c>
      <c r="M276" s="3">
        <f t="shared" ca="1" si="33"/>
        <v>45304</v>
      </c>
      <c r="N276" s="3">
        <f t="shared" ca="1" si="33"/>
        <v>45307</v>
      </c>
      <c r="O276" s="3">
        <v>45345</v>
      </c>
    </row>
    <row r="277" spans="1:15" x14ac:dyDescent="0.3">
      <c r="A277" s="3">
        <v>45332</v>
      </c>
      <c r="B277" t="s">
        <v>39</v>
      </c>
      <c r="C277" t="s">
        <v>32</v>
      </c>
      <c r="D277" s="4" cm="1">
        <f t="array" aca="1" ref="D277" ca="1">IFERROR( _xlfn.XLOOKUP(B277, B$2:INDEX(B:B,ROW()-1), I$2:INDEX(I:I,ROW()-1), 0, 0, -1),0)</f>
        <v>8</v>
      </c>
      <c r="E277">
        <v>12</v>
      </c>
      <c r="F277">
        <f t="shared" ca="1" si="29"/>
        <v>1</v>
      </c>
      <c r="G277">
        <f t="shared" ca="1" si="30"/>
        <v>9</v>
      </c>
      <c r="H277">
        <f t="shared" ca="1" si="31"/>
        <v>6</v>
      </c>
      <c r="I277">
        <f t="shared" ca="1" si="32"/>
        <v>4</v>
      </c>
      <c r="J277">
        <v>3.5</v>
      </c>
      <c r="K277">
        <v>3</v>
      </c>
      <c r="L277">
        <v>14</v>
      </c>
      <c r="M277" s="3">
        <f t="shared" ca="1" si="33"/>
        <v>45409</v>
      </c>
      <c r="N277" s="3">
        <f t="shared" ca="1" si="33"/>
        <v>45303</v>
      </c>
      <c r="O277" s="3">
        <v>45405</v>
      </c>
    </row>
    <row r="278" spans="1:15" x14ac:dyDescent="0.3">
      <c r="A278" s="3">
        <v>45332</v>
      </c>
      <c r="B278" t="s">
        <v>78</v>
      </c>
      <c r="C278" t="s">
        <v>74</v>
      </c>
      <c r="D278" s="4" cm="1">
        <f t="array" aca="1" ref="D278" ca="1">IFERROR( _xlfn.XLOOKUP(B278, B$2:INDEX(B:B,ROW()-1), I$2:INDEX(I:I,ROW()-1), 0, 0, -1),0)</f>
        <v>3</v>
      </c>
      <c r="E278">
        <v>6</v>
      </c>
      <c r="F278">
        <f t="shared" ca="1" si="29"/>
        <v>5</v>
      </c>
      <c r="G278">
        <f t="shared" ca="1" si="30"/>
        <v>1</v>
      </c>
      <c r="H278">
        <f t="shared" ca="1" si="31"/>
        <v>0</v>
      </c>
      <c r="I278">
        <f t="shared" ca="1" si="32"/>
        <v>3</v>
      </c>
      <c r="J278">
        <v>4</v>
      </c>
      <c r="K278">
        <v>3</v>
      </c>
      <c r="L278">
        <v>7</v>
      </c>
      <c r="M278" s="3">
        <f t="shared" ca="1" si="33"/>
        <v>45364</v>
      </c>
      <c r="N278" s="3">
        <f t="shared" ca="1" si="33"/>
        <v>45398</v>
      </c>
      <c r="O278" s="3">
        <v>45332</v>
      </c>
    </row>
    <row r="279" spans="1:15" x14ac:dyDescent="0.3">
      <c r="A279" s="3">
        <v>45332</v>
      </c>
      <c r="B279" t="s">
        <v>34</v>
      </c>
      <c r="C279" t="s">
        <v>30</v>
      </c>
      <c r="D279" s="4" cm="1">
        <f t="array" aca="1" ref="D279" ca="1">IFERROR( _xlfn.XLOOKUP(B279, B$2:INDEX(B:B,ROW()-1), I$2:INDEX(I:I,ROW()-1), 0, 0, -1),0)</f>
        <v>2</v>
      </c>
      <c r="E279">
        <v>6</v>
      </c>
      <c r="F279">
        <f t="shared" ca="1" si="29"/>
        <v>1</v>
      </c>
      <c r="G279">
        <f t="shared" ca="1" si="30"/>
        <v>2</v>
      </c>
      <c r="H279">
        <f t="shared" ca="1" si="31"/>
        <v>1</v>
      </c>
      <c r="I279">
        <f t="shared" ca="1" si="32"/>
        <v>4</v>
      </c>
      <c r="J279">
        <v>3.5</v>
      </c>
      <c r="K279">
        <v>3</v>
      </c>
      <c r="L279">
        <v>10</v>
      </c>
      <c r="M279" s="3">
        <f t="shared" ca="1" si="33"/>
        <v>45419</v>
      </c>
      <c r="N279" s="3">
        <f t="shared" ca="1" si="33"/>
        <v>45312</v>
      </c>
      <c r="O279" s="3">
        <v>45343</v>
      </c>
    </row>
    <row r="280" spans="1:15" x14ac:dyDescent="0.3">
      <c r="A280" s="3">
        <v>45332</v>
      </c>
      <c r="B280" t="s">
        <v>10</v>
      </c>
      <c r="C280" t="s">
        <v>18</v>
      </c>
      <c r="D280" s="4" cm="1">
        <f t="array" aca="1" ref="D280" ca="1">IFERROR( _xlfn.XLOOKUP(B280, B$2:INDEX(B:B,ROW()-1), I$2:INDEX(I:I,ROW()-1), 0, 0, -1),0)</f>
        <v>4</v>
      </c>
      <c r="E280">
        <v>10</v>
      </c>
      <c r="F280">
        <f t="shared" ca="1" si="29"/>
        <v>3</v>
      </c>
      <c r="G280">
        <f t="shared" ca="1" si="30"/>
        <v>1</v>
      </c>
      <c r="H280">
        <f t="shared" ca="1" si="31"/>
        <v>0</v>
      </c>
      <c r="I280">
        <f t="shared" ca="1" si="32"/>
        <v>10</v>
      </c>
      <c r="J280">
        <v>5.5</v>
      </c>
      <c r="K280">
        <v>4.5</v>
      </c>
      <c r="L280">
        <v>7</v>
      </c>
      <c r="M280" s="3">
        <f t="shared" ca="1" si="33"/>
        <v>45354</v>
      </c>
      <c r="N280" s="3">
        <f t="shared" ca="1" si="33"/>
        <v>45420</v>
      </c>
      <c r="O280" s="3">
        <v>45309</v>
      </c>
    </row>
    <row r="281" spans="1:15" x14ac:dyDescent="0.3">
      <c r="A281" s="3">
        <v>45332</v>
      </c>
      <c r="B281" t="s">
        <v>19</v>
      </c>
      <c r="C281" t="s">
        <v>17</v>
      </c>
      <c r="D281" s="4" cm="1">
        <f t="array" aca="1" ref="D281" ca="1">IFERROR( _xlfn.XLOOKUP(B281, B$2:INDEX(B:B,ROW()-1), I$2:INDEX(I:I,ROW()-1), 0, 0, -1),0)</f>
        <v>3</v>
      </c>
      <c r="E281">
        <v>10</v>
      </c>
      <c r="F281">
        <f t="shared" ca="1" si="29"/>
        <v>8</v>
      </c>
      <c r="G281">
        <f t="shared" ca="1" si="30"/>
        <v>3</v>
      </c>
      <c r="H281">
        <f t="shared" ca="1" si="31"/>
        <v>0</v>
      </c>
      <c r="I281">
        <f t="shared" ca="1" si="32"/>
        <v>2</v>
      </c>
      <c r="J281">
        <v>4.5</v>
      </c>
      <c r="K281">
        <v>4</v>
      </c>
      <c r="L281">
        <v>10</v>
      </c>
      <c r="M281" s="3">
        <f t="shared" ca="1" si="33"/>
        <v>45436</v>
      </c>
      <c r="N281" s="3">
        <f t="shared" ca="1" si="33"/>
        <v>45417</v>
      </c>
      <c r="O281" s="3">
        <v>45410</v>
      </c>
    </row>
    <row r="282" spans="1:15" x14ac:dyDescent="0.3">
      <c r="A282" s="3">
        <v>45332</v>
      </c>
      <c r="B282" t="s">
        <v>58</v>
      </c>
      <c r="C282" t="s">
        <v>76</v>
      </c>
      <c r="D282" s="4" cm="1">
        <f t="array" aca="1" ref="D282" ca="1">IFERROR( _xlfn.XLOOKUP(B282, B$2:INDEX(B:B,ROW()-1), I$2:INDEX(I:I,ROW()-1), 0, 0, -1),0)</f>
        <v>2</v>
      </c>
      <c r="E282">
        <v>15</v>
      </c>
      <c r="F282">
        <f t="shared" ca="1" si="29"/>
        <v>7</v>
      </c>
      <c r="G282">
        <f t="shared" ca="1" si="30"/>
        <v>1</v>
      </c>
      <c r="H282">
        <f t="shared" ca="1" si="31"/>
        <v>1</v>
      </c>
      <c r="I282">
        <f t="shared" ca="1" si="32"/>
        <v>8</v>
      </c>
      <c r="J282">
        <v>6</v>
      </c>
      <c r="K282">
        <v>5.5</v>
      </c>
      <c r="L282">
        <v>20</v>
      </c>
      <c r="M282" s="3">
        <f t="shared" ref="M282:N301" ca="1" si="34">DATE(2024,1,1) + RANDBETWEEN(0, DATE(2024,5,25) - DATE(2024,1,1))</f>
        <v>45296</v>
      </c>
      <c r="N282" s="3">
        <f t="shared" ca="1" si="34"/>
        <v>45318</v>
      </c>
      <c r="O282" s="3">
        <v>45356</v>
      </c>
    </row>
    <row r="283" spans="1:15" x14ac:dyDescent="0.3">
      <c r="A283" s="3">
        <v>45333</v>
      </c>
      <c r="B283" t="s">
        <v>66</v>
      </c>
      <c r="C283" t="s">
        <v>45</v>
      </c>
      <c r="D283" s="4" cm="1">
        <f t="array" aca="1" ref="D283" ca="1">IFERROR( _xlfn.XLOOKUP(B283, B$2:INDEX(B:B,ROW()-1), I$2:INDEX(I:I,ROW()-1), 0, 0, -1),0)</f>
        <v>2</v>
      </c>
      <c r="E283">
        <v>8</v>
      </c>
      <c r="F283">
        <f t="shared" ca="1" si="29"/>
        <v>2</v>
      </c>
      <c r="G283">
        <f t="shared" ca="1" si="30"/>
        <v>2</v>
      </c>
      <c r="H283">
        <f t="shared" ca="1" si="31"/>
        <v>3</v>
      </c>
      <c r="I283">
        <f t="shared" ca="1" si="32"/>
        <v>3</v>
      </c>
      <c r="J283">
        <v>3.5</v>
      </c>
      <c r="K283">
        <v>3</v>
      </c>
      <c r="L283">
        <v>8</v>
      </c>
      <c r="M283" s="3">
        <f t="shared" ca="1" si="34"/>
        <v>45430</v>
      </c>
      <c r="N283" s="3">
        <f t="shared" ca="1" si="34"/>
        <v>45393</v>
      </c>
      <c r="O283" s="3">
        <v>45331</v>
      </c>
    </row>
    <row r="284" spans="1:15" x14ac:dyDescent="0.3">
      <c r="A284" s="3">
        <v>45333</v>
      </c>
      <c r="B284" t="s">
        <v>70</v>
      </c>
      <c r="C284" t="s">
        <v>99</v>
      </c>
      <c r="D284" s="4" cm="1">
        <f t="array" aca="1" ref="D284" ca="1">IFERROR( _xlfn.XLOOKUP(B284, B$2:INDEX(B:B,ROW()-1), I$2:INDEX(I:I,ROW()-1), 0, 0, -1),0)</f>
        <v>1</v>
      </c>
      <c r="E284">
        <v>6</v>
      </c>
      <c r="F284">
        <f t="shared" ca="1" si="29"/>
        <v>0</v>
      </c>
      <c r="G284">
        <f t="shared" ca="1" si="30"/>
        <v>2</v>
      </c>
      <c r="H284">
        <f t="shared" ca="1" si="31"/>
        <v>2</v>
      </c>
      <c r="I284">
        <f t="shared" ca="1" si="32"/>
        <v>3</v>
      </c>
      <c r="J284">
        <v>4</v>
      </c>
      <c r="K284">
        <v>3</v>
      </c>
      <c r="L284">
        <v>7</v>
      </c>
      <c r="M284" s="3">
        <f t="shared" ca="1" si="34"/>
        <v>45369</v>
      </c>
      <c r="N284" s="3">
        <f t="shared" ca="1" si="34"/>
        <v>45297</v>
      </c>
      <c r="O284" s="3">
        <v>45428</v>
      </c>
    </row>
    <row r="285" spans="1:15" x14ac:dyDescent="0.3">
      <c r="A285" s="3">
        <v>45333</v>
      </c>
      <c r="B285" t="s">
        <v>40</v>
      </c>
      <c r="C285" t="s">
        <v>85</v>
      </c>
      <c r="D285" s="4" cm="1">
        <f t="array" aca="1" ref="D285" ca="1">IFERROR( _xlfn.XLOOKUP(B285, B$2:INDEX(B:B,ROW()-1), I$2:INDEX(I:I,ROW()-1), 0, 0, -1),0)</f>
        <v>6</v>
      </c>
      <c r="E285">
        <v>15</v>
      </c>
      <c r="F285">
        <f t="shared" ca="1" si="29"/>
        <v>10</v>
      </c>
      <c r="G285">
        <f t="shared" ca="1" si="30"/>
        <v>7</v>
      </c>
      <c r="H285">
        <f t="shared" ca="1" si="31"/>
        <v>0</v>
      </c>
      <c r="I285">
        <f t="shared" ca="1" si="32"/>
        <v>4</v>
      </c>
      <c r="J285">
        <v>3</v>
      </c>
      <c r="K285">
        <v>2.5</v>
      </c>
      <c r="L285">
        <v>14</v>
      </c>
      <c r="M285" s="3">
        <f t="shared" ca="1" si="34"/>
        <v>45431</v>
      </c>
      <c r="N285" s="3">
        <f t="shared" ca="1" si="34"/>
        <v>45325</v>
      </c>
      <c r="O285" s="3">
        <v>45374</v>
      </c>
    </row>
    <row r="286" spans="1:15" x14ac:dyDescent="0.3">
      <c r="A286" s="3">
        <v>45333</v>
      </c>
      <c r="B286" t="s">
        <v>40</v>
      </c>
      <c r="C286" t="s">
        <v>85</v>
      </c>
      <c r="D286" s="4" cm="1">
        <f t="array" aca="1" ref="D286" ca="1">IFERROR( _xlfn.XLOOKUP(B286, B$2:INDEX(B:B,ROW()-1), I$2:INDEX(I:I,ROW()-1), 0, 0, -1),0)</f>
        <v>4</v>
      </c>
      <c r="E286">
        <v>15</v>
      </c>
      <c r="F286">
        <f t="shared" ca="1" si="29"/>
        <v>9</v>
      </c>
      <c r="G286">
        <f t="shared" ca="1" si="30"/>
        <v>4</v>
      </c>
      <c r="H286">
        <f t="shared" ca="1" si="31"/>
        <v>0</v>
      </c>
      <c r="I286">
        <f t="shared" ca="1" si="32"/>
        <v>6</v>
      </c>
      <c r="J286">
        <v>3</v>
      </c>
      <c r="K286">
        <v>2.5</v>
      </c>
      <c r="L286">
        <v>14</v>
      </c>
      <c r="M286" s="3">
        <f t="shared" ca="1" si="34"/>
        <v>45349</v>
      </c>
      <c r="N286" s="3">
        <f t="shared" ca="1" si="34"/>
        <v>45335</v>
      </c>
      <c r="O286" s="3">
        <v>45318</v>
      </c>
    </row>
    <row r="287" spans="1:15" x14ac:dyDescent="0.3">
      <c r="A287" s="3">
        <v>45333</v>
      </c>
      <c r="B287" t="s">
        <v>65</v>
      </c>
      <c r="C287" t="s">
        <v>44</v>
      </c>
      <c r="D287" s="4" cm="1">
        <f t="array" aca="1" ref="D287" ca="1">IFERROR( _xlfn.XLOOKUP(B287, B$2:INDEX(B:B,ROW()-1), I$2:INDEX(I:I,ROW()-1), 0, 0, -1),0)</f>
        <v>2</v>
      </c>
      <c r="E287">
        <v>10</v>
      </c>
      <c r="F287">
        <f t="shared" ca="1" si="29"/>
        <v>0</v>
      </c>
      <c r="G287">
        <f t="shared" ca="1" si="30"/>
        <v>4</v>
      </c>
      <c r="H287">
        <f t="shared" ca="1" si="31"/>
        <v>5</v>
      </c>
      <c r="I287">
        <f t="shared" ca="1" si="32"/>
        <v>3</v>
      </c>
      <c r="J287">
        <v>3.5</v>
      </c>
      <c r="K287">
        <v>3</v>
      </c>
      <c r="L287">
        <v>8</v>
      </c>
      <c r="M287" s="3">
        <f t="shared" ca="1" si="34"/>
        <v>45355</v>
      </c>
      <c r="N287" s="3">
        <f t="shared" ca="1" si="34"/>
        <v>45410</v>
      </c>
      <c r="O287" s="3">
        <v>45304</v>
      </c>
    </row>
    <row r="288" spans="1:15" x14ac:dyDescent="0.3">
      <c r="A288" s="3">
        <v>45333</v>
      </c>
      <c r="B288" t="s">
        <v>67</v>
      </c>
      <c r="C288" t="s">
        <v>46</v>
      </c>
      <c r="D288" s="4" cm="1">
        <f t="array" aca="1" ref="D288" ca="1">IFERROR( _xlfn.XLOOKUP(B288, B$2:INDEX(B:B,ROW()-1), I$2:INDEX(I:I,ROW()-1), 0, 0, -1),0)</f>
        <v>3</v>
      </c>
      <c r="E288">
        <v>8</v>
      </c>
      <c r="F288">
        <f t="shared" ca="1" si="29"/>
        <v>6</v>
      </c>
      <c r="G288">
        <f t="shared" ca="1" si="30"/>
        <v>2</v>
      </c>
      <c r="H288">
        <f t="shared" ca="1" si="31"/>
        <v>1</v>
      </c>
      <c r="I288">
        <f t="shared" ca="1" si="32"/>
        <v>2</v>
      </c>
      <c r="J288">
        <v>3.5</v>
      </c>
      <c r="K288">
        <v>3</v>
      </c>
      <c r="L288">
        <v>8</v>
      </c>
      <c r="M288" s="3">
        <f t="shared" ca="1" si="34"/>
        <v>45383</v>
      </c>
      <c r="N288" s="3">
        <f t="shared" ca="1" si="34"/>
        <v>45388</v>
      </c>
      <c r="O288" s="3">
        <v>45406</v>
      </c>
    </row>
    <row r="289" spans="1:15" x14ac:dyDescent="0.3">
      <c r="A289" s="3">
        <v>45334</v>
      </c>
      <c r="B289" t="s">
        <v>81</v>
      </c>
      <c r="C289" t="s">
        <v>50</v>
      </c>
      <c r="D289" s="4" cm="1">
        <f t="array" aca="1" ref="D289" ca="1">IFERROR( _xlfn.XLOOKUP(B289, B$2:INDEX(B:B,ROW()-1), I$2:INDEX(I:I,ROW()-1), 0, 0, -1),0)</f>
        <v>2</v>
      </c>
      <c r="E289">
        <v>8</v>
      </c>
      <c r="F289">
        <f t="shared" ca="1" si="29"/>
        <v>4</v>
      </c>
      <c r="G289">
        <f t="shared" ca="1" si="30"/>
        <v>0</v>
      </c>
      <c r="H289">
        <f t="shared" ca="1" si="31"/>
        <v>2</v>
      </c>
      <c r="I289">
        <f t="shared" ca="1" si="32"/>
        <v>4</v>
      </c>
      <c r="J289">
        <v>2.5</v>
      </c>
      <c r="K289">
        <v>2</v>
      </c>
      <c r="L289">
        <v>5</v>
      </c>
      <c r="M289" s="3">
        <f t="shared" ca="1" si="34"/>
        <v>45358</v>
      </c>
      <c r="N289" s="3">
        <f t="shared" ca="1" si="34"/>
        <v>45391</v>
      </c>
      <c r="O289" s="3">
        <v>45312</v>
      </c>
    </row>
    <row r="290" spans="1:15" x14ac:dyDescent="0.3">
      <c r="A290" s="3">
        <v>45334</v>
      </c>
      <c r="B290" t="s">
        <v>79</v>
      </c>
      <c r="C290" t="s">
        <v>104</v>
      </c>
      <c r="D290" s="4" cm="1">
        <f t="array" aca="1" ref="D290" ca="1">IFERROR( _xlfn.XLOOKUP(B290, B$2:INDEX(B:B,ROW()-1), I$2:INDEX(I:I,ROW()-1), 0, 0, -1),0)</f>
        <v>3</v>
      </c>
      <c r="E290">
        <v>8</v>
      </c>
      <c r="F290">
        <f t="shared" ca="1" si="29"/>
        <v>4</v>
      </c>
      <c r="G290">
        <f t="shared" ca="1" si="30"/>
        <v>4</v>
      </c>
      <c r="H290">
        <f t="shared" ca="1" si="31"/>
        <v>0</v>
      </c>
      <c r="I290">
        <f t="shared" ca="1" si="32"/>
        <v>3</v>
      </c>
      <c r="J290">
        <v>2.5</v>
      </c>
      <c r="K290">
        <v>2</v>
      </c>
      <c r="L290">
        <v>5</v>
      </c>
      <c r="M290" s="3">
        <f t="shared" ca="1" si="34"/>
        <v>45330</v>
      </c>
      <c r="N290" s="3">
        <f t="shared" ca="1" si="34"/>
        <v>45381</v>
      </c>
      <c r="O290" s="3">
        <v>45419</v>
      </c>
    </row>
    <row r="291" spans="1:15" x14ac:dyDescent="0.3">
      <c r="A291" s="3">
        <v>45334</v>
      </c>
      <c r="B291" t="s">
        <v>21</v>
      </c>
      <c r="C291" t="s">
        <v>27</v>
      </c>
      <c r="D291" s="4" cm="1">
        <f t="array" aca="1" ref="D291" ca="1">IFERROR( _xlfn.XLOOKUP(B291, B$2:INDEX(B:B,ROW()-1), I$2:INDEX(I:I,ROW()-1), 0, 0, -1),0)</f>
        <v>5</v>
      </c>
      <c r="E291">
        <v>8</v>
      </c>
      <c r="F291">
        <f t="shared" ca="1" si="29"/>
        <v>3</v>
      </c>
      <c r="G291">
        <f t="shared" ca="1" si="30"/>
        <v>1</v>
      </c>
      <c r="H291">
        <f t="shared" ca="1" si="31"/>
        <v>1</v>
      </c>
      <c r="I291">
        <f t="shared" ca="1" si="32"/>
        <v>8</v>
      </c>
      <c r="J291">
        <v>4</v>
      </c>
      <c r="K291">
        <v>3</v>
      </c>
      <c r="L291">
        <v>14</v>
      </c>
      <c r="M291" s="3">
        <f t="shared" ca="1" si="34"/>
        <v>45342</v>
      </c>
      <c r="N291" s="3">
        <f t="shared" ca="1" si="34"/>
        <v>45328</v>
      </c>
      <c r="O291" s="3">
        <v>45411</v>
      </c>
    </row>
    <row r="292" spans="1:15" x14ac:dyDescent="0.3">
      <c r="A292" s="3">
        <v>45334</v>
      </c>
      <c r="B292" t="s">
        <v>71</v>
      </c>
      <c r="C292" t="s">
        <v>47</v>
      </c>
      <c r="D292" s="4" cm="1">
        <f t="array" aca="1" ref="D292" ca="1">IFERROR( _xlfn.XLOOKUP(B292, B$2:INDEX(B:B,ROW()-1), I$2:INDEX(I:I,ROW()-1), 0, 0, -1),0)</f>
        <v>7</v>
      </c>
      <c r="E292">
        <v>6</v>
      </c>
      <c r="F292">
        <f t="shared" ca="1" si="29"/>
        <v>8</v>
      </c>
      <c r="G292">
        <f t="shared" ca="1" si="30"/>
        <v>0</v>
      </c>
      <c r="H292">
        <f t="shared" ca="1" si="31"/>
        <v>2</v>
      </c>
      <c r="I292">
        <f t="shared" ca="1" si="32"/>
        <v>3</v>
      </c>
      <c r="J292">
        <v>4</v>
      </c>
      <c r="K292">
        <v>3</v>
      </c>
      <c r="L292">
        <v>7</v>
      </c>
      <c r="M292" s="3">
        <f t="shared" ca="1" si="34"/>
        <v>45387</v>
      </c>
      <c r="N292" s="3">
        <f t="shared" ca="1" si="34"/>
        <v>45332</v>
      </c>
      <c r="O292" s="3">
        <v>45369</v>
      </c>
    </row>
    <row r="293" spans="1:15" x14ac:dyDescent="0.3">
      <c r="A293" s="3">
        <v>45334</v>
      </c>
      <c r="B293" t="s">
        <v>58</v>
      </c>
      <c r="C293" t="s">
        <v>76</v>
      </c>
      <c r="D293" s="4" cm="1">
        <f t="array" aca="1" ref="D293" ca="1">IFERROR( _xlfn.XLOOKUP(B293, B$2:INDEX(B:B,ROW()-1), I$2:INDEX(I:I,ROW()-1), 0, 0, -1),0)</f>
        <v>8</v>
      </c>
      <c r="E293">
        <v>15</v>
      </c>
      <c r="F293">
        <f t="shared" ca="1" si="29"/>
        <v>3</v>
      </c>
      <c r="G293">
        <f t="shared" ca="1" si="30"/>
        <v>1</v>
      </c>
      <c r="H293">
        <f t="shared" ca="1" si="31"/>
        <v>0</v>
      </c>
      <c r="I293">
        <f t="shared" ca="1" si="32"/>
        <v>19</v>
      </c>
      <c r="J293">
        <v>6</v>
      </c>
      <c r="K293">
        <v>5.5</v>
      </c>
      <c r="L293">
        <v>20</v>
      </c>
      <c r="M293" s="3">
        <f t="shared" ca="1" si="34"/>
        <v>45309</v>
      </c>
      <c r="N293" s="3">
        <f t="shared" ca="1" si="34"/>
        <v>45348</v>
      </c>
      <c r="O293" s="3">
        <v>45342</v>
      </c>
    </row>
    <row r="294" spans="1:15" x14ac:dyDescent="0.3">
      <c r="A294" s="3">
        <v>45334</v>
      </c>
      <c r="B294" t="s">
        <v>67</v>
      </c>
      <c r="C294" t="s">
        <v>46</v>
      </c>
      <c r="D294" s="4" cm="1">
        <f t="array" aca="1" ref="D294" ca="1">IFERROR( _xlfn.XLOOKUP(B294, B$2:INDEX(B:B,ROW()-1), I$2:INDEX(I:I,ROW()-1), 0, 0, -1),0)</f>
        <v>2</v>
      </c>
      <c r="E294">
        <v>8</v>
      </c>
      <c r="F294">
        <f t="shared" ca="1" si="29"/>
        <v>6</v>
      </c>
      <c r="G294">
        <f t="shared" ca="1" si="30"/>
        <v>2</v>
      </c>
      <c r="H294">
        <f t="shared" ca="1" si="31"/>
        <v>1</v>
      </c>
      <c r="I294">
        <f t="shared" ca="1" si="32"/>
        <v>1</v>
      </c>
      <c r="J294">
        <v>3.5</v>
      </c>
      <c r="K294">
        <v>3</v>
      </c>
      <c r="L294">
        <v>8</v>
      </c>
      <c r="M294" s="3">
        <f t="shared" ca="1" si="34"/>
        <v>45398</v>
      </c>
      <c r="N294" s="3">
        <f t="shared" ca="1" si="34"/>
        <v>45404</v>
      </c>
      <c r="O294" s="3">
        <v>45321</v>
      </c>
    </row>
    <row r="295" spans="1:15" x14ac:dyDescent="0.3">
      <c r="A295" s="3">
        <v>45334</v>
      </c>
      <c r="B295" t="s">
        <v>21</v>
      </c>
      <c r="C295" t="s">
        <v>27</v>
      </c>
      <c r="D295" s="4" cm="1">
        <f t="array" aca="1" ref="D295" ca="1">IFERROR( _xlfn.XLOOKUP(B295, B$2:INDEX(B:B,ROW()-1), I$2:INDEX(I:I,ROW()-1), 0, 0, -1),0)</f>
        <v>8</v>
      </c>
      <c r="E295">
        <v>8</v>
      </c>
      <c r="F295">
        <f t="shared" ca="1" si="29"/>
        <v>3</v>
      </c>
      <c r="G295">
        <f t="shared" ca="1" si="30"/>
        <v>4</v>
      </c>
      <c r="H295">
        <f t="shared" ca="1" si="31"/>
        <v>2</v>
      </c>
      <c r="I295">
        <f t="shared" ca="1" si="32"/>
        <v>7</v>
      </c>
      <c r="J295">
        <v>4</v>
      </c>
      <c r="K295">
        <v>3</v>
      </c>
      <c r="L295">
        <v>14</v>
      </c>
      <c r="M295" s="3">
        <f t="shared" ca="1" si="34"/>
        <v>45396</v>
      </c>
      <c r="N295" s="3">
        <f t="shared" ca="1" si="34"/>
        <v>45419</v>
      </c>
      <c r="O295" s="3">
        <v>45431</v>
      </c>
    </row>
    <row r="296" spans="1:15" x14ac:dyDescent="0.3">
      <c r="A296" s="3">
        <v>45334</v>
      </c>
      <c r="B296" t="s">
        <v>20</v>
      </c>
      <c r="C296" t="s">
        <v>25</v>
      </c>
      <c r="D296" s="4" cm="1">
        <f t="array" aca="1" ref="D296" ca="1">IFERROR( _xlfn.XLOOKUP(B296, B$2:INDEX(B:B,ROW()-1), I$2:INDEX(I:I,ROW()-1), 0, 0, -1),0)</f>
        <v>3</v>
      </c>
      <c r="E296">
        <v>10</v>
      </c>
      <c r="F296">
        <f t="shared" ca="1" si="29"/>
        <v>8</v>
      </c>
      <c r="G296">
        <f t="shared" ca="1" si="30"/>
        <v>2</v>
      </c>
      <c r="H296">
        <f t="shared" ca="1" si="31"/>
        <v>2</v>
      </c>
      <c r="I296">
        <f t="shared" ca="1" si="32"/>
        <v>1</v>
      </c>
      <c r="J296">
        <v>4.5</v>
      </c>
      <c r="K296">
        <v>4</v>
      </c>
      <c r="L296">
        <v>10</v>
      </c>
      <c r="M296" s="3">
        <f t="shared" ca="1" si="34"/>
        <v>45388</v>
      </c>
      <c r="N296" s="3">
        <f t="shared" ca="1" si="34"/>
        <v>45399</v>
      </c>
      <c r="O296" s="3">
        <v>45341</v>
      </c>
    </row>
    <row r="297" spans="1:15" x14ac:dyDescent="0.3">
      <c r="A297" s="3">
        <v>45335</v>
      </c>
      <c r="B297" t="s">
        <v>63</v>
      </c>
      <c r="C297" t="s">
        <v>97</v>
      </c>
      <c r="D297" s="4" cm="1">
        <f t="array" aca="1" ref="D297" ca="1">IFERROR( _xlfn.XLOOKUP(B297, B$2:INDEX(B:B,ROW()-1), I$2:INDEX(I:I,ROW()-1), 0, 0, -1),0)</f>
        <v>10</v>
      </c>
      <c r="E297">
        <v>10</v>
      </c>
      <c r="F297">
        <f t="shared" ca="1" si="29"/>
        <v>10</v>
      </c>
      <c r="G297">
        <f t="shared" ca="1" si="30"/>
        <v>4</v>
      </c>
      <c r="H297">
        <f t="shared" ca="1" si="31"/>
        <v>2</v>
      </c>
      <c r="I297">
        <f t="shared" ca="1" si="32"/>
        <v>4</v>
      </c>
      <c r="J297">
        <v>4</v>
      </c>
      <c r="K297">
        <v>3.5</v>
      </c>
      <c r="L297">
        <v>10</v>
      </c>
      <c r="M297" s="3">
        <f t="shared" ca="1" si="34"/>
        <v>45324</v>
      </c>
      <c r="N297" s="3">
        <f t="shared" ca="1" si="34"/>
        <v>45417</v>
      </c>
      <c r="O297" s="3">
        <v>45428</v>
      </c>
    </row>
    <row r="298" spans="1:15" x14ac:dyDescent="0.3">
      <c r="A298" s="3">
        <v>45335</v>
      </c>
      <c r="B298" t="s">
        <v>92</v>
      </c>
      <c r="C298" t="s">
        <v>91</v>
      </c>
      <c r="D298" s="4" cm="1">
        <f t="array" aca="1" ref="D298" ca="1">IFERROR( _xlfn.XLOOKUP(B298, B$2:INDEX(B:B,ROW()-1), I$2:INDEX(I:I,ROW()-1), 0, 0, -1),0)</f>
        <v>6</v>
      </c>
      <c r="E298">
        <v>6</v>
      </c>
      <c r="F298">
        <f t="shared" ca="1" si="29"/>
        <v>0</v>
      </c>
      <c r="G298">
        <f t="shared" ca="1" si="30"/>
        <v>6</v>
      </c>
      <c r="H298">
        <f t="shared" ca="1" si="31"/>
        <v>4</v>
      </c>
      <c r="I298">
        <f t="shared" ca="1" si="32"/>
        <v>2</v>
      </c>
      <c r="J298">
        <v>4.5</v>
      </c>
      <c r="K298">
        <v>4</v>
      </c>
      <c r="L298">
        <v>14</v>
      </c>
      <c r="M298" s="3">
        <f t="shared" ca="1" si="34"/>
        <v>45377</v>
      </c>
      <c r="N298" s="3">
        <f t="shared" ca="1" si="34"/>
        <v>45414</v>
      </c>
      <c r="O298" s="3">
        <v>45415</v>
      </c>
    </row>
    <row r="299" spans="1:15" x14ac:dyDescent="0.3">
      <c r="A299" s="3">
        <v>45335</v>
      </c>
      <c r="B299" t="s">
        <v>80</v>
      </c>
      <c r="C299" t="s">
        <v>49</v>
      </c>
      <c r="D299" s="4" cm="1">
        <f t="array" aca="1" ref="D299" ca="1">IFERROR( _xlfn.XLOOKUP(B299, B$2:INDEX(B:B,ROW()-1), I$2:INDEX(I:I,ROW()-1), 0, 0, -1),0)</f>
        <v>5</v>
      </c>
      <c r="E299">
        <v>8</v>
      </c>
      <c r="F299">
        <f t="shared" ca="1" si="29"/>
        <v>2</v>
      </c>
      <c r="G299">
        <f t="shared" ca="1" si="30"/>
        <v>2</v>
      </c>
      <c r="H299">
        <f t="shared" ca="1" si="31"/>
        <v>5</v>
      </c>
      <c r="I299">
        <f t="shared" ca="1" si="32"/>
        <v>4</v>
      </c>
      <c r="J299">
        <v>2.5</v>
      </c>
      <c r="K299">
        <v>2</v>
      </c>
      <c r="L299">
        <v>5</v>
      </c>
      <c r="M299" s="3">
        <f t="shared" ca="1" si="34"/>
        <v>45347</v>
      </c>
      <c r="N299" s="3">
        <f t="shared" ca="1" si="34"/>
        <v>45301</v>
      </c>
      <c r="O299" s="3">
        <v>45365</v>
      </c>
    </row>
    <row r="300" spans="1:15" x14ac:dyDescent="0.3">
      <c r="A300" s="3">
        <v>45335</v>
      </c>
      <c r="B300" t="s">
        <v>65</v>
      </c>
      <c r="C300" t="s">
        <v>44</v>
      </c>
      <c r="D300" s="4" cm="1">
        <f t="array" aca="1" ref="D300" ca="1">IFERROR( _xlfn.XLOOKUP(B300, B$2:INDEX(B:B,ROW()-1), I$2:INDEX(I:I,ROW()-1), 0, 0, -1),0)</f>
        <v>3</v>
      </c>
      <c r="E300">
        <v>10</v>
      </c>
      <c r="F300">
        <f t="shared" ca="1" si="29"/>
        <v>7</v>
      </c>
      <c r="G300">
        <f t="shared" ca="1" si="30"/>
        <v>4</v>
      </c>
      <c r="H300">
        <f t="shared" ca="1" si="31"/>
        <v>1</v>
      </c>
      <c r="I300">
        <f t="shared" ca="1" si="32"/>
        <v>1</v>
      </c>
      <c r="J300">
        <v>3.5</v>
      </c>
      <c r="K300">
        <v>3</v>
      </c>
      <c r="L300">
        <v>8</v>
      </c>
      <c r="M300" s="3">
        <f t="shared" ca="1" si="34"/>
        <v>45367</v>
      </c>
      <c r="N300" s="3">
        <f t="shared" ca="1" si="34"/>
        <v>45296</v>
      </c>
      <c r="O300" s="3">
        <v>45423</v>
      </c>
    </row>
    <row r="301" spans="1:15" x14ac:dyDescent="0.3">
      <c r="A301" s="3">
        <v>45335</v>
      </c>
      <c r="B301" t="s">
        <v>16</v>
      </c>
      <c r="C301" t="s">
        <v>77</v>
      </c>
      <c r="D301" s="4" cm="1">
        <f t="array" aca="1" ref="D301" ca="1">IFERROR( _xlfn.XLOOKUP(B301, B$2:INDEX(B:B,ROW()-1), I$2:INDEX(I:I,ROW()-1), 0, 0, -1),0)</f>
        <v>7</v>
      </c>
      <c r="E301">
        <v>10</v>
      </c>
      <c r="F301">
        <f t="shared" ca="1" si="29"/>
        <v>9</v>
      </c>
      <c r="G301">
        <f t="shared" ca="1" si="30"/>
        <v>2</v>
      </c>
      <c r="H301">
        <f t="shared" ca="1" si="31"/>
        <v>4</v>
      </c>
      <c r="I301">
        <f t="shared" ca="1" si="32"/>
        <v>2</v>
      </c>
      <c r="J301">
        <v>5.5</v>
      </c>
      <c r="K301">
        <v>4.5</v>
      </c>
      <c r="L301">
        <v>7</v>
      </c>
      <c r="M301" s="3">
        <f t="shared" ca="1" si="34"/>
        <v>45334</v>
      </c>
      <c r="N301" s="3">
        <f t="shared" ca="1" si="34"/>
        <v>45358</v>
      </c>
      <c r="O301" s="3">
        <v>45412</v>
      </c>
    </row>
    <row r="302" spans="1:15" x14ac:dyDescent="0.3">
      <c r="A302" s="3">
        <v>45335</v>
      </c>
      <c r="B302" t="s">
        <v>37</v>
      </c>
      <c r="C302" t="s">
        <v>51</v>
      </c>
      <c r="D302" s="4" cm="1">
        <f t="array" aca="1" ref="D302" ca="1">IFERROR( _xlfn.XLOOKUP(B302, B$2:INDEX(B:B,ROW()-1), I$2:INDEX(I:I,ROW()-1), 0, 0, -1),0)</f>
        <v>8</v>
      </c>
      <c r="E302">
        <v>12</v>
      </c>
      <c r="F302">
        <f t="shared" ca="1" si="29"/>
        <v>6</v>
      </c>
      <c r="G302">
        <f t="shared" ca="1" si="30"/>
        <v>0</v>
      </c>
      <c r="H302">
        <f t="shared" ca="1" si="31"/>
        <v>6</v>
      </c>
      <c r="I302">
        <f t="shared" ca="1" si="32"/>
        <v>8</v>
      </c>
      <c r="J302">
        <v>3.5</v>
      </c>
      <c r="K302">
        <v>3</v>
      </c>
      <c r="L302">
        <v>14</v>
      </c>
      <c r="M302" s="3">
        <f t="shared" ref="M302:N321" ca="1" si="35">DATE(2024,1,1) + RANDBETWEEN(0, DATE(2024,5,25) - DATE(2024,1,1))</f>
        <v>45403</v>
      </c>
      <c r="N302" s="3">
        <f t="shared" ca="1" si="35"/>
        <v>45374</v>
      </c>
      <c r="O302" s="3">
        <v>45299</v>
      </c>
    </row>
    <row r="303" spans="1:15" x14ac:dyDescent="0.3">
      <c r="A303" s="3">
        <v>45336</v>
      </c>
      <c r="B303" t="s">
        <v>23</v>
      </c>
      <c r="C303" t="s">
        <v>28</v>
      </c>
      <c r="D303" s="4" cm="1">
        <f t="array" aca="1" ref="D303" ca="1">IFERROR( _xlfn.XLOOKUP(B303, B$2:INDEX(B:B,ROW()-1), I$2:INDEX(I:I,ROW()-1), 0, 0, -1),0)</f>
        <v>6</v>
      </c>
      <c r="E303">
        <v>9</v>
      </c>
      <c r="F303">
        <f t="shared" ca="1" si="29"/>
        <v>9</v>
      </c>
      <c r="G303">
        <f t="shared" ca="1" si="30"/>
        <v>4</v>
      </c>
      <c r="H303">
        <f t="shared" ca="1" si="31"/>
        <v>0</v>
      </c>
      <c r="I303">
        <f t="shared" ca="1" si="32"/>
        <v>2</v>
      </c>
      <c r="J303">
        <v>6.5</v>
      </c>
      <c r="K303">
        <v>5.5</v>
      </c>
      <c r="L303">
        <v>9</v>
      </c>
      <c r="M303" s="3">
        <f t="shared" ca="1" si="35"/>
        <v>45356</v>
      </c>
      <c r="N303" s="3">
        <f t="shared" ca="1" si="35"/>
        <v>45298</v>
      </c>
      <c r="O303" s="3">
        <v>45367</v>
      </c>
    </row>
    <row r="304" spans="1:15" x14ac:dyDescent="0.3">
      <c r="A304" s="3">
        <v>45336</v>
      </c>
      <c r="B304" t="s">
        <v>21</v>
      </c>
      <c r="C304" t="s">
        <v>27</v>
      </c>
      <c r="D304" s="4" cm="1">
        <f t="array" aca="1" ref="D304" ca="1">IFERROR( _xlfn.XLOOKUP(B304, B$2:INDEX(B:B,ROW()-1), I$2:INDEX(I:I,ROW()-1), 0, 0, -1),0)</f>
        <v>7</v>
      </c>
      <c r="E304">
        <v>8</v>
      </c>
      <c r="F304">
        <f t="shared" ca="1" si="29"/>
        <v>6</v>
      </c>
      <c r="G304">
        <f t="shared" ca="1" si="30"/>
        <v>0</v>
      </c>
      <c r="H304">
        <f t="shared" ca="1" si="31"/>
        <v>4</v>
      </c>
      <c r="I304">
        <f t="shared" ca="1" si="32"/>
        <v>5</v>
      </c>
      <c r="J304">
        <v>4</v>
      </c>
      <c r="K304">
        <v>3</v>
      </c>
      <c r="L304">
        <v>14</v>
      </c>
      <c r="M304" s="3">
        <f t="shared" ca="1" si="35"/>
        <v>45339</v>
      </c>
      <c r="N304" s="3">
        <f t="shared" ca="1" si="35"/>
        <v>45414</v>
      </c>
      <c r="O304" s="3">
        <v>45436</v>
      </c>
    </row>
    <row r="305" spans="1:15" x14ac:dyDescent="0.3">
      <c r="A305" s="3">
        <v>45336</v>
      </c>
      <c r="B305" t="s">
        <v>60</v>
      </c>
      <c r="C305" t="s">
        <v>94</v>
      </c>
      <c r="D305" s="4" cm="1">
        <f t="array" aca="1" ref="D305" ca="1">IFERROR( _xlfn.XLOOKUP(B305, B$2:INDEX(B:B,ROW()-1), I$2:INDEX(I:I,ROW()-1), 0, 0, -1),0)</f>
        <v>5</v>
      </c>
      <c r="E305">
        <v>10</v>
      </c>
      <c r="F305">
        <f t="shared" ca="1" si="29"/>
        <v>1</v>
      </c>
      <c r="G305">
        <f t="shared" ca="1" si="30"/>
        <v>2</v>
      </c>
      <c r="H305">
        <f t="shared" ca="1" si="31"/>
        <v>1</v>
      </c>
      <c r="I305">
        <f t="shared" ca="1" si="32"/>
        <v>11</v>
      </c>
      <c r="J305">
        <v>4</v>
      </c>
      <c r="K305">
        <v>3.5</v>
      </c>
      <c r="L305">
        <v>10</v>
      </c>
      <c r="M305" s="3">
        <f t="shared" ca="1" si="35"/>
        <v>45362</v>
      </c>
      <c r="N305" s="3">
        <f t="shared" ca="1" si="35"/>
        <v>45319</v>
      </c>
      <c r="O305" s="3">
        <v>45427</v>
      </c>
    </row>
    <row r="306" spans="1:15" x14ac:dyDescent="0.3">
      <c r="A306" s="3">
        <v>45336</v>
      </c>
      <c r="B306" t="s">
        <v>37</v>
      </c>
      <c r="C306" t="s">
        <v>51</v>
      </c>
      <c r="D306" s="4" cm="1">
        <f t="array" aca="1" ref="D306" ca="1">IFERROR( _xlfn.XLOOKUP(B306, B$2:INDEX(B:B,ROW()-1), I$2:INDEX(I:I,ROW()-1), 0, 0, -1),0)</f>
        <v>8</v>
      </c>
      <c r="E306">
        <v>12</v>
      </c>
      <c r="F306">
        <f t="shared" ca="1" si="29"/>
        <v>0</v>
      </c>
      <c r="G306">
        <f t="shared" ca="1" si="30"/>
        <v>9</v>
      </c>
      <c r="H306">
        <f t="shared" ca="1" si="31"/>
        <v>2</v>
      </c>
      <c r="I306">
        <f t="shared" ca="1" si="32"/>
        <v>9</v>
      </c>
      <c r="J306">
        <v>3.5</v>
      </c>
      <c r="K306">
        <v>3</v>
      </c>
      <c r="L306">
        <v>14</v>
      </c>
      <c r="M306" s="3">
        <f t="shared" ca="1" si="35"/>
        <v>45411</v>
      </c>
      <c r="N306" s="3">
        <f t="shared" ca="1" si="35"/>
        <v>45394</v>
      </c>
      <c r="O306" s="3">
        <v>45437</v>
      </c>
    </row>
    <row r="307" spans="1:15" x14ac:dyDescent="0.3">
      <c r="A307" s="3">
        <v>45336</v>
      </c>
      <c r="B307" t="s">
        <v>68</v>
      </c>
      <c r="C307" t="s">
        <v>43</v>
      </c>
      <c r="D307" s="4" cm="1">
        <f t="array" aca="1" ref="D307" ca="1">IFERROR( _xlfn.XLOOKUP(B307, B$2:INDEX(B:B,ROW()-1), I$2:INDEX(I:I,ROW()-1), 0, 0, -1),0)</f>
        <v>6</v>
      </c>
      <c r="E307">
        <v>15</v>
      </c>
      <c r="F307">
        <f t="shared" ca="1" si="29"/>
        <v>1</v>
      </c>
      <c r="G307">
        <f t="shared" ca="1" si="30"/>
        <v>8</v>
      </c>
      <c r="H307">
        <f t="shared" ca="1" si="31"/>
        <v>1</v>
      </c>
      <c r="I307">
        <f t="shared" ca="1" si="32"/>
        <v>11</v>
      </c>
      <c r="J307">
        <v>4</v>
      </c>
      <c r="K307">
        <v>3</v>
      </c>
      <c r="L307">
        <v>14</v>
      </c>
      <c r="M307" s="3">
        <f t="shared" ca="1" si="35"/>
        <v>45362</v>
      </c>
      <c r="N307" s="3">
        <f t="shared" ca="1" si="35"/>
        <v>45393</v>
      </c>
      <c r="O307" s="3">
        <v>45336</v>
      </c>
    </row>
    <row r="308" spans="1:15" x14ac:dyDescent="0.3">
      <c r="A308" s="3">
        <v>45336</v>
      </c>
      <c r="B308" t="s">
        <v>65</v>
      </c>
      <c r="C308" t="s">
        <v>44</v>
      </c>
      <c r="D308" s="4" cm="1">
        <f t="array" aca="1" ref="D308" ca="1">IFERROR( _xlfn.XLOOKUP(B308, B$2:INDEX(B:B,ROW()-1), I$2:INDEX(I:I,ROW()-1), 0, 0, -1),0)</f>
        <v>1</v>
      </c>
      <c r="E308">
        <v>10</v>
      </c>
      <c r="F308">
        <f t="shared" ca="1" si="29"/>
        <v>2</v>
      </c>
      <c r="G308">
        <f t="shared" ca="1" si="30"/>
        <v>4</v>
      </c>
      <c r="H308">
        <f t="shared" ca="1" si="31"/>
        <v>2</v>
      </c>
      <c r="I308">
        <f t="shared" ca="1" si="32"/>
        <v>3</v>
      </c>
      <c r="J308">
        <v>3.5</v>
      </c>
      <c r="K308">
        <v>3</v>
      </c>
      <c r="L308">
        <v>8</v>
      </c>
      <c r="M308" s="3">
        <f t="shared" ca="1" si="35"/>
        <v>45393</v>
      </c>
      <c r="N308" s="3">
        <f t="shared" ca="1" si="35"/>
        <v>45384</v>
      </c>
      <c r="O308" s="3">
        <v>45328</v>
      </c>
    </row>
    <row r="309" spans="1:15" x14ac:dyDescent="0.3">
      <c r="A309" s="3">
        <v>45337</v>
      </c>
      <c r="B309" t="s">
        <v>64</v>
      </c>
      <c r="C309" t="s">
        <v>42</v>
      </c>
      <c r="D309" s="4" cm="1">
        <f t="array" aca="1" ref="D309" ca="1">IFERROR( _xlfn.XLOOKUP(B309, B$2:INDEX(B:B,ROW()-1), I$2:INDEX(I:I,ROW()-1), 0, 0, -1),0)</f>
        <v>6</v>
      </c>
      <c r="E309">
        <v>8</v>
      </c>
      <c r="F309">
        <f t="shared" ca="1" si="29"/>
        <v>0</v>
      </c>
      <c r="G309">
        <f t="shared" ca="1" si="30"/>
        <v>5</v>
      </c>
      <c r="H309">
        <f t="shared" ca="1" si="31"/>
        <v>5</v>
      </c>
      <c r="I309">
        <f t="shared" ca="1" si="32"/>
        <v>4</v>
      </c>
      <c r="J309">
        <v>3.5</v>
      </c>
      <c r="K309">
        <v>3</v>
      </c>
      <c r="L309">
        <v>8</v>
      </c>
      <c r="M309" s="3">
        <f t="shared" ca="1" si="35"/>
        <v>45423</v>
      </c>
      <c r="N309" s="3">
        <f t="shared" ca="1" si="35"/>
        <v>45355</v>
      </c>
      <c r="O309" s="3">
        <v>45386</v>
      </c>
    </row>
    <row r="310" spans="1:15" x14ac:dyDescent="0.3">
      <c r="A310" s="3">
        <v>45337</v>
      </c>
      <c r="B310" t="s">
        <v>41</v>
      </c>
      <c r="C310" t="s">
        <v>86</v>
      </c>
      <c r="D310" s="4" cm="1">
        <f t="array" aca="1" ref="D310" ca="1">IFERROR( _xlfn.XLOOKUP(B310, B$2:INDEX(B:B,ROW()-1), I$2:INDEX(I:I,ROW()-1), 0, 0, -1),0)</f>
        <v>4</v>
      </c>
      <c r="E310">
        <v>15</v>
      </c>
      <c r="F310">
        <f t="shared" ca="1" si="29"/>
        <v>11</v>
      </c>
      <c r="G310">
        <f t="shared" ca="1" si="30"/>
        <v>3</v>
      </c>
      <c r="H310">
        <f t="shared" ca="1" si="31"/>
        <v>3</v>
      </c>
      <c r="I310">
        <f t="shared" ca="1" si="32"/>
        <v>2</v>
      </c>
      <c r="J310">
        <v>3</v>
      </c>
      <c r="K310">
        <v>2.5</v>
      </c>
      <c r="L310">
        <v>14</v>
      </c>
      <c r="M310" s="3">
        <f t="shared" ca="1" si="35"/>
        <v>45410</v>
      </c>
      <c r="N310" s="3">
        <f t="shared" ca="1" si="35"/>
        <v>45311</v>
      </c>
      <c r="O310" s="3">
        <v>45418</v>
      </c>
    </row>
    <row r="311" spans="1:15" x14ac:dyDescent="0.3">
      <c r="A311" s="3">
        <v>45337</v>
      </c>
      <c r="B311" t="s">
        <v>70</v>
      </c>
      <c r="C311" t="s">
        <v>99</v>
      </c>
      <c r="D311" s="4" cm="1">
        <f t="array" aca="1" ref="D311" ca="1">IFERROR( _xlfn.XLOOKUP(B311, B$2:INDEX(B:B,ROW()-1), I$2:INDEX(I:I,ROW()-1), 0, 0, -1),0)</f>
        <v>3</v>
      </c>
      <c r="E311">
        <v>6</v>
      </c>
      <c r="F311">
        <f t="shared" ca="1" si="29"/>
        <v>1</v>
      </c>
      <c r="G311">
        <f t="shared" ca="1" si="30"/>
        <v>5</v>
      </c>
      <c r="H311">
        <f t="shared" ca="1" si="31"/>
        <v>2</v>
      </c>
      <c r="I311">
        <f t="shared" ca="1" si="32"/>
        <v>1</v>
      </c>
      <c r="J311">
        <v>4</v>
      </c>
      <c r="K311">
        <v>3</v>
      </c>
      <c r="L311">
        <v>7</v>
      </c>
      <c r="M311" s="3">
        <f t="shared" ca="1" si="35"/>
        <v>45357</v>
      </c>
      <c r="N311" s="3">
        <f t="shared" ca="1" si="35"/>
        <v>45402</v>
      </c>
      <c r="O311" s="3">
        <v>45356</v>
      </c>
    </row>
    <row r="312" spans="1:15" x14ac:dyDescent="0.3">
      <c r="A312" s="3">
        <v>45337</v>
      </c>
      <c r="B312" t="s">
        <v>69</v>
      </c>
      <c r="C312" t="s">
        <v>98</v>
      </c>
      <c r="D312" s="4" cm="1">
        <f t="array" aca="1" ref="D312" ca="1">IFERROR( _xlfn.XLOOKUP(B312, B$2:INDEX(B:B,ROW()-1), I$2:INDEX(I:I,ROW()-1), 0, 0, -1),0)</f>
        <v>3</v>
      </c>
      <c r="E312">
        <v>6</v>
      </c>
      <c r="F312">
        <f t="shared" ca="1" si="29"/>
        <v>4</v>
      </c>
      <c r="G312">
        <f t="shared" ca="1" si="30"/>
        <v>0</v>
      </c>
      <c r="H312">
        <f t="shared" ca="1" si="31"/>
        <v>0</v>
      </c>
      <c r="I312">
        <f t="shared" ca="1" si="32"/>
        <v>5</v>
      </c>
      <c r="J312">
        <v>4</v>
      </c>
      <c r="K312">
        <v>3</v>
      </c>
      <c r="L312">
        <v>7</v>
      </c>
      <c r="M312" s="3">
        <f t="shared" ca="1" si="35"/>
        <v>45346</v>
      </c>
      <c r="N312" s="3">
        <f t="shared" ca="1" si="35"/>
        <v>45392</v>
      </c>
      <c r="O312" s="3">
        <v>45408</v>
      </c>
    </row>
    <row r="313" spans="1:15" x14ac:dyDescent="0.3">
      <c r="A313" s="3">
        <v>45337</v>
      </c>
      <c r="B313" t="s">
        <v>80</v>
      </c>
      <c r="C313" t="s">
        <v>49</v>
      </c>
      <c r="D313" s="4" cm="1">
        <f t="array" aca="1" ref="D313" ca="1">IFERROR( _xlfn.XLOOKUP(B313, B$2:INDEX(B:B,ROW()-1), I$2:INDEX(I:I,ROW()-1), 0, 0, -1),0)</f>
        <v>4</v>
      </c>
      <c r="E313">
        <v>8</v>
      </c>
      <c r="F313">
        <f t="shared" ca="1" si="29"/>
        <v>7</v>
      </c>
      <c r="G313">
        <f t="shared" ca="1" si="30"/>
        <v>3</v>
      </c>
      <c r="H313">
        <f t="shared" ca="1" si="31"/>
        <v>0</v>
      </c>
      <c r="I313">
        <f t="shared" ca="1" si="32"/>
        <v>2</v>
      </c>
      <c r="J313">
        <v>2.5</v>
      </c>
      <c r="K313">
        <v>2</v>
      </c>
      <c r="L313">
        <v>5</v>
      </c>
      <c r="M313" s="3">
        <f t="shared" ca="1" si="35"/>
        <v>45324</v>
      </c>
      <c r="N313" s="3">
        <f t="shared" ca="1" si="35"/>
        <v>45348</v>
      </c>
      <c r="O313" s="3">
        <v>45425</v>
      </c>
    </row>
    <row r="314" spans="1:15" x14ac:dyDescent="0.3">
      <c r="A314" s="3">
        <v>45337</v>
      </c>
      <c r="B314" t="s">
        <v>72</v>
      </c>
      <c r="C314" t="s">
        <v>48</v>
      </c>
      <c r="D314" s="4" cm="1">
        <f t="array" aca="1" ref="D314" ca="1">IFERROR( _xlfn.XLOOKUP(B314, B$2:INDEX(B:B,ROW()-1), I$2:INDEX(I:I,ROW()-1), 0, 0, -1),0)</f>
        <v>1</v>
      </c>
      <c r="E314">
        <v>6</v>
      </c>
      <c r="F314">
        <f t="shared" ca="1" si="29"/>
        <v>2</v>
      </c>
      <c r="G314">
        <f t="shared" ca="1" si="30"/>
        <v>2</v>
      </c>
      <c r="H314">
        <f t="shared" ca="1" si="31"/>
        <v>1</v>
      </c>
      <c r="I314">
        <f t="shared" ca="1" si="32"/>
        <v>2</v>
      </c>
      <c r="J314">
        <v>4</v>
      </c>
      <c r="K314">
        <v>3</v>
      </c>
      <c r="L314">
        <v>7</v>
      </c>
      <c r="M314" s="3">
        <f t="shared" ca="1" si="35"/>
        <v>45297</v>
      </c>
      <c r="N314" s="3">
        <f t="shared" ca="1" si="35"/>
        <v>45391</v>
      </c>
      <c r="O314" s="3">
        <v>45383</v>
      </c>
    </row>
    <row r="315" spans="1:15" x14ac:dyDescent="0.3">
      <c r="A315" s="3">
        <v>45337</v>
      </c>
      <c r="B315" t="s">
        <v>55</v>
      </c>
      <c r="C315" t="s">
        <v>53</v>
      </c>
      <c r="D315" s="4" cm="1">
        <f t="array" aca="1" ref="D315" ca="1">IFERROR( _xlfn.XLOOKUP(B315, B$2:INDEX(B:B,ROW()-1), I$2:INDEX(I:I,ROW()-1), 0, 0, -1),0)</f>
        <v>4</v>
      </c>
      <c r="E315">
        <v>4</v>
      </c>
      <c r="F315">
        <f t="shared" ca="1" si="29"/>
        <v>1</v>
      </c>
      <c r="G315">
        <f t="shared" ca="1" si="30"/>
        <v>3</v>
      </c>
      <c r="H315">
        <f t="shared" ca="1" si="31"/>
        <v>2</v>
      </c>
      <c r="I315">
        <f t="shared" ca="1" si="32"/>
        <v>2</v>
      </c>
      <c r="J315">
        <v>8.5</v>
      </c>
      <c r="K315">
        <v>6</v>
      </c>
      <c r="L315">
        <v>7</v>
      </c>
      <c r="M315" s="3">
        <f t="shared" ca="1" si="35"/>
        <v>45311</v>
      </c>
      <c r="N315" s="3">
        <f t="shared" ca="1" si="35"/>
        <v>45417</v>
      </c>
      <c r="O315" s="3">
        <v>45359</v>
      </c>
    </row>
    <row r="316" spans="1:15" x14ac:dyDescent="0.3">
      <c r="A316" s="3">
        <v>45337</v>
      </c>
      <c r="B316" t="s">
        <v>71</v>
      </c>
      <c r="C316" t="s">
        <v>47</v>
      </c>
      <c r="D316" s="4" cm="1">
        <f t="array" aca="1" ref="D316" ca="1">IFERROR( _xlfn.XLOOKUP(B316, B$2:INDEX(B:B,ROW()-1), I$2:INDEX(I:I,ROW()-1), 0, 0, -1),0)</f>
        <v>3</v>
      </c>
      <c r="E316">
        <v>6</v>
      </c>
      <c r="F316">
        <f t="shared" ca="1" si="29"/>
        <v>3</v>
      </c>
      <c r="G316">
        <f t="shared" ca="1" si="30"/>
        <v>1</v>
      </c>
      <c r="H316">
        <f t="shared" ca="1" si="31"/>
        <v>3</v>
      </c>
      <c r="I316">
        <f t="shared" ca="1" si="32"/>
        <v>2</v>
      </c>
      <c r="J316">
        <v>4</v>
      </c>
      <c r="K316">
        <v>3</v>
      </c>
      <c r="L316">
        <v>7</v>
      </c>
      <c r="M316" s="3">
        <f t="shared" ca="1" si="35"/>
        <v>45307</v>
      </c>
      <c r="N316" s="3">
        <f t="shared" ca="1" si="35"/>
        <v>45402</v>
      </c>
      <c r="O316" s="3">
        <v>45391</v>
      </c>
    </row>
    <row r="317" spans="1:15" x14ac:dyDescent="0.3">
      <c r="A317" s="3">
        <v>45338</v>
      </c>
      <c r="B317" t="s">
        <v>88</v>
      </c>
      <c r="C317" t="s">
        <v>102</v>
      </c>
      <c r="D317" s="4" cm="1">
        <f t="array" aca="1" ref="D317" ca="1">IFERROR( _xlfn.XLOOKUP(B317, B$2:INDEX(B:B,ROW()-1), I$2:INDEX(I:I,ROW()-1), 0, 0, -1),0)</f>
        <v>5</v>
      </c>
      <c r="E317">
        <v>8</v>
      </c>
      <c r="F317">
        <f t="shared" ca="1" si="29"/>
        <v>5</v>
      </c>
      <c r="G317">
        <f t="shared" ca="1" si="30"/>
        <v>4</v>
      </c>
      <c r="H317">
        <f t="shared" ca="1" si="31"/>
        <v>1</v>
      </c>
      <c r="I317">
        <f t="shared" ca="1" si="32"/>
        <v>3</v>
      </c>
      <c r="J317">
        <v>3.5</v>
      </c>
      <c r="K317">
        <v>3</v>
      </c>
      <c r="L317">
        <v>8</v>
      </c>
      <c r="M317" s="3">
        <f t="shared" ca="1" si="35"/>
        <v>45298</v>
      </c>
      <c r="N317" s="3">
        <f t="shared" ca="1" si="35"/>
        <v>45385</v>
      </c>
      <c r="O317" s="3">
        <v>45344</v>
      </c>
    </row>
    <row r="318" spans="1:15" x14ac:dyDescent="0.3">
      <c r="A318" s="3">
        <v>45338</v>
      </c>
      <c r="B318" t="s">
        <v>68</v>
      </c>
      <c r="C318" t="s">
        <v>43</v>
      </c>
      <c r="D318" s="4" cm="1">
        <f t="array" aca="1" ref="D318" ca="1">IFERROR( _xlfn.XLOOKUP(B318, B$2:INDEX(B:B,ROW()-1), I$2:INDEX(I:I,ROW()-1), 0, 0, -1),0)</f>
        <v>0</v>
      </c>
      <c r="E318">
        <v>15</v>
      </c>
      <c r="F318">
        <f t="shared" ca="1" si="29"/>
        <v>5</v>
      </c>
      <c r="G318">
        <f t="shared" ca="1" si="30"/>
        <v>6</v>
      </c>
      <c r="H318">
        <f t="shared" ca="1" si="31"/>
        <v>1</v>
      </c>
      <c r="I318">
        <f t="shared" ca="1" si="32"/>
        <v>3</v>
      </c>
      <c r="J318">
        <v>4</v>
      </c>
      <c r="K318">
        <v>3</v>
      </c>
      <c r="L318">
        <v>14</v>
      </c>
      <c r="M318" s="3">
        <f t="shared" ca="1" si="35"/>
        <v>45432</v>
      </c>
      <c r="N318" s="3">
        <f t="shared" ca="1" si="35"/>
        <v>45369</v>
      </c>
      <c r="O318" s="3">
        <v>45298</v>
      </c>
    </row>
    <row r="319" spans="1:15" x14ac:dyDescent="0.3">
      <c r="A319" s="3">
        <v>45338</v>
      </c>
      <c r="B319" t="s">
        <v>10</v>
      </c>
      <c r="C319" t="s">
        <v>18</v>
      </c>
      <c r="D319" s="4" cm="1">
        <f t="array" aca="1" ref="D319" ca="1">IFERROR( _xlfn.XLOOKUP(B319, B$2:INDEX(B:B,ROW()-1), I$2:INDEX(I:I,ROW()-1), 0, 0, -1),0)</f>
        <v>10</v>
      </c>
      <c r="E319">
        <v>10</v>
      </c>
      <c r="F319">
        <f t="shared" ca="1" si="29"/>
        <v>10</v>
      </c>
      <c r="G319">
        <f t="shared" ca="1" si="30"/>
        <v>4</v>
      </c>
      <c r="H319">
        <f t="shared" ca="1" si="31"/>
        <v>1</v>
      </c>
      <c r="I319">
        <f t="shared" ca="1" si="32"/>
        <v>5</v>
      </c>
      <c r="J319">
        <v>5.5</v>
      </c>
      <c r="K319">
        <v>4.5</v>
      </c>
      <c r="L319">
        <v>7</v>
      </c>
      <c r="M319" s="3">
        <f t="shared" ca="1" si="35"/>
        <v>45332</v>
      </c>
      <c r="N319" s="3">
        <f t="shared" ca="1" si="35"/>
        <v>45333</v>
      </c>
      <c r="O319" s="3">
        <v>45398</v>
      </c>
    </row>
    <row r="320" spans="1:15" x14ac:dyDescent="0.3">
      <c r="A320" s="3">
        <v>45338</v>
      </c>
      <c r="B320" t="s">
        <v>62</v>
      </c>
      <c r="C320" t="s">
        <v>96</v>
      </c>
      <c r="D320" s="4" cm="1">
        <f t="array" aca="1" ref="D320" ca="1">IFERROR( _xlfn.XLOOKUP(B320, B$2:INDEX(B:B,ROW()-1), I$2:INDEX(I:I,ROW()-1), 0, 0, -1),0)</f>
        <v>7</v>
      </c>
      <c r="E320">
        <v>10</v>
      </c>
      <c r="F320">
        <f t="shared" ca="1" si="29"/>
        <v>7</v>
      </c>
      <c r="G320">
        <f t="shared" ca="1" si="30"/>
        <v>2</v>
      </c>
      <c r="H320">
        <f t="shared" ca="1" si="31"/>
        <v>4</v>
      </c>
      <c r="I320">
        <f t="shared" ca="1" si="32"/>
        <v>4</v>
      </c>
      <c r="J320">
        <v>4</v>
      </c>
      <c r="K320">
        <v>3.5</v>
      </c>
      <c r="L320">
        <v>10</v>
      </c>
      <c r="M320" s="3">
        <f t="shared" ca="1" si="35"/>
        <v>45371</v>
      </c>
      <c r="N320" s="3">
        <f t="shared" ca="1" si="35"/>
        <v>45303</v>
      </c>
      <c r="O320" s="3">
        <v>45355</v>
      </c>
    </row>
    <row r="321" spans="1:15" x14ac:dyDescent="0.3">
      <c r="A321" s="3">
        <v>45339</v>
      </c>
      <c r="B321" t="s">
        <v>70</v>
      </c>
      <c r="C321" t="s">
        <v>99</v>
      </c>
      <c r="D321" s="4" cm="1">
        <f t="array" aca="1" ref="D321" ca="1">IFERROR( _xlfn.XLOOKUP(B321, B$2:INDEX(B:B,ROW()-1), I$2:INDEX(I:I,ROW()-1), 0, 0, -1),0)</f>
        <v>1</v>
      </c>
      <c r="E321">
        <v>6</v>
      </c>
      <c r="F321">
        <f t="shared" ca="1" si="29"/>
        <v>1</v>
      </c>
      <c r="G321">
        <f t="shared" ca="1" si="30"/>
        <v>3</v>
      </c>
      <c r="H321">
        <f t="shared" ca="1" si="31"/>
        <v>2</v>
      </c>
      <c r="I321">
        <f t="shared" ca="1" si="32"/>
        <v>1</v>
      </c>
      <c r="J321">
        <v>4</v>
      </c>
      <c r="K321">
        <v>3</v>
      </c>
      <c r="L321">
        <v>7</v>
      </c>
      <c r="M321" s="3">
        <f t="shared" ca="1" si="35"/>
        <v>45394</v>
      </c>
      <c r="N321" s="3">
        <f t="shared" ca="1" si="35"/>
        <v>45359</v>
      </c>
      <c r="O321" s="3">
        <v>45430</v>
      </c>
    </row>
    <row r="322" spans="1:15" x14ac:dyDescent="0.3">
      <c r="A322" s="3">
        <v>45339</v>
      </c>
      <c r="B322" t="s">
        <v>65</v>
      </c>
      <c r="C322" t="s">
        <v>44</v>
      </c>
      <c r="D322" s="4" cm="1">
        <f t="array" aca="1" ref="D322" ca="1">IFERROR( _xlfn.XLOOKUP(B322, B$2:INDEX(B:B,ROW()-1), I$2:INDEX(I:I,ROW()-1), 0, 0, -1),0)</f>
        <v>3</v>
      </c>
      <c r="E322">
        <v>10</v>
      </c>
      <c r="F322">
        <f t="shared" ref="F322:F385" ca="1" si="36">RANDBETWEEN(0, ROUND((D322+E322)*0.6,0))</f>
        <v>6</v>
      </c>
      <c r="G322">
        <f t="shared" ref="G322:G385" ca="1" si="37">RANDBETWEEN(0,ROUND((D322+E322-F322)*0.6,0))</f>
        <v>0</v>
      </c>
      <c r="H322">
        <f t="shared" ref="H322:H385" ca="1" si="38">RANDBETWEEN(0,ROUND((D322+E322-F322-G322)*0.6,0))</f>
        <v>2</v>
      </c>
      <c r="I322">
        <f t="shared" ref="I322:I385" ca="1" si="39">D322+E322-F322-G322-H322</f>
        <v>5</v>
      </c>
      <c r="J322">
        <v>3.5</v>
      </c>
      <c r="K322">
        <v>3</v>
      </c>
      <c r="L322">
        <v>8</v>
      </c>
      <c r="M322" s="3">
        <f t="shared" ref="M322:N341" ca="1" si="40">DATE(2024,1,1) + RANDBETWEEN(0, DATE(2024,5,25) - DATE(2024,1,1))</f>
        <v>45361</v>
      </c>
      <c r="N322" s="3">
        <f t="shared" ca="1" si="40"/>
        <v>45337</v>
      </c>
      <c r="O322" s="3">
        <v>45394</v>
      </c>
    </row>
    <row r="323" spans="1:15" x14ac:dyDescent="0.3">
      <c r="A323" s="3">
        <v>45339</v>
      </c>
      <c r="B323" t="s">
        <v>81</v>
      </c>
      <c r="C323" t="s">
        <v>50</v>
      </c>
      <c r="D323" s="4" cm="1">
        <f t="array" aca="1" ref="D323" ca="1">IFERROR( _xlfn.XLOOKUP(B323, B$2:INDEX(B:B,ROW()-1), I$2:INDEX(I:I,ROW()-1), 0, 0, -1),0)</f>
        <v>4</v>
      </c>
      <c r="E323">
        <v>8</v>
      </c>
      <c r="F323">
        <f t="shared" ca="1" si="36"/>
        <v>7</v>
      </c>
      <c r="G323">
        <f t="shared" ca="1" si="37"/>
        <v>3</v>
      </c>
      <c r="H323">
        <f t="shared" ca="1" si="38"/>
        <v>1</v>
      </c>
      <c r="I323">
        <f t="shared" ca="1" si="39"/>
        <v>1</v>
      </c>
      <c r="J323">
        <v>2.5</v>
      </c>
      <c r="K323">
        <v>2</v>
      </c>
      <c r="L323">
        <v>5</v>
      </c>
      <c r="M323" s="3">
        <f t="shared" ca="1" si="40"/>
        <v>45365</v>
      </c>
      <c r="N323" s="3">
        <f t="shared" ca="1" si="40"/>
        <v>45341</v>
      </c>
      <c r="O323" s="3">
        <v>45393</v>
      </c>
    </row>
    <row r="324" spans="1:15" x14ac:dyDescent="0.3">
      <c r="A324" s="3">
        <v>45339</v>
      </c>
      <c r="B324" t="s">
        <v>19</v>
      </c>
      <c r="C324" t="s">
        <v>17</v>
      </c>
      <c r="D324" s="4" cm="1">
        <f t="array" aca="1" ref="D324" ca="1">IFERROR( _xlfn.XLOOKUP(B324, B$2:INDEX(B:B,ROW()-1), I$2:INDEX(I:I,ROW()-1), 0, 0, -1),0)</f>
        <v>2</v>
      </c>
      <c r="E324">
        <v>10</v>
      </c>
      <c r="F324">
        <f t="shared" ca="1" si="36"/>
        <v>4</v>
      </c>
      <c r="G324">
        <f t="shared" ca="1" si="37"/>
        <v>1</v>
      </c>
      <c r="H324">
        <f t="shared" ca="1" si="38"/>
        <v>3</v>
      </c>
      <c r="I324">
        <f t="shared" ca="1" si="39"/>
        <v>4</v>
      </c>
      <c r="J324">
        <v>4.5</v>
      </c>
      <c r="K324">
        <v>4</v>
      </c>
      <c r="L324">
        <v>10</v>
      </c>
      <c r="M324" s="3">
        <f t="shared" ca="1" si="40"/>
        <v>45366</v>
      </c>
      <c r="N324" s="3">
        <f t="shared" ca="1" si="40"/>
        <v>45394</v>
      </c>
      <c r="O324" s="3">
        <v>45376</v>
      </c>
    </row>
    <row r="325" spans="1:15" x14ac:dyDescent="0.3">
      <c r="A325" s="3">
        <v>45339</v>
      </c>
      <c r="B325" t="s">
        <v>62</v>
      </c>
      <c r="C325" t="s">
        <v>96</v>
      </c>
      <c r="D325" s="4" cm="1">
        <f t="array" aca="1" ref="D325" ca="1">IFERROR( _xlfn.XLOOKUP(B325, B$2:INDEX(B:B,ROW()-1), I$2:INDEX(I:I,ROW()-1), 0, 0, -1),0)</f>
        <v>4</v>
      </c>
      <c r="E325">
        <v>10</v>
      </c>
      <c r="F325">
        <f t="shared" ca="1" si="36"/>
        <v>1</v>
      </c>
      <c r="G325">
        <f t="shared" ca="1" si="37"/>
        <v>4</v>
      </c>
      <c r="H325">
        <f t="shared" ca="1" si="38"/>
        <v>2</v>
      </c>
      <c r="I325">
        <f t="shared" ca="1" si="39"/>
        <v>7</v>
      </c>
      <c r="J325">
        <v>4</v>
      </c>
      <c r="K325">
        <v>3.5</v>
      </c>
      <c r="L325">
        <v>10</v>
      </c>
      <c r="M325" s="3">
        <f t="shared" ca="1" si="40"/>
        <v>45420</v>
      </c>
      <c r="N325" s="3">
        <f t="shared" ca="1" si="40"/>
        <v>45399</v>
      </c>
      <c r="O325" s="3">
        <v>45335</v>
      </c>
    </row>
    <row r="326" spans="1:15" x14ac:dyDescent="0.3">
      <c r="A326" s="3">
        <v>45339</v>
      </c>
      <c r="B326" t="s">
        <v>67</v>
      </c>
      <c r="C326" t="s">
        <v>46</v>
      </c>
      <c r="D326" s="4" cm="1">
        <f t="array" aca="1" ref="D326" ca="1">IFERROR( _xlfn.XLOOKUP(B326, B$2:INDEX(B:B,ROW()-1), I$2:INDEX(I:I,ROW()-1), 0, 0, -1),0)</f>
        <v>1</v>
      </c>
      <c r="E326">
        <v>8</v>
      </c>
      <c r="F326">
        <f t="shared" ca="1" si="36"/>
        <v>0</v>
      </c>
      <c r="G326">
        <f t="shared" ca="1" si="37"/>
        <v>2</v>
      </c>
      <c r="H326">
        <f t="shared" ca="1" si="38"/>
        <v>2</v>
      </c>
      <c r="I326">
        <f t="shared" ca="1" si="39"/>
        <v>5</v>
      </c>
      <c r="J326">
        <v>3.5</v>
      </c>
      <c r="K326">
        <v>3</v>
      </c>
      <c r="L326">
        <v>8</v>
      </c>
      <c r="M326" s="3">
        <f t="shared" ca="1" si="40"/>
        <v>45386</v>
      </c>
      <c r="N326" s="3">
        <f t="shared" ca="1" si="40"/>
        <v>45417</v>
      </c>
      <c r="O326" s="3">
        <v>45387</v>
      </c>
    </row>
    <row r="327" spans="1:15" x14ac:dyDescent="0.3">
      <c r="A327" s="3">
        <v>45339</v>
      </c>
      <c r="B327" t="s">
        <v>34</v>
      </c>
      <c r="C327" t="s">
        <v>30</v>
      </c>
      <c r="D327" s="4" cm="1">
        <f t="array" aca="1" ref="D327" ca="1">IFERROR( _xlfn.XLOOKUP(B327, B$2:INDEX(B:B,ROW()-1), I$2:INDEX(I:I,ROW()-1), 0, 0, -1),0)</f>
        <v>4</v>
      </c>
      <c r="E327">
        <v>6</v>
      </c>
      <c r="F327">
        <f t="shared" ca="1" si="36"/>
        <v>4</v>
      </c>
      <c r="G327">
        <f t="shared" ca="1" si="37"/>
        <v>4</v>
      </c>
      <c r="H327">
        <f t="shared" ca="1" si="38"/>
        <v>1</v>
      </c>
      <c r="I327">
        <f t="shared" ca="1" si="39"/>
        <v>1</v>
      </c>
      <c r="J327">
        <v>3.5</v>
      </c>
      <c r="K327">
        <v>3</v>
      </c>
      <c r="L327">
        <v>10</v>
      </c>
      <c r="M327" s="3">
        <f t="shared" ca="1" si="40"/>
        <v>45302</v>
      </c>
      <c r="N327" s="3">
        <f t="shared" ca="1" si="40"/>
        <v>45416</v>
      </c>
      <c r="O327" s="3">
        <v>45399</v>
      </c>
    </row>
    <row r="328" spans="1:15" x14ac:dyDescent="0.3">
      <c r="A328" s="3">
        <v>45340</v>
      </c>
      <c r="B328" t="s">
        <v>80</v>
      </c>
      <c r="C328" t="s">
        <v>49</v>
      </c>
      <c r="D328" s="4" cm="1">
        <f t="array" aca="1" ref="D328" ca="1">IFERROR( _xlfn.XLOOKUP(B328, B$2:INDEX(B:B,ROW()-1), I$2:INDEX(I:I,ROW()-1), 0, 0, -1),0)</f>
        <v>2</v>
      </c>
      <c r="E328">
        <v>8</v>
      </c>
      <c r="F328">
        <f t="shared" ca="1" si="36"/>
        <v>0</v>
      </c>
      <c r="G328">
        <f t="shared" ca="1" si="37"/>
        <v>3</v>
      </c>
      <c r="H328">
        <f t="shared" ca="1" si="38"/>
        <v>3</v>
      </c>
      <c r="I328">
        <f t="shared" ca="1" si="39"/>
        <v>4</v>
      </c>
      <c r="J328">
        <v>2.5</v>
      </c>
      <c r="K328">
        <v>2</v>
      </c>
      <c r="L328">
        <v>5</v>
      </c>
      <c r="M328" s="3">
        <f t="shared" ca="1" si="40"/>
        <v>45336</v>
      </c>
      <c r="N328" s="3">
        <f t="shared" ca="1" si="40"/>
        <v>45336</v>
      </c>
      <c r="O328" s="3">
        <v>45359</v>
      </c>
    </row>
    <row r="329" spans="1:15" x14ac:dyDescent="0.3">
      <c r="A329" s="3">
        <v>45340</v>
      </c>
      <c r="B329" t="s">
        <v>59</v>
      </c>
      <c r="C329" t="s">
        <v>93</v>
      </c>
      <c r="D329" s="4" cm="1">
        <f t="array" aca="1" ref="D329" ca="1">IFERROR( _xlfn.XLOOKUP(B329, B$2:INDEX(B:B,ROW()-1), I$2:INDEX(I:I,ROW()-1), 0, 0, -1),0)</f>
        <v>2</v>
      </c>
      <c r="E329">
        <v>10</v>
      </c>
      <c r="F329">
        <f t="shared" ca="1" si="36"/>
        <v>3</v>
      </c>
      <c r="G329">
        <f t="shared" ca="1" si="37"/>
        <v>3</v>
      </c>
      <c r="H329">
        <f t="shared" ca="1" si="38"/>
        <v>1</v>
      </c>
      <c r="I329">
        <f t="shared" ca="1" si="39"/>
        <v>5</v>
      </c>
      <c r="J329">
        <v>4</v>
      </c>
      <c r="K329">
        <v>3.5</v>
      </c>
      <c r="L329">
        <v>10</v>
      </c>
      <c r="M329" s="3">
        <f t="shared" ca="1" si="40"/>
        <v>45348</v>
      </c>
      <c r="N329" s="3">
        <f t="shared" ca="1" si="40"/>
        <v>45367</v>
      </c>
      <c r="O329" s="3">
        <v>45431</v>
      </c>
    </row>
    <row r="330" spans="1:15" x14ac:dyDescent="0.3">
      <c r="A330" s="3">
        <v>45340</v>
      </c>
      <c r="B330" t="s">
        <v>21</v>
      </c>
      <c r="C330" t="s">
        <v>27</v>
      </c>
      <c r="D330" s="4" cm="1">
        <f t="array" aca="1" ref="D330" ca="1">IFERROR( _xlfn.XLOOKUP(B330, B$2:INDEX(B:B,ROW()-1), I$2:INDEX(I:I,ROW()-1), 0, 0, -1),0)</f>
        <v>5</v>
      </c>
      <c r="E330">
        <v>8</v>
      </c>
      <c r="F330">
        <f t="shared" ca="1" si="36"/>
        <v>2</v>
      </c>
      <c r="G330">
        <f t="shared" ca="1" si="37"/>
        <v>3</v>
      </c>
      <c r="H330">
        <f t="shared" ca="1" si="38"/>
        <v>1</v>
      </c>
      <c r="I330">
        <f t="shared" ca="1" si="39"/>
        <v>7</v>
      </c>
      <c r="J330">
        <v>4</v>
      </c>
      <c r="K330">
        <v>3</v>
      </c>
      <c r="L330">
        <v>14</v>
      </c>
      <c r="M330" s="3">
        <f t="shared" ca="1" si="40"/>
        <v>45405</v>
      </c>
      <c r="N330" s="3">
        <f t="shared" ca="1" si="40"/>
        <v>45436</v>
      </c>
      <c r="O330" s="3">
        <v>45369</v>
      </c>
    </row>
    <row r="331" spans="1:15" x14ac:dyDescent="0.3">
      <c r="A331" s="3">
        <v>45340</v>
      </c>
      <c r="B331" t="s">
        <v>41</v>
      </c>
      <c r="C331" t="s">
        <v>86</v>
      </c>
      <c r="D331" s="4" cm="1">
        <f t="array" aca="1" ref="D331" ca="1">IFERROR( _xlfn.XLOOKUP(B331, B$2:INDEX(B:B,ROW()-1), I$2:INDEX(I:I,ROW()-1), 0, 0, -1),0)</f>
        <v>2</v>
      </c>
      <c r="E331">
        <v>15</v>
      </c>
      <c r="F331">
        <f t="shared" ca="1" si="36"/>
        <v>7</v>
      </c>
      <c r="G331">
        <f t="shared" ca="1" si="37"/>
        <v>3</v>
      </c>
      <c r="H331">
        <f t="shared" ca="1" si="38"/>
        <v>3</v>
      </c>
      <c r="I331">
        <f t="shared" ca="1" si="39"/>
        <v>4</v>
      </c>
      <c r="J331">
        <v>3</v>
      </c>
      <c r="K331">
        <v>2.5</v>
      </c>
      <c r="L331">
        <v>14</v>
      </c>
      <c r="M331" s="3">
        <f t="shared" ca="1" si="40"/>
        <v>45327</v>
      </c>
      <c r="N331" s="3">
        <f t="shared" ca="1" si="40"/>
        <v>45427</v>
      </c>
      <c r="O331" s="3">
        <v>45333</v>
      </c>
    </row>
    <row r="332" spans="1:15" x14ac:dyDescent="0.3">
      <c r="A332" s="3">
        <v>45340</v>
      </c>
      <c r="B332" t="s">
        <v>22</v>
      </c>
      <c r="C332" t="s">
        <v>26</v>
      </c>
      <c r="D332" s="4" cm="1">
        <f t="array" aca="1" ref="D332" ca="1">IFERROR( _xlfn.XLOOKUP(B332, B$2:INDEX(B:B,ROW()-1), I$2:INDEX(I:I,ROW()-1), 0, 0, -1),0)</f>
        <v>6</v>
      </c>
      <c r="E332">
        <v>12</v>
      </c>
      <c r="F332">
        <f t="shared" ca="1" si="36"/>
        <v>8</v>
      </c>
      <c r="G332">
        <f t="shared" ca="1" si="37"/>
        <v>1</v>
      </c>
      <c r="H332">
        <f t="shared" ca="1" si="38"/>
        <v>4</v>
      </c>
      <c r="I332">
        <f t="shared" ca="1" si="39"/>
        <v>5</v>
      </c>
      <c r="J332">
        <v>3.5</v>
      </c>
      <c r="K332">
        <v>3</v>
      </c>
      <c r="L332">
        <v>14</v>
      </c>
      <c r="M332" s="3">
        <f t="shared" ca="1" si="40"/>
        <v>45386</v>
      </c>
      <c r="N332" s="3">
        <f t="shared" ca="1" si="40"/>
        <v>45407</v>
      </c>
      <c r="O332" s="3">
        <v>45399</v>
      </c>
    </row>
    <row r="333" spans="1:15" x14ac:dyDescent="0.3">
      <c r="A333" s="3">
        <v>45340</v>
      </c>
      <c r="B333" t="s">
        <v>82</v>
      </c>
      <c r="C333" t="s">
        <v>73</v>
      </c>
      <c r="D333" s="4" cm="1">
        <f t="array" aca="1" ref="D333" ca="1">IFERROR( _xlfn.XLOOKUP(B333, B$2:INDEX(B:B,ROW()-1), I$2:INDEX(I:I,ROW()-1), 0, 0, -1),0)</f>
        <v>13</v>
      </c>
      <c r="E333">
        <v>8</v>
      </c>
      <c r="F333">
        <f t="shared" ca="1" si="36"/>
        <v>6</v>
      </c>
      <c r="G333">
        <f t="shared" ca="1" si="37"/>
        <v>8</v>
      </c>
      <c r="H333">
        <f t="shared" ca="1" si="38"/>
        <v>4</v>
      </c>
      <c r="I333">
        <f t="shared" ca="1" si="39"/>
        <v>3</v>
      </c>
      <c r="J333">
        <v>2.5</v>
      </c>
      <c r="K333">
        <v>2</v>
      </c>
      <c r="L333">
        <v>5</v>
      </c>
      <c r="M333" s="3">
        <f t="shared" ca="1" si="40"/>
        <v>45312</v>
      </c>
      <c r="N333" s="3">
        <f t="shared" ca="1" si="40"/>
        <v>45336</v>
      </c>
      <c r="O333" s="3">
        <v>45320</v>
      </c>
    </row>
    <row r="334" spans="1:15" x14ac:dyDescent="0.3">
      <c r="A334" s="3">
        <v>45340</v>
      </c>
      <c r="B334" t="s">
        <v>88</v>
      </c>
      <c r="C334" t="s">
        <v>102</v>
      </c>
      <c r="D334" s="4" cm="1">
        <f t="array" aca="1" ref="D334" ca="1">IFERROR( _xlfn.XLOOKUP(B334, B$2:INDEX(B:B,ROW()-1), I$2:INDEX(I:I,ROW()-1), 0, 0, -1),0)</f>
        <v>3</v>
      </c>
      <c r="E334">
        <v>8</v>
      </c>
      <c r="F334">
        <f t="shared" ca="1" si="36"/>
        <v>2</v>
      </c>
      <c r="G334">
        <f t="shared" ca="1" si="37"/>
        <v>2</v>
      </c>
      <c r="H334">
        <f t="shared" ca="1" si="38"/>
        <v>1</v>
      </c>
      <c r="I334">
        <f t="shared" ca="1" si="39"/>
        <v>6</v>
      </c>
      <c r="J334">
        <v>3.5</v>
      </c>
      <c r="K334">
        <v>3</v>
      </c>
      <c r="L334">
        <v>8</v>
      </c>
      <c r="M334" s="3">
        <f t="shared" ca="1" si="40"/>
        <v>45342</v>
      </c>
      <c r="N334" s="3">
        <f t="shared" ca="1" si="40"/>
        <v>45431</v>
      </c>
      <c r="O334" s="3">
        <v>45306</v>
      </c>
    </row>
    <row r="335" spans="1:15" x14ac:dyDescent="0.3">
      <c r="A335" s="3">
        <v>45340</v>
      </c>
      <c r="B335" t="s">
        <v>78</v>
      </c>
      <c r="C335" t="s">
        <v>74</v>
      </c>
      <c r="D335" s="4" cm="1">
        <f t="array" aca="1" ref="D335" ca="1">IFERROR( _xlfn.XLOOKUP(B335, B$2:INDEX(B:B,ROW()-1), I$2:INDEX(I:I,ROW()-1), 0, 0, -1),0)</f>
        <v>3</v>
      </c>
      <c r="E335">
        <v>6</v>
      </c>
      <c r="F335">
        <f t="shared" ca="1" si="36"/>
        <v>4</v>
      </c>
      <c r="G335">
        <f t="shared" ca="1" si="37"/>
        <v>2</v>
      </c>
      <c r="H335">
        <f t="shared" ca="1" si="38"/>
        <v>1</v>
      </c>
      <c r="I335">
        <f t="shared" ca="1" si="39"/>
        <v>2</v>
      </c>
      <c r="J335">
        <v>4</v>
      </c>
      <c r="K335">
        <v>3</v>
      </c>
      <c r="L335">
        <v>7</v>
      </c>
      <c r="M335" s="3">
        <f t="shared" ca="1" si="40"/>
        <v>45417</v>
      </c>
      <c r="N335" s="3">
        <f t="shared" ca="1" si="40"/>
        <v>45370</v>
      </c>
      <c r="O335" s="3">
        <v>45394</v>
      </c>
    </row>
    <row r="336" spans="1:15" x14ac:dyDescent="0.3">
      <c r="A336" s="3">
        <v>45340</v>
      </c>
      <c r="B336" t="s">
        <v>22</v>
      </c>
      <c r="C336" t="s">
        <v>26</v>
      </c>
      <c r="D336" s="4" cm="1">
        <f t="array" aca="1" ref="D336" ca="1">IFERROR( _xlfn.XLOOKUP(B336, B$2:INDEX(B:B,ROW()-1), I$2:INDEX(I:I,ROW()-1), 0, 0, -1),0)</f>
        <v>5</v>
      </c>
      <c r="E336">
        <v>12</v>
      </c>
      <c r="F336">
        <f t="shared" ca="1" si="36"/>
        <v>5</v>
      </c>
      <c r="G336">
        <f t="shared" ca="1" si="37"/>
        <v>4</v>
      </c>
      <c r="H336">
        <f t="shared" ca="1" si="38"/>
        <v>2</v>
      </c>
      <c r="I336">
        <f t="shared" ca="1" si="39"/>
        <v>6</v>
      </c>
      <c r="J336">
        <v>3.5</v>
      </c>
      <c r="K336">
        <v>3</v>
      </c>
      <c r="L336">
        <v>14</v>
      </c>
      <c r="M336" s="3">
        <f t="shared" ca="1" si="40"/>
        <v>45362</v>
      </c>
      <c r="N336" s="3">
        <f t="shared" ca="1" si="40"/>
        <v>45412</v>
      </c>
      <c r="O336" s="3">
        <v>45304</v>
      </c>
    </row>
    <row r="337" spans="1:15" x14ac:dyDescent="0.3">
      <c r="A337" s="3">
        <v>45340</v>
      </c>
      <c r="B337" t="s">
        <v>61</v>
      </c>
      <c r="C337" t="s">
        <v>95</v>
      </c>
      <c r="D337" s="4" cm="1">
        <f t="array" aca="1" ref="D337" ca="1">IFERROR( _xlfn.XLOOKUP(B337, B$2:INDEX(B:B,ROW()-1), I$2:INDEX(I:I,ROW()-1), 0, 0, -1),0)</f>
        <v>3</v>
      </c>
      <c r="E337">
        <v>10</v>
      </c>
      <c r="F337">
        <f t="shared" ca="1" si="36"/>
        <v>2</v>
      </c>
      <c r="G337">
        <f t="shared" ca="1" si="37"/>
        <v>4</v>
      </c>
      <c r="H337">
        <f t="shared" ca="1" si="38"/>
        <v>1</v>
      </c>
      <c r="I337">
        <f t="shared" ca="1" si="39"/>
        <v>6</v>
      </c>
      <c r="J337">
        <v>4</v>
      </c>
      <c r="K337">
        <v>3.5</v>
      </c>
      <c r="L337">
        <v>10</v>
      </c>
      <c r="M337" s="3">
        <f t="shared" ca="1" si="40"/>
        <v>45401</v>
      </c>
      <c r="N337" s="3">
        <f t="shared" ca="1" si="40"/>
        <v>45320</v>
      </c>
      <c r="O337" s="3">
        <v>45364</v>
      </c>
    </row>
    <row r="338" spans="1:15" x14ac:dyDescent="0.3">
      <c r="A338" s="3">
        <v>45341</v>
      </c>
      <c r="B338" t="s">
        <v>90</v>
      </c>
      <c r="C338" t="s">
        <v>87</v>
      </c>
      <c r="D338" s="4" cm="1">
        <f t="array" aca="1" ref="D338" ca="1">IFERROR( _xlfn.XLOOKUP(B338, B$2:INDEX(B:B,ROW()-1), I$2:INDEX(I:I,ROW()-1), 0, 0, -1),0)</f>
        <v>6</v>
      </c>
      <c r="E338">
        <v>12</v>
      </c>
      <c r="F338">
        <f t="shared" ca="1" si="36"/>
        <v>3</v>
      </c>
      <c r="G338">
        <f t="shared" ca="1" si="37"/>
        <v>8</v>
      </c>
      <c r="H338">
        <f t="shared" ca="1" si="38"/>
        <v>2</v>
      </c>
      <c r="I338">
        <f t="shared" ca="1" si="39"/>
        <v>5</v>
      </c>
      <c r="J338">
        <v>4.5</v>
      </c>
      <c r="K338">
        <v>4</v>
      </c>
      <c r="L338">
        <v>14</v>
      </c>
      <c r="M338" s="3">
        <f t="shared" ca="1" si="40"/>
        <v>45379</v>
      </c>
      <c r="N338" s="3">
        <f t="shared" ca="1" si="40"/>
        <v>45353</v>
      </c>
      <c r="O338" s="3">
        <v>45335</v>
      </c>
    </row>
    <row r="339" spans="1:15" x14ac:dyDescent="0.3">
      <c r="A339" s="3">
        <v>45341</v>
      </c>
      <c r="B339" t="s">
        <v>89</v>
      </c>
      <c r="C339" t="s">
        <v>103</v>
      </c>
      <c r="D339" s="4" cm="1">
        <f t="array" aca="1" ref="D339" ca="1">IFERROR( _xlfn.XLOOKUP(B339, B$2:INDEX(B:B,ROW()-1), I$2:INDEX(I:I,ROW()-1), 0, 0, -1),0)</f>
        <v>4</v>
      </c>
      <c r="E339">
        <v>8</v>
      </c>
      <c r="F339">
        <f t="shared" ca="1" si="36"/>
        <v>5</v>
      </c>
      <c r="G339">
        <f t="shared" ca="1" si="37"/>
        <v>3</v>
      </c>
      <c r="H339">
        <f t="shared" ca="1" si="38"/>
        <v>0</v>
      </c>
      <c r="I339">
        <f t="shared" ca="1" si="39"/>
        <v>4</v>
      </c>
      <c r="J339">
        <v>3.5</v>
      </c>
      <c r="K339">
        <v>3</v>
      </c>
      <c r="L339">
        <v>8</v>
      </c>
      <c r="M339" s="3">
        <f t="shared" ca="1" si="40"/>
        <v>45400</v>
      </c>
      <c r="N339" s="3">
        <f t="shared" ca="1" si="40"/>
        <v>45347</v>
      </c>
      <c r="O339" s="3">
        <v>45302</v>
      </c>
    </row>
    <row r="340" spans="1:15" x14ac:dyDescent="0.3">
      <c r="A340" s="3">
        <v>45341</v>
      </c>
      <c r="B340" t="s">
        <v>35</v>
      </c>
      <c r="C340" t="s">
        <v>31</v>
      </c>
      <c r="D340" s="4" cm="1">
        <f t="array" aca="1" ref="D340" ca="1">IFERROR( _xlfn.XLOOKUP(B340, B$2:INDEX(B:B,ROW()-1), I$2:INDEX(I:I,ROW()-1), 0, 0, -1),0)</f>
        <v>2</v>
      </c>
      <c r="E340">
        <v>8</v>
      </c>
      <c r="F340">
        <f t="shared" ca="1" si="36"/>
        <v>0</v>
      </c>
      <c r="G340">
        <f t="shared" ca="1" si="37"/>
        <v>4</v>
      </c>
      <c r="H340">
        <f t="shared" ca="1" si="38"/>
        <v>3</v>
      </c>
      <c r="I340">
        <f t="shared" ca="1" si="39"/>
        <v>3</v>
      </c>
      <c r="J340">
        <v>3.5</v>
      </c>
      <c r="K340">
        <v>3</v>
      </c>
      <c r="L340">
        <v>14</v>
      </c>
      <c r="M340" s="3">
        <f t="shared" ca="1" si="40"/>
        <v>45379</v>
      </c>
      <c r="N340" s="3">
        <f t="shared" ca="1" si="40"/>
        <v>45393</v>
      </c>
      <c r="O340" s="3">
        <v>45334</v>
      </c>
    </row>
    <row r="341" spans="1:15" x14ac:dyDescent="0.3">
      <c r="A341" s="3">
        <v>45341</v>
      </c>
      <c r="B341" t="s">
        <v>24</v>
      </c>
      <c r="C341" t="s">
        <v>29</v>
      </c>
      <c r="D341" s="4" cm="1">
        <f t="array" aca="1" ref="D341" ca="1">IFERROR( _xlfn.XLOOKUP(B341, B$2:INDEX(B:B,ROW()-1), I$2:INDEX(I:I,ROW()-1), 0, 0, -1),0)</f>
        <v>7</v>
      </c>
      <c r="E341">
        <v>8</v>
      </c>
      <c r="F341">
        <f t="shared" ca="1" si="36"/>
        <v>6</v>
      </c>
      <c r="G341">
        <f t="shared" ca="1" si="37"/>
        <v>1</v>
      </c>
      <c r="H341">
        <f t="shared" ca="1" si="38"/>
        <v>0</v>
      </c>
      <c r="I341">
        <f t="shared" ca="1" si="39"/>
        <v>8</v>
      </c>
      <c r="J341">
        <v>7.5</v>
      </c>
      <c r="K341">
        <v>5.5</v>
      </c>
      <c r="L341">
        <v>7</v>
      </c>
      <c r="M341" s="3">
        <f t="shared" ca="1" si="40"/>
        <v>45371</v>
      </c>
      <c r="N341" s="3">
        <f t="shared" ca="1" si="40"/>
        <v>45319</v>
      </c>
      <c r="O341" s="3">
        <v>45418</v>
      </c>
    </row>
    <row r="342" spans="1:15" x14ac:dyDescent="0.3">
      <c r="A342" s="3">
        <v>45341</v>
      </c>
      <c r="B342" t="s">
        <v>41</v>
      </c>
      <c r="C342" t="s">
        <v>86</v>
      </c>
      <c r="D342" s="4" cm="1">
        <f t="array" aca="1" ref="D342" ca="1">IFERROR( _xlfn.XLOOKUP(B342, B$2:INDEX(B:B,ROW()-1), I$2:INDEX(I:I,ROW()-1), 0, 0, -1),0)</f>
        <v>4</v>
      </c>
      <c r="E342">
        <v>15</v>
      </c>
      <c r="F342">
        <f t="shared" ca="1" si="36"/>
        <v>11</v>
      </c>
      <c r="G342">
        <f t="shared" ca="1" si="37"/>
        <v>3</v>
      </c>
      <c r="H342">
        <f t="shared" ca="1" si="38"/>
        <v>3</v>
      </c>
      <c r="I342">
        <f t="shared" ca="1" si="39"/>
        <v>2</v>
      </c>
      <c r="J342">
        <v>3</v>
      </c>
      <c r="K342">
        <v>2.5</v>
      </c>
      <c r="L342">
        <v>14</v>
      </c>
      <c r="M342" s="3">
        <f t="shared" ref="M342:N361" ca="1" si="41">DATE(2024,1,1) + RANDBETWEEN(0, DATE(2024,5,25) - DATE(2024,1,1))</f>
        <v>45322</v>
      </c>
      <c r="N342" s="3">
        <f t="shared" ca="1" si="41"/>
        <v>45312</v>
      </c>
      <c r="O342" s="3">
        <v>45436</v>
      </c>
    </row>
    <row r="343" spans="1:15" x14ac:dyDescent="0.3">
      <c r="A343" s="3">
        <v>45341</v>
      </c>
      <c r="B343" t="s">
        <v>70</v>
      </c>
      <c r="C343" t="s">
        <v>99</v>
      </c>
      <c r="D343" s="4" cm="1">
        <f t="array" aca="1" ref="D343" ca="1">IFERROR( _xlfn.XLOOKUP(B343, B$2:INDEX(B:B,ROW()-1), I$2:INDEX(I:I,ROW()-1), 0, 0, -1),0)</f>
        <v>1</v>
      </c>
      <c r="E343">
        <v>6</v>
      </c>
      <c r="F343">
        <f t="shared" ca="1" si="36"/>
        <v>2</v>
      </c>
      <c r="G343">
        <f t="shared" ca="1" si="37"/>
        <v>0</v>
      </c>
      <c r="H343">
        <f t="shared" ca="1" si="38"/>
        <v>1</v>
      </c>
      <c r="I343">
        <f t="shared" ca="1" si="39"/>
        <v>4</v>
      </c>
      <c r="J343">
        <v>4</v>
      </c>
      <c r="K343">
        <v>3</v>
      </c>
      <c r="L343">
        <v>7</v>
      </c>
      <c r="M343" s="3">
        <f t="shared" ca="1" si="41"/>
        <v>45382</v>
      </c>
      <c r="N343" s="3">
        <f t="shared" ca="1" si="41"/>
        <v>45392</v>
      </c>
      <c r="O343" s="3">
        <v>45386</v>
      </c>
    </row>
    <row r="344" spans="1:15" x14ac:dyDescent="0.3">
      <c r="A344" s="3">
        <v>45341</v>
      </c>
      <c r="B344" t="s">
        <v>81</v>
      </c>
      <c r="C344" t="s">
        <v>50</v>
      </c>
      <c r="D344" s="4" cm="1">
        <f t="array" aca="1" ref="D344" ca="1">IFERROR( _xlfn.XLOOKUP(B344, B$2:INDEX(B:B,ROW()-1), I$2:INDEX(I:I,ROW()-1), 0, 0, -1),0)</f>
        <v>1</v>
      </c>
      <c r="E344">
        <v>8</v>
      </c>
      <c r="F344">
        <f t="shared" ca="1" si="36"/>
        <v>0</v>
      </c>
      <c r="G344">
        <f t="shared" ca="1" si="37"/>
        <v>5</v>
      </c>
      <c r="H344">
        <f t="shared" ca="1" si="38"/>
        <v>1</v>
      </c>
      <c r="I344">
        <f t="shared" ca="1" si="39"/>
        <v>3</v>
      </c>
      <c r="J344">
        <v>2.5</v>
      </c>
      <c r="K344">
        <v>2</v>
      </c>
      <c r="L344">
        <v>5</v>
      </c>
      <c r="M344" s="3">
        <f t="shared" ca="1" si="41"/>
        <v>45408</v>
      </c>
      <c r="N344" s="3">
        <f t="shared" ca="1" si="41"/>
        <v>45309</v>
      </c>
      <c r="O344" s="3">
        <v>45309</v>
      </c>
    </row>
    <row r="345" spans="1:15" x14ac:dyDescent="0.3">
      <c r="A345" s="3">
        <v>45342</v>
      </c>
      <c r="B345" t="s">
        <v>63</v>
      </c>
      <c r="C345" t="s">
        <v>97</v>
      </c>
      <c r="D345" s="4" cm="1">
        <f t="array" aca="1" ref="D345" ca="1">IFERROR( _xlfn.XLOOKUP(B345, B$2:INDEX(B:B,ROW()-1), I$2:INDEX(I:I,ROW()-1), 0, 0, -1),0)</f>
        <v>4</v>
      </c>
      <c r="E345">
        <v>10</v>
      </c>
      <c r="F345">
        <f t="shared" ca="1" si="36"/>
        <v>8</v>
      </c>
      <c r="G345">
        <f t="shared" ca="1" si="37"/>
        <v>4</v>
      </c>
      <c r="H345">
        <f t="shared" ca="1" si="38"/>
        <v>1</v>
      </c>
      <c r="I345">
        <f t="shared" ca="1" si="39"/>
        <v>1</v>
      </c>
      <c r="J345">
        <v>4</v>
      </c>
      <c r="K345">
        <v>3.5</v>
      </c>
      <c r="L345">
        <v>10</v>
      </c>
      <c r="M345" s="3">
        <f t="shared" ca="1" si="41"/>
        <v>45311</v>
      </c>
      <c r="N345" s="3">
        <f t="shared" ca="1" si="41"/>
        <v>45357</v>
      </c>
      <c r="O345" s="3">
        <v>45407</v>
      </c>
    </row>
    <row r="346" spans="1:15" x14ac:dyDescent="0.3">
      <c r="A346" s="3">
        <v>45342</v>
      </c>
      <c r="B346" t="s">
        <v>82</v>
      </c>
      <c r="C346" t="s">
        <v>73</v>
      </c>
      <c r="D346" s="4" cm="1">
        <f t="array" aca="1" ref="D346" ca="1">IFERROR( _xlfn.XLOOKUP(B346, B$2:INDEX(B:B,ROW()-1), I$2:INDEX(I:I,ROW()-1), 0, 0, -1),0)</f>
        <v>3</v>
      </c>
      <c r="E346">
        <v>8</v>
      </c>
      <c r="F346">
        <f t="shared" ca="1" si="36"/>
        <v>0</v>
      </c>
      <c r="G346">
        <f t="shared" ca="1" si="37"/>
        <v>0</v>
      </c>
      <c r="H346">
        <f t="shared" ca="1" si="38"/>
        <v>1</v>
      </c>
      <c r="I346">
        <f t="shared" ca="1" si="39"/>
        <v>10</v>
      </c>
      <c r="J346">
        <v>2.5</v>
      </c>
      <c r="K346">
        <v>2</v>
      </c>
      <c r="L346">
        <v>5</v>
      </c>
      <c r="M346" s="3">
        <f t="shared" ca="1" si="41"/>
        <v>45366</v>
      </c>
      <c r="N346" s="3">
        <f t="shared" ca="1" si="41"/>
        <v>45420</v>
      </c>
      <c r="O346" s="3">
        <v>45416</v>
      </c>
    </row>
    <row r="347" spans="1:15" x14ac:dyDescent="0.3">
      <c r="A347" s="3">
        <v>45342</v>
      </c>
      <c r="B347" t="s">
        <v>92</v>
      </c>
      <c r="C347" t="s">
        <v>91</v>
      </c>
      <c r="D347" s="4" cm="1">
        <f t="array" aca="1" ref="D347" ca="1">IFERROR( _xlfn.XLOOKUP(B347, B$2:INDEX(B:B,ROW()-1), I$2:INDEX(I:I,ROW()-1), 0, 0, -1),0)</f>
        <v>2</v>
      </c>
      <c r="E347">
        <v>6</v>
      </c>
      <c r="F347">
        <f t="shared" ca="1" si="36"/>
        <v>3</v>
      </c>
      <c r="G347">
        <f t="shared" ca="1" si="37"/>
        <v>1</v>
      </c>
      <c r="H347">
        <f t="shared" ca="1" si="38"/>
        <v>2</v>
      </c>
      <c r="I347">
        <f t="shared" ca="1" si="39"/>
        <v>2</v>
      </c>
      <c r="J347">
        <v>4.5</v>
      </c>
      <c r="K347">
        <v>4</v>
      </c>
      <c r="L347">
        <v>14</v>
      </c>
      <c r="M347" s="3">
        <f t="shared" ca="1" si="41"/>
        <v>45314</v>
      </c>
      <c r="N347" s="3">
        <f t="shared" ca="1" si="41"/>
        <v>45435</v>
      </c>
      <c r="O347" s="3">
        <v>45359</v>
      </c>
    </row>
    <row r="348" spans="1:15" x14ac:dyDescent="0.3">
      <c r="A348" s="3">
        <v>45342</v>
      </c>
      <c r="B348" t="s">
        <v>36</v>
      </c>
      <c r="C348" t="s">
        <v>33</v>
      </c>
      <c r="D348" s="4" cm="1">
        <f t="array" aca="1" ref="D348" ca="1">IFERROR( _xlfn.XLOOKUP(B348, B$2:INDEX(B:B,ROW()-1), I$2:INDEX(I:I,ROW()-1), 0, 0, -1),0)</f>
        <v>5</v>
      </c>
      <c r="E348">
        <v>12</v>
      </c>
      <c r="F348">
        <f t="shared" ca="1" si="36"/>
        <v>9</v>
      </c>
      <c r="G348">
        <f t="shared" ca="1" si="37"/>
        <v>5</v>
      </c>
      <c r="H348">
        <f t="shared" ca="1" si="38"/>
        <v>0</v>
      </c>
      <c r="I348">
        <f t="shared" ca="1" si="39"/>
        <v>3</v>
      </c>
      <c r="J348">
        <v>3.5</v>
      </c>
      <c r="K348">
        <v>3</v>
      </c>
      <c r="L348">
        <v>14</v>
      </c>
      <c r="M348" s="3">
        <f t="shared" ca="1" si="41"/>
        <v>45373</v>
      </c>
      <c r="N348" s="3">
        <f t="shared" ca="1" si="41"/>
        <v>45397</v>
      </c>
      <c r="O348" s="3">
        <v>45415</v>
      </c>
    </row>
    <row r="349" spans="1:15" x14ac:dyDescent="0.3">
      <c r="A349" s="3">
        <v>45342</v>
      </c>
      <c r="B349" t="s">
        <v>84</v>
      </c>
      <c r="C349" t="s">
        <v>101</v>
      </c>
      <c r="D349" s="4" cm="1">
        <f t="array" aca="1" ref="D349" ca="1">IFERROR( _xlfn.XLOOKUP(B349, B$2:INDEX(B:B,ROW()-1), I$2:INDEX(I:I,ROW()-1), 0, 0, -1),0)</f>
        <v>4</v>
      </c>
      <c r="E349">
        <v>8</v>
      </c>
      <c r="F349">
        <f t="shared" ca="1" si="36"/>
        <v>0</v>
      </c>
      <c r="G349">
        <f t="shared" ca="1" si="37"/>
        <v>5</v>
      </c>
      <c r="H349">
        <f t="shared" ca="1" si="38"/>
        <v>3</v>
      </c>
      <c r="I349">
        <f t="shared" ca="1" si="39"/>
        <v>4</v>
      </c>
      <c r="J349">
        <v>3.5</v>
      </c>
      <c r="K349">
        <v>3</v>
      </c>
      <c r="L349">
        <v>8</v>
      </c>
      <c r="M349" s="3">
        <f t="shared" ca="1" si="41"/>
        <v>45389</v>
      </c>
      <c r="N349" s="3">
        <f t="shared" ca="1" si="41"/>
        <v>45434</v>
      </c>
      <c r="O349" s="3">
        <v>45373</v>
      </c>
    </row>
    <row r="350" spans="1:15" x14ac:dyDescent="0.3">
      <c r="A350" s="3">
        <v>45342</v>
      </c>
      <c r="B350" t="s">
        <v>90</v>
      </c>
      <c r="C350" t="s">
        <v>87</v>
      </c>
      <c r="D350" s="4" cm="1">
        <f t="array" aca="1" ref="D350" ca="1">IFERROR( _xlfn.XLOOKUP(B350, B$2:INDEX(B:B,ROW()-1), I$2:INDEX(I:I,ROW()-1), 0, 0, -1),0)</f>
        <v>5</v>
      </c>
      <c r="E350">
        <v>12</v>
      </c>
      <c r="F350">
        <f t="shared" ca="1" si="36"/>
        <v>10</v>
      </c>
      <c r="G350">
        <f t="shared" ca="1" si="37"/>
        <v>1</v>
      </c>
      <c r="H350">
        <f t="shared" ca="1" si="38"/>
        <v>3</v>
      </c>
      <c r="I350">
        <f t="shared" ca="1" si="39"/>
        <v>3</v>
      </c>
      <c r="J350">
        <v>4.5</v>
      </c>
      <c r="K350">
        <v>4</v>
      </c>
      <c r="L350">
        <v>14</v>
      </c>
      <c r="M350" s="3">
        <f t="shared" ca="1" si="41"/>
        <v>45335</v>
      </c>
      <c r="N350" s="3">
        <f t="shared" ca="1" si="41"/>
        <v>45400</v>
      </c>
      <c r="O350" s="3">
        <v>45333</v>
      </c>
    </row>
    <row r="351" spans="1:15" x14ac:dyDescent="0.3">
      <c r="A351" s="3">
        <v>45343</v>
      </c>
      <c r="B351" t="s">
        <v>82</v>
      </c>
      <c r="C351" t="s">
        <v>73</v>
      </c>
      <c r="D351" s="4" cm="1">
        <f t="array" aca="1" ref="D351" ca="1">IFERROR( _xlfn.XLOOKUP(B351, B$2:INDEX(B:B,ROW()-1), I$2:INDEX(I:I,ROW()-1), 0, 0, -1),0)</f>
        <v>10</v>
      </c>
      <c r="E351">
        <v>8</v>
      </c>
      <c r="F351">
        <f t="shared" ca="1" si="36"/>
        <v>11</v>
      </c>
      <c r="G351">
        <f t="shared" ca="1" si="37"/>
        <v>4</v>
      </c>
      <c r="H351">
        <f t="shared" ca="1" si="38"/>
        <v>2</v>
      </c>
      <c r="I351">
        <f t="shared" ca="1" si="39"/>
        <v>1</v>
      </c>
      <c r="J351">
        <v>2.5</v>
      </c>
      <c r="K351">
        <v>2</v>
      </c>
      <c r="L351">
        <v>5</v>
      </c>
      <c r="M351" s="3">
        <f t="shared" ca="1" si="41"/>
        <v>45306</v>
      </c>
      <c r="N351" s="3">
        <f t="shared" ca="1" si="41"/>
        <v>45393</v>
      </c>
      <c r="O351" s="3">
        <v>45406</v>
      </c>
    </row>
    <row r="352" spans="1:15" x14ac:dyDescent="0.3">
      <c r="A352" s="3">
        <v>45343</v>
      </c>
      <c r="B352" t="s">
        <v>70</v>
      </c>
      <c r="C352" t="s">
        <v>99</v>
      </c>
      <c r="D352" s="4" cm="1">
        <f t="array" aca="1" ref="D352" ca="1">IFERROR( _xlfn.XLOOKUP(B352, B$2:INDEX(B:B,ROW()-1), I$2:INDEX(I:I,ROW()-1), 0, 0, -1),0)</f>
        <v>4</v>
      </c>
      <c r="E352">
        <v>6</v>
      </c>
      <c r="F352">
        <f t="shared" ca="1" si="36"/>
        <v>2</v>
      </c>
      <c r="G352">
        <f t="shared" ca="1" si="37"/>
        <v>4</v>
      </c>
      <c r="H352">
        <f t="shared" ca="1" si="38"/>
        <v>2</v>
      </c>
      <c r="I352">
        <f t="shared" ca="1" si="39"/>
        <v>2</v>
      </c>
      <c r="J352">
        <v>4</v>
      </c>
      <c r="K352">
        <v>3</v>
      </c>
      <c r="L352">
        <v>7</v>
      </c>
      <c r="M352" s="3">
        <f t="shared" ca="1" si="41"/>
        <v>45417</v>
      </c>
      <c r="N352" s="3">
        <f t="shared" ca="1" si="41"/>
        <v>45406</v>
      </c>
      <c r="O352" s="3">
        <v>45381</v>
      </c>
    </row>
    <row r="353" spans="1:15" x14ac:dyDescent="0.3">
      <c r="A353" s="3">
        <v>45343</v>
      </c>
      <c r="B353" t="s">
        <v>37</v>
      </c>
      <c r="C353" t="s">
        <v>51</v>
      </c>
      <c r="D353" s="4" cm="1">
        <f t="array" aca="1" ref="D353" ca="1">IFERROR( _xlfn.XLOOKUP(B353, B$2:INDEX(B:B,ROW()-1), I$2:INDEX(I:I,ROW()-1), 0, 0, -1),0)</f>
        <v>9</v>
      </c>
      <c r="E353">
        <v>12</v>
      </c>
      <c r="F353">
        <f t="shared" ca="1" si="36"/>
        <v>8</v>
      </c>
      <c r="G353">
        <f t="shared" ca="1" si="37"/>
        <v>7</v>
      </c>
      <c r="H353">
        <f t="shared" ca="1" si="38"/>
        <v>3</v>
      </c>
      <c r="I353">
        <f t="shared" ca="1" si="39"/>
        <v>3</v>
      </c>
      <c r="J353">
        <v>3.5</v>
      </c>
      <c r="K353">
        <v>3</v>
      </c>
      <c r="L353">
        <v>14</v>
      </c>
      <c r="M353" s="3">
        <f t="shared" ca="1" si="41"/>
        <v>45315</v>
      </c>
      <c r="N353" s="3">
        <f t="shared" ca="1" si="41"/>
        <v>45435</v>
      </c>
      <c r="O353" s="3">
        <v>45373</v>
      </c>
    </row>
    <row r="354" spans="1:15" x14ac:dyDescent="0.3">
      <c r="A354" s="3">
        <v>45343</v>
      </c>
      <c r="B354" t="s">
        <v>57</v>
      </c>
      <c r="C354" t="s">
        <v>75</v>
      </c>
      <c r="D354" s="4" cm="1">
        <f t="array" aca="1" ref="D354" ca="1">IFERROR( _xlfn.XLOOKUP(B354, B$2:INDEX(B:B,ROW()-1), I$2:INDEX(I:I,ROW()-1), 0, 0, -1),0)</f>
        <v>4</v>
      </c>
      <c r="E354">
        <v>8</v>
      </c>
      <c r="F354">
        <f t="shared" ca="1" si="36"/>
        <v>0</v>
      </c>
      <c r="G354">
        <f t="shared" ca="1" si="37"/>
        <v>6</v>
      </c>
      <c r="H354">
        <f t="shared" ca="1" si="38"/>
        <v>0</v>
      </c>
      <c r="I354">
        <f t="shared" ca="1" si="39"/>
        <v>6</v>
      </c>
      <c r="J354">
        <v>6</v>
      </c>
      <c r="K354">
        <v>5.5</v>
      </c>
      <c r="L354">
        <v>20</v>
      </c>
      <c r="M354" s="3">
        <f t="shared" ca="1" si="41"/>
        <v>45436</v>
      </c>
      <c r="N354" s="3">
        <f t="shared" ca="1" si="41"/>
        <v>45308</v>
      </c>
      <c r="O354" s="3">
        <v>45412</v>
      </c>
    </row>
    <row r="355" spans="1:15" x14ac:dyDescent="0.3">
      <c r="A355" s="3">
        <v>45343</v>
      </c>
      <c r="B355" t="s">
        <v>58</v>
      </c>
      <c r="C355" t="s">
        <v>76</v>
      </c>
      <c r="D355" s="4" cm="1">
        <f t="array" aca="1" ref="D355" ca="1">IFERROR( _xlfn.XLOOKUP(B355, B$2:INDEX(B:B,ROW()-1), I$2:INDEX(I:I,ROW()-1), 0, 0, -1),0)</f>
        <v>19</v>
      </c>
      <c r="E355">
        <v>15</v>
      </c>
      <c r="F355">
        <f t="shared" ca="1" si="36"/>
        <v>5</v>
      </c>
      <c r="G355">
        <f t="shared" ca="1" si="37"/>
        <v>9</v>
      </c>
      <c r="H355">
        <f t="shared" ca="1" si="38"/>
        <v>2</v>
      </c>
      <c r="I355">
        <f t="shared" ca="1" si="39"/>
        <v>18</v>
      </c>
      <c r="J355">
        <v>6</v>
      </c>
      <c r="K355">
        <v>5.5</v>
      </c>
      <c r="L355">
        <v>20</v>
      </c>
      <c r="M355" s="3">
        <f t="shared" ca="1" si="41"/>
        <v>45381</v>
      </c>
      <c r="N355" s="3">
        <f t="shared" ca="1" si="41"/>
        <v>45433</v>
      </c>
      <c r="O355" s="3">
        <v>45318</v>
      </c>
    </row>
    <row r="356" spans="1:15" x14ac:dyDescent="0.3">
      <c r="A356" s="3">
        <v>45343</v>
      </c>
      <c r="B356" t="s">
        <v>70</v>
      </c>
      <c r="C356" t="s">
        <v>99</v>
      </c>
      <c r="D356" s="4" cm="1">
        <f t="array" aca="1" ref="D356" ca="1">IFERROR( _xlfn.XLOOKUP(B356, B$2:INDEX(B:B,ROW()-1), I$2:INDEX(I:I,ROW()-1), 0, 0, -1),0)</f>
        <v>2</v>
      </c>
      <c r="E356">
        <v>6</v>
      </c>
      <c r="F356">
        <f t="shared" ca="1" si="36"/>
        <v>1</v>
      </c>
      <c r="G356">
        <f t="shared" ca="1" si="37"/>
        <v>4</v>
      </c>
      <c r="H356">
        <f t="shared" ca="1" si="38"/>
        <v>1</v>
      </c>
      <c r="I356">
        <f t="shared" ca="1" si="39"/>
        <v>2</v>
      </c>
      <c r="J356">
        <v>4</v>
      </c>
      <c r="K356">
        <v>3</v>
      </c>
      <c r="L356">
        <v>7</v>
      </c>
      <c r="M356" s="3">
        <f t="shared" ca="1" si="41"/>
        <v>45350</v>
      </c>
      <c r="N356" s="3">
        <f t="shared" ca="1" si="41"/>
        <v>45415</v>
      </c>
      <c r="O356" s="3">
        <v>45407</v>
      </c>
    </row>
    <row r="357" spans="1:15" x14ac:dyDescent="0.3">
      <c r="A357" s="3">
        <v>45344</v>
      </c>
      <c r="B357" t="s">
        <v>58</v>
      </c>
      <c r="C357" t="s">
        <v>76</v>
      </c>
      <c r="D357" s="4" cm="1">
        <f t="array" aca="1" ref="D357" ca="1">IFERROR( _xlfn.XLOOKUP(B357, B$2:INDEX(B:B,ROW()-1), I$2:INDEX(I:I,ROW()-1), 0, 0, -1),0)</f>
        <v>18</v>
      </c>
      <c r="E357">
        <v>15</v>
      </c>
      <c r="F357">
        <f t="shared" ca="1" si="36"/>
        <v>11</v>
      </c>
      <c r="G357">
        <f t="shared" ca="1" si="37"/>
        <v>0</v>
      </c>
      <c r="H357">
        <f t="shared" ca="1" si="38"/>
        <v>4</v>
      </c>
      <c r="I357">
        <f t="shared" ca="1" si="39"/>
        <v>18</v>
      </c>
      <c r="J357">
        <v>6</v>
      </c>
      <c r="K357">
        <v>5.5</v>
      </c>
      <c r="L357">
        <v>20</v>
      </c>
      <c r="M357" s="3">
        <f t="shared" ca="1" si="41"/>
        <v>45428</v>
      </c>
      <c r="N357" s="3">
        <f t="shared" ca="1" si="41"/>
        <v>45386</v>
      </c>
      <c r="O357" s="3">
        <v>45394</v>
      </c>
    </row>
    <row r="358" spans="1:15" x14ac:dyDescent="0.3">
      <c r="A358" s="3">
        <v>45344</v>
      </c>
      <c r="B358" t="s">
        <v>78</v>
      </c>
      <c r="C358" t="s">
        <v>74</v>
      </c>
      <c r="D358" s="4" cm="1">
        <f t="array" aca="1" ref="D358" ca="1">IFERROR( _xlfn.XLOOKUP(B358, B$2:INDEX(B:B,ROW()-1), I$2:INDEX(I:I,ROW()-1), 0, 0, -1),0)</f>
        <v>2</v>
      </c>
      <c r="E358">
        <v>6</v>
      </c>
      <c r="F358">
        <f t="shared" ca="1" si="36"/>
        <v>0</v>
      </c>
      <c r="G358">
        <f t="shared" ca="1" si="37"/>
        <v>5</v>
      </c>
      <c r="H358">
        <f t="shared" ca="1" si="38"/>
        <v>1</v>
      </c>
      <c r="I358">
        <f t="shared" ca="1" si="39"/>
        <v>2</v>
      </c>
      <c r="J358">
        <v>4</v>
      </c>
      <c r="K358">
        <v>3</v>
      </c>
      <c r="L358">
        <v>7</v>
      </c>
      <c r="M358" s="3">
        <f t="shared" ca="1" si="41"/>
        <v>45383</v>
      </c>
      <c r="N358" s="3">
        <f t="shared" ca="1" si="41"/>
        <v>45355</v>
      </c>
      <c r="O358" s="3">
        <v>45321</v>
      </c>
    </row>
    <row r="359" spans="1:15" x14ac:dyDescent="0.3">
      <c r="A359" s="3">
        <v>45344</v>
      </c>
      <c r="B359" t="s">
        <v>35</v>
      </c>
      <c r="C359" t="s">
        <v>31</v>
      </c>
      <c r="D359" s="4" cm="1">
        <f t="array" aca="1" ref="D359" ca="1">IFERROR( _xlfn.XLOOKUP(B359, B$2:INDEX(B:B,ROW()-1), I$2:INDEX(I:I,ROW()-1), 0, 0, -1),0)</f>
        <v>3</v>
      </c>
      <c r="E359">
        <v>8</v>
      </c>
      <c r="F359">
        <f t="shared" ca="1" si="36"/>
        <v>1</v>
      </c>
      <c r="G359">
        <f t="shared" ca="1" si="37"/>
        <v>3</v>
      </c>
      <c r="H359">
        <f t="shared" ca="1" si="38"/>
        <v>0</v>
      </c>
      <c r="I359">
        <f t="shared" ca="1" si="39"/>
        <v>7</v>
      </c>
      <c r="J359">
        <v>3.5</v>
      </c>
      <c r="K359">
        <v>3</v>
      </c>
      <c r="L359">
        <v>14</v>
      </c>
      <c r="M359" s="3">
        <f t="shared" ca="1" si="41"/>
        <v>45374</v>
      </c>
      <c r="N359" s="3">
        <f t="shared" ca="1" si="41"/>
        <v>45390</v>
      </c>
      <c r="O359" s="3">
        <v>45314</v>
      </c>
    </row>
    <row r="360" spans="1:15" x14ac:dyDescent="0.3">
      <c r="A360" s="3">
        <v>45344</v>
      </c>
      <c r="B360" t="s">
        <v>89</v>
      </c>
      <c r="C360" t="s">
        <v>103</v>
      </c>
      <c r="D360" s="4" cm="1">
        <f t="array" aca="1" ref="D360" ca="1">IFERROR( _xlfn.XLOOKUP(B360, B$2:INDEX(B:B,ROW()-1), I$2:INDEX(I:I,ROW()-1), 0, 0, -1),0)</f>
        <v>4</v>
      </c>
      <c r="E360">
        <v>8</v>
      </c>
      <c r="F360">
        <f t="shared" ca="1" si="36"/>
        <v>1</v>
      </c>
      <c r="G360">
        <f t="shared" ca="1" si="37"/>
        <v>0</v>
      </c>
      <c r="H360">
        <f t="shared" ca="1" si="38"/>
        <v>2</v>
      </c>
      <c r="I360">
        <f t="shared" ca="1" si="39"/>
        <v>9</v>
      </c>
      <c r="J360">
        <v>3.5</v>
      </c>
      <c r="K360">
        <v>3</v>
      </c>
      <c r="L360">
        <v>8</v>
      </c>
      <c r="M360" s="3">
        <f t="shared" ca="1" si="41"/>
        <v>45309</v>
      </c>
      <c r="N360" s="3">
        <f t="shared" ca="1" si="41"/>
        <v>45310</v>
      </c>
      <c r="O360" s="3">
        <v>45403</v>
      </c>
    </row>
    <row r="361" spans="1:15" x14ac:dyDescent="0.3">
      <c r="A361" s="3">
        <v>45345</v>
      </c>
      <c r="B361" t="s">
        <v>65</v>
      </c>
      <c r="C361" t="s">
        <v>44</v>
      </c>
      <c r="D361" s="4" cm="1">
        <f t="array" aca="1" ref="D361" ca="1">IFERROR( _xlfn.XLOOKUP(B361, B$2:INDEX(B:B,ROW()-1), I$2:INDEX(I:I,ROW()-1), 0, 0, -1),0)</f>
        <v>5</v>
      </c>
      <c r="E361">
        <v>10</v>
      </c>
      <c r="F361">
        <f t="shared" ca="1" si="36"/>
        <v>2</v>
      </c>
      <c r="G361">
        <f t="shared" ca="1" si="37"/>
        <v>4</v>
      </c>
      <c r="H361">
        <f t="shared" ca="1" si="38"/>
        <v>1</v>
      </c>
      <c r="I361">
        <f t="shared" ca="1" si="39"/>
        <v>8</v>
      </c>
      <c r="J361">
        <v>3.5</v>
      </c>
      <c r="K361">
        <v>3</v>
      </c>
      <c r="L361">
        <v>8</v>
      </c>
      <c r="M361" s="3">
        <f t="shared" ca="1" si="41"/>
        <v>45320</v>
      </c>
      <c r="N361" s="3">
        <f t="shared" ca="1" si="41"/>
        <v>45293</v>
      </c>
      <c r="O361" s="3">
        <v>45373</v>
      </c>
    </row>
    <row r="362" spans="1:15" x14ac:dyDescent="0.3">
      <c r="A362" s="3">
        <v>45345</v>
      </c>
      <c r="B362" t="s">
        <v>24</v>
      </c>
      <c r="C362" t="s">
        <v>29</v>
      </c>
      <c r="D362" s="4" cm="1">
        <f t="array" aca="1" ref="D362" ca="1">IFERROR( _xlfn.XLOOKUP(B362, B$2:INDEX(B:B,ROW()-1), I$2:INDEX(I:I,ROW()-1), 0, 0, -1),0)</f>
        <v>8</v>
      </c>
      <c r="E362">
        <v>8</v>
      </c>
      <c r="F362">
        <f t="shared" ca="1" si="36"/>
        <v>1</v>
      </c>
      <c r="G362">
        <f t="shared" ca="1" si="37"/>
        <v>4</v>
      </c>
      <c r="H362">
        <f t="shared" ca="1" si="38"/>
        <v>7</v>
      </c>
      <c r="I362">
        <f t="shared" ca="1" si="39"/>
        <v>4</v>
      </c>
      <c r="J362">
        <v>7.5</v>
      </c>
      <c r="K362">
        <v>5.5</v>
      </c>
      <c r="L362">
        <v>7</v>
      </c>
      <c r="M362" s="3">
        <f t="shared" ref="M362:N381" ca="1" si="42">DATE(2024,1,1) + RANDBETWEEN(0, DATE(2024,5,25) - DATE(2024,1,1))</f>
        <v>45344</v>
      </c>
      <c r="N362" s="3">
        <f t="shared" ca="1" si="42"/>
        <v>45376</v>
      </c>
      <c r="O362" s="3">
        <v>45330</v>
      </c>
    </row>
    <row r="363" spans="1:15" x14ac:dyDescent="0.3">
      <c r="A363" s="3">
        <v>45345</v>
      </c>
      <c r="B363" t="s">
        <v>23</v>
      </c>
      <c r="C363" t="s">
        <v>28</v>
      </c>
      <c r="D363" s="4" cm="1">
        <f t="array" aca="1" ref="D363" ca="1">IFERROR( _xlfn.XLOOKUP(B363, B$2:INDEX(B:B,ROW()-1), I$2:INDEX(I:I,ROW()-1), 0, 0, -1),0)</f>
        <v>2</v>
      </c>
      <c r="E363">
        <v>9</v>
      </c>
      <c r="F363">
        <f t="shared" ca="1" si="36"/>
        <v>3</v>
      </c>
      <c r="G363">
        <f t="shared" ca="1" si="37"/>
        <v>0</v>
      </c>
      <c r="H363">
        <f t="shared" ca="1" si="38"/>
        <v>5</v>
      </c>
      <c r="I363">
        <f t="shared" ca="1" si="39"/>
        <v>3</v>
      </c>
      <c r="J363">
        <v>6.5</v>
      </c>
      <c r="K363">
        <v>5.5</v>
      </c>
      <c r="L363">
        <v>9</v>
      </c>
      <c r="M363" s="3">
        <f t="shared" ca="1" si="42"/>
        <v>45315</v>
      </c>
      <c r="N363" s="3">
        <f t="shared" ca="1" si="42"/>
        <v>45322</v>
      </c>
      <c r="O363" s="3">
        <v>45313</v>
      </c>
    </row>
    <row r="364" spans="1:15" x14ac:dyDescent="0.3">
      <c r="A364" s="3">
        <v>45345</v>
      </c>
      <c r="B364" t="s">
        <v>65</v>
      </c>
      <c r="C364" t="s">
        <v>44</v>
      </c>
      <c r="D364" s="4" cm="1">
        <f t="array" aca="1" ref="D364" ca="1">IFERROR( _xlfn.XLOOKUP(B364, B$2:INDEX(B:B,ROW()-1), I$2:INDEX(I:I,ROW()-1), 0, 0, -1),0)</f>
        <v>8</v>
      </c>
      <c r="E364">
        <v>10</v>
      </c>
      <c r="F364">
        <f t="shared" ca="1" si="36"/>
        <v>9</v>
      </c>
      <c r="G364">
        <f t="shared" ca="1" si="37"/>
        <v>2</v>
      </c>
      <c r="H364">
        <f t="shared" ca="1" si="38"/>
        <v>3</v>
      </c>
      <c r="I364">
        <f t="shared" ca="1" si="39"/>
        <v>4</v>
      </c>
      <c r="J364">
        <v>3.5</v>
      </c>
      <c r="K364">
        <v>3</v>
      </c>
      <c r="L364">
        <v>8</v>
      </c>
      <c r="M364" s="3">
        <f t="shared" ca="1" si="42"/>
        <v>45318</v>
      </c>
      <c r="N364" s="3">
        <f t="shared" ca="1" si="42"/>
        <v>45348</v>
      </c>
      <c r="O364" s="3">
        <v>45398</v>
      </c>
    </row>
    <row r="365" spans="1:15" x14ac:dyDescent="0.3">
      <c r="A365" s="3">
        <v>45345</v>
      </c>
      <c r="B365" t="s">
        <v>21</v>
      </c>
      <c r="C365" t="s">
        <v>27</v>
      </c>
      <c r="D365" s="4" cm="1">
        <f t="array" aca="1" ref="D365" ca="1">IFERROR( _xlfn.XLOOKUP(B365, B$2:INDEX(B:B,ROW()-1), I$2:INDEX(I:I,ROW()-1), 0, 0, -1),0)</f>
        <v>7</v>
      </c>
      <c r="E365">
        <v>8</v>
      </c>
      <c r="F365">
        <f t="shared" ca="1" si="36"/>
        <v>0</v>
      </c>
      <c r="G365">
        <f t="shared" ca="1" si="37"/>
        <v>7</v>
      </c>
      <c r="H365">
        <f t="shared" ca="1" si="38"/>
        <v>5</v>
      </c>
      <c r="I365">
        <f t="shared" ca="1" si="39"/>
        <v>3</v>
      </c>
      <c r="J365">
        <v>4</v>
      </c>
      <c r="K365">
        <v>3</v>
      </c>
      <c r="L365">
        <v>14</v>
      </c>
      <c r="M365" s="3">
        <f t="shared" ca="1" si="42"/>
        <v>45414</v>
      </c>
      <c r="N365" s="3">
        <f t="shared" ca="1" si="42"/>
        <v>45406</v>
      </c>
      <c r="O365" s="3">
        <v>45352</v>
      </c>
    </row>
    <row r="366" spans="1:15" x14ac:dyDescent="0.3">
      <c r="A366" s="3">
        <v>45345</v>
      </c>
      <c r="B366" t="s">
        <v>57</v>
      </c>
      <c r="C366" t="s">
        <v>75</v>
      </c>
      <c r="D366" s="4" cm="1">
        <f t="array" aca="1" ref="D366" ca="1">IFERROR( _xlfn.XLOOKUP(B366, B$2:INDEX(B:B,ROW()-1), I$2:INDEX(I:I,ROW()-1), 0, 0, -1),0)</f>
        <v>6</v>
      </c>
      <c r="E366">
        <v>8</v>
      </c>
      <c r="F366">
        <f t="shared" ca="1" si="36"/>
        <v>4</v>
      </c>
      <c r="G366">
        <f t="shared" ca="1" si="37"/>
        <v>5</v>
      </c>
      <c r="H366">
        <f t="shared" ca="1" si="38"/>
        <v>0</v>
      </c>
      <c r="I366">
        <f t="shared" ca="1" si="39"/>
        <v>5</v>
      </c>
      <c r="J366">
        <v>6</v>
      </c>
      <c r="K366">
        <v>5.5</v>
      </c>
      <c r="L366">
        <v>20</v>
      </c>
      <c r="M366" s="3">
        <f t="shared" ca="1" si="42"/>
        <v>45395</v>
      </c>
      <c r="N366" s="3">
        <f t="shared" ca="1" si="42"/>
        <v>45426</v>
      </c>
      <c r="O366" s="3">
        <v>45311</v>
      </c>
    </row>
    <row r="367" spans="1:15" x14ac:dyDescent="0.3">
      <c r="A367" s="3">
        <v>45345</v>
      </c>
      <c r="B367" t="s">
        <v>56</v>
      </c>
      <c r="C367" t="s">
        <v>54</v>
      </c>
      <c r="D367" s="4" cm="1">
        <f t="array" aca="1" ref="D367" ca="1">IFERROR( _xlfn.XLOOKUP(B367, B$2:INDEX(B:B,ROW()-1), I$2:INDEX(I:I,ROW()-1), 0, 0, -1),0)</f>
        <v>5</v>
      </c>
      <c r="E367">
        <v>8</v>
      </c>
      <c r="F367">
        <f t="shared" ca="1" si="36"/>
        <v>5</v>
      </c>
      <c r="G367">
        <f t="shared" ca="1" si="37"/>
        <v>0</v>
      </c>
      <c r="H367">
        <f t="shared" ca="1" si="38"/>
        <v>1</v>
      </c>
      <c r="I367">
        <f t="shared" ca="1" si="39"/>
        <v>7</v>
      </c>
      <c r="J367">
        <v>6</v>
      </c>
      <c r="K367">
        <v>5.5</v>
      </c>
      <c r="L367">
        <v>20</v>
      </c>
      <c r="M367" s="3">
        <f t="shared" ca="1" si="42"/>
        <v>45303</v>
      </c>
      <c r="N367" s="3">
        <f t="shared" ca="1" si="42"/>
        <v>45320</v>
      </c>
      <c r="O367" s="3">
        <v>45379</v>
      </c>
    </row>
    <row r="368" spans="1:15" x14ac:dyDescent="0.3">
      <c r="A368" s="3">
        <v>45345</v>
      </c>
      <c r="B368" t="s">
        <v>72</v>
      </c>
      <c r="C368" t="s">
        <v>48</v>
      </c>
      <c r="D368" s="4" cm="1">
        <f t="array" aca="1" ref="D368" ca="1">IFERROR( _xlfn.XLOOKUP(B368, B$2:INDEX(B:B,ROW()-1), I$2:INDEX(I:I,ROW()-1), 0, 0, -1),0)</f>
        <v>2</v>
      </c>
      <c r="E368">
        <v>6</v>
      </c>
      <c r="F368">
        <f t="shared" ca="1" si="36"/>
        <v>5</v>
      </c>
      <c r="G368">
        <f t="shared" ca="1" si="37"/>
        <v>2</v>
      </c>
      <c r="H368">
        <f t="shared" ca="1" si="38"/>
        <v>1</v>
      </c>
      <c r="I368">
        <f t="shared" ca="1" si="39"/>
        <v>0</v>
      </c>
      <c r="J368">
        <v>4</v>
      </c>
      <c r="K368">
        <v>3</v>
      </c>
      <c r="L368">
        <v>7</v>
      </c>
      <c r="M368" s="3">
        <f t="shared" ca="1" si="42"/>
        <v>45334</v>
      </c>
      <c r="N368" s="3">
        <f t="shared" ca="1" si="42"/>
        <v>45387</v>
      </c>
      <c r="O368" s="3">
        <v>45340</v>
      </c>
    </row>
    <row r="369" spans="1:15" x14ac:dyDescent="0.3">
      <c r="A369" s="3">
        <v>45345</v>
      </c>
      <c r="B369" t="s">
        <v>92</v>
      </c>
      <c r="C369" t="s">
        <v>91</v>
      </c>
      <c r="D369" s="4" cm="1">
        <f t="array" aca="1" ref="D369" ca="1">IFERROR( _xlfn.XLOOKUP(B369, B$2:INDEX(B:B,ROW()-1), I$2:INDEX(I:I,ROW()-1), 0, 0, -1),0)</f>
        <v>2</v>
      </c>
      <c r="E369">
        <v>6</v>
      </c>
      <c r="F369">
        <f t="shared" ca="1" si="36"/>
        <v>1</v>
      </c>
      <c r="G369">
        <f t="shared" ca="1" si="37"/>
        <v>1</v>
      </c>
      <c r="H369">
        <f t="shared" ca="1" si="38"/>
        <v>2</v>
      </c>
      <c r="I369">
        <f t="shared" ca="1" si="39"/>
        <v>4</v>
      </c>
      <c r="J369">
        <v>4.5</v>
      </c>
      <c r="K369">
        <v>4</v>
      </c>
      <c r="L369">
        <v>14</v>
      </c>
      <c r="M369" s="3">
        <f t="shared" ca="1" si="42"/>
        <v>45329</v>
      </c>
      <c r="N369" s="3">
        <f t="shared" ca="1" si="42"/>
        <v>45304</v>
      </c>
      <c r="O369" s="3">
        <v>45303</v>
      </c>
    </row>
    <row r="370" spans="1:15" x14ac:dyDescent="0.3">
      <c r="A370" s="3">
        <v>45346</v>
      </c>
      <c r="B370" t="s">
        <v>57</v>
      </c>
      <c r="C370" t="s">
        <v>75</v>
      </c>
      <c r="D370" s="4" cm="1">
        <f t="array" aca="1" ref="D370" ca="1">IFERROR( _xlfn.XLOOKUP(B370, B$2:INDEX(B:B,ROW()-1), I$2:INDEX(I:I,ROW()-1), 0, 0, -1),0)</f>
        <v>5</v>
      </c>
      <c r="E370">
        <v>8</v>
      </c>
      <c r="F370">
        <f t="shared" ca="1" si="36"/>
        <v>2</v>
      </c>
      <c r="G370">
        <f t="shared" ca="1" si="37"/>
        <v>2</v>
      </c>
      <c r="H370">
        <f t="shared" ca="1" si="38"/>
        <v>3</v>
      </c>
      <c r="I370">
        <f t="shared" ca="1" si="39"/>
        <v>6</v>
      </c>
      <c r="J370">
        <v>6</v>
      </c>
      <c r="K370">
        <v>5.5</v>
      </c>
      <c r="L370">
        <v>20</v>
      </c>
      <c r="M370" s="3">
        <f t="shared" ca="1" si="42"/>
        <v>45328</v>
      </c>
      <c r="N370" s="3">
        <f t="shared" ca="1" si="42"/>
        <v>45379</v>
      </c>
      <c r="O370" s="3">
        <v>45429</v>
      </c>
    </row>
    <row r="371" spans="1:15" x14ac:dyDescent="0.3">
      <c r="A371" s="3">
        <v>45346</v>
      </c>
      <c r="B371" t="s">
        <v>58</v>
      </c>
      <c r="C371" t="s">
        <v>76</v>
      </c>
      <c r="D371" s="4" cm="1">
        <f t="array" aca="1" ref="D371" ca="1">IFERROR( _xlfn.XLOOKUP(B371, B$2:INDEX(B:B,ROW()-1), I$2:INDEX(I:I,ROW()-1), 0, 0, -1),0)</f>
        <v>18</v>
      </c>
      <c r="E371">
        <v>15</v>
      </c>
      <c r="F371">
        <f t="shared" ca="1" si="36"/>
        <v>2</v>
      </c>
      <c r="G371">
        <f t="shared" ca="1" si="37"/>
        <v>7</v>
      </c>
      <c r="H371">
        <f t="shared" ca="1" si="38"/>
        <v>13</v>
      </c>
      <c r="I371">
        <f t="shared" ca="1" si="39"/>
        <v>11</v>
      </c>
      <c r="J371">
        <v>6</v>
      </c>
      <c r="K371">
        <v>5.5</v>
      </c>
      <c r="L371">
        <v>20</v>
      </c>
      <c r="M371" s="3">
        <f t="shared" ca="1" si="42"/>
        <v>45414</v>
      </c>
      <c r="N371" s="3">
        <f t="shared" ca="1" si="42"/>
        <v>45338</v>
      </c>
      <c r="O371" s="3">
        <v>45369</v>
      </c>
    </row>
    <row r="372" spans="1:15" x14ac:dyDescent="0.3">
      <c r="A372" s="3">
        <v>45346</v>
      </c>
      <c r="B372" t="s">
        <v>23</v>
      </c>
      <c r="C372" t="s">
        <v>28</v>
      </c>
      <c r="D372" s="4" cm="1">
        <f t="array" aca="1" ref="D372" ca="1">IFERROR( _xlfn.XLOOKUP(B372, B$2:INDEX(B:B,ROW()-1), I$2:INDEX(I:I,ROW()-1), 0, 0, -1),0)</f>
        <v>3</v>
      </c>
      <c r="E372">
        <v>9</v>
      </c>
      <c r="F372">
        <f t="shared" ca="1" si="36"/>
        <v>3</v>
      </c>
      <c r="G372">
        <f t="shared" ca="1" si="37"/>
        <v>3</v>
      </c>
      <c r="H372">
        <f t="shared" ca="1" si="38"/>
        <v>2</v>
      </c>
      <c r="I372">
        <f t="shared" ca="1" si="39"/>
        <v>4</v>
      </c>
      <c r="J372">
        <v>6.5</v>
      </c>
      <c r="K372">
        <v>5.5</v>
      </c>
      <c r="L372">
        <v>9</v>
      </c>
      <c r="M372" s="3">
        <f t="shared" ca="1" si="42"/>
        <v>45333</v>
      </c>
      <c r="N372" s="3">
        <f t="shared" ca="1" si="42"/>
        <v>45384</v>
      </c>
      <c r="O372" s="3">
        <v>45347</v>
      </c>
    </row>
    <row r="373" spans="1:15" x14ac:dyDescent="0.3">
      <c r="A373" s="3">
        <v>45346</v>
      </c>
      <c r="B373" t="s">
        <v>84</v>
      </c>
      <c r="C373" t="s">
        <v>101</v>
      </c>
      <c r="D373" s="4" cm="1">
        <f t="array" aca="1" ref="D373" ca="1">IFERROR( _xlfn.XLOOKUP(B373, B$2:INDEX(B:B,ROW()-1), I$2:INDEX(I:I,ROW()-1), 0, 0, -1),0)</f>
        <v>4</v>
      </c>
      <c r="E373">
        <v>8</v>
      </c>
      <c r="F373">
        <f t="shared" ca="1" si="36"/>
        <v>0</v>
      </c>
      <c r="G373">
        <f t="shared" ca="1" si="37"/>
        <v>6</v>
      </c>
      <c r="H373">
        <f t="shared" ca="1" si="38"/>
        <v>4</v>
      </c>
      <c r="I373">
        <f t="shared" ca="1" si="39"/>
        <v>2</v>
      </c>
      <c r="J373">
        <v>3.5</v>
      </c>
      <c r="K373">
        <v>3</v>
      </c>
      <c r="L373">
        <v>8</v>
      </c>
      <c r="M373" s="3">
        <f t="shared" ca="1" si="42"/>
        <v>45350</v>
      </c>
      <c r="N373" s="3">
        <f t="shared" ca="1" si="42"/>
        <v>45404</v>
      </c>
      <c r="O373" s="3">
        <v>45373</v>
      </c>
    </row>
    <row r="374" spans="1:15" x14ac:dyDescent="0.3">
      <c r="A374" s="3">
        <v>45346</v>
      </c>
      <c r="B374" t="s">
        <v>64</v>
      </c>
      <c r="C374" t="s">
        <v>42</v>
      </c>
      <c r="D374" s="4" cm="1">
        <f t="array" aca="1" ref="D374" ca="1">IFERROR( _xlfn.XLOOKUP(B374, B$2:INDEX(B:B,ROW()-1), I$2:INDEX(I:I,ROW()-1), 0, 0, -1),0)</f>
        <v>4</v>
      </c>
      <c r="E374">
        <v>8</v>
      </c>
      <c r="F374">
        <f t="shared" ca="1" si="36"/>
        <v>2</v>
      </c>
      <c r="G374">
        <f t="shared" ca="1" si="37"/>
        <v>5</v>
      </c>
      <c r="H374">
        <f t="shared" ca="1" si="38"/>
        <v>0</v>
      </c>
      <c r="I374">
        <f t="shared" ca="1" si="39"/>
        <v>5</v>
      </c>
      <c r="J374">
        <v>3.5</v>
      </c>
      <c r="K374">
        <v>3</v>
      </c>
      <c r="L374">
        <v>8</v>
      </c>
      <c r="M374" s="3">
        <f t="shared" ca="1" si="42"/>
        <v>45338</v>
      </c>
      <c r="N374" s="3">
        <f t="shared" ca="1" si="42"/>
        <v>45389</v>
      </c>
      <c r="O374" s="3">
        <v>45422</v>
      </c>
    </row>
    <row r="375" spans="1:15" x14ac:dyDescent="0.3">
      <c r="A375" s="3">
        <v>45346</v>
      </c>
      <c r="B375" t="s">
        <v>90</v>
      </c>
      <c r="C375" t="s">
        <v>87</v>
      </c>
      <c r="D375" s="4" cm="1">
        <f t="array" aca="1" ref="D375" ca="1">IFERROR( _xlfn.XLOOKUP(B375, B$2:INDEX(B:B,ROW()-1), I$2:INDEX(I:I,ROW()-1), 0, 0, -1),0)</f>
        <v>3</v>
      </c>
      <c r="E375">
        <v>12</v>
      </c>
      <c r="F375">
        <f t="shared" ca="1" si="36"/>
        <v>2</v>
      </c>
      <c r="G375">
        <f t="shared" ca="1" si="37"/>
        <v>3</v>
      </c>
      <c r="H375">
        <f t="shared" ca="1" si="38"/>
        <v>4</v>
      </c>
      <c r="I375">
        <f t="shared" ca="1" si="39"/>
        <v>6</v>
      </c>
      <c r="J375">
        <v>4.5</v>
      </c>
      <c r="K375">
        <v>4</v>
      </c>
      <c r="L375">
        <v>14</v>
      </c>
      <c r="M375" s="3">
        <f t="shared" ca="1" si="42"/>
        <v>45391</v>
      </c>
      <c r="N375" s="3">
        <f t="shared" ca="1" si="42"/>
        <v>45403</v>
      </c>
      <c r="O375" s="3">
        <v>45371</v>
      </c>
    </row>
    <row r="376" spans="1:15" x14ac:dyDescent="0.3">
      <c r="A376" s="3">
        <v>45346</v>
      </c>
      <c r="B376" t="s">
        <v>61</v>
      </c>
      <c r="C376" t="s">
        <v>95</v>
      </c>
      <c r="D376" s="4" cm="1">
        <f t="array" aca="1" ref="D376" ca="1">IFERROR( _xlfn.XLOOKUP(B376, B$2:INDEX(B:B,ROW()-1), I$2:INDEX(I:I,ROW()-1), 0, 0, -1),0)</f>
        <v>6</v>
      </c>
      <c r="E376">
        <v>10</v>
      </c>
      <c r="F376">
        <f t="shared" ca="1" si="36"/>
        <v>9</v>
      </c>
      <c r="G376">
        <f t="shared" ca="1" si="37"/>
        <v>0</v>
      </c>
      <c r="H376">
        <f t="shared" ca="1" si="38"/>
        <v>0</v>
      </c>
      <c r="I376">
        <f t="shared" ca="1" si="39"/>
        <v>7</v>
      </c>
      <c r="J376">
        <v>4</v>
      </c>
      <c r="K376">
        <v>3.5</v>
      </c>
      <c r="L376">
        <v>10</v>
      </c>
      <c r="M376" s="3">
        <f t="shared" ca="1" si="42"/>
        <v>45361</v>
      </c>
      <c r="N376" s="3">
        <f t="shared" ca="1" si="42"/>
        <v>45437</v>
      </c>
      <c r="O376" s="3">
        <v>45353</v>
      </c>
    </row>
    <row r="377" spans="1:15" x14ac:dyDescent="0.3">
      <c r="A377" s="3">
        <v>45346</v>
      </c>
      <c r="B377" t="s">
        <v>90</v>
      </c>
      <c r="C377" t="s">
        <v>87</v>
      </c>
      <c r="D377" s="4" cm="1">
        <f t="array" aca="1" ref="D377" ca="1">IFERROR( _xlfn.XLOOKUP(B377, B$2:INDEX(B:B,ROW()-1), I$2:INDEX(I:I,ROW()-1), 0, 0, -1),0)</f>
        <v>6</v>
      </c>
      <c r="E377">
        <v>12</v>
      </c>
      <c r="F377">
        <f t="shared" ca="1" si="36"/>
        <v>8</v>
      </c>
      <c r="G377">
        <f t="shared" ca="1" si="37"/>
        <v>0</v>
      </c>
      <c r="H377">
        <f t="shared" ca="1" si="38"/>
        <v>0</v>
      </c>
      <c r="I377">
        <f t="shared" ca="1" si="39"/>
        <v>10</v>
      </c>
      <c r="J377">
        <v>4.5</v>
      </c>
      <c r="K377">
        <v>4</v>
      </c>
      <c r="L377">
        <v>14</v>
      </c>
      <c r="M377" s="3">
        <f t="shared" ca="1" si="42"/>
        <v>45299</v>
      </c>
      <c r="N377" s="3">
        <f t="shared" ca="1" si="42"/>
        <v>45361</v>
      </c>
      <c r="O377" s="3">
        <v>45410</v>
      </c>
    </row>
    <row r="378" spans="1:15" x14ac:dyDescent="0.3">
      <c r="A378" s="3">
        <v>45346</v>
      </c>
      <c r="B378" t="s">
        <v>70</v>
      </c>
      <c r="C378" t="s">
        <v>99</v>
      </c>
      <c r="D378" s="4" cm="1">
        <f t="array" aca="1" ref="D378" ca="1">IFERROR( _xlfn.XLOOKUP(B378, B$2:INDEX(B:B,ROW()-1), I$2:INDEX(I:I,ROW()-1), 0, 0, -1),0)</f>
        <v>2</v>
      </c>
      <c r="E378">
        <v>6</v>
      </c>
      <c r="F378">
        <f t="shared" ca="1" si="36"/>
        <v>0</v>
      </c>
      <c r="G378">
        <f t="shared" ca="1" si="37"/>
        <v>5</v>
      </c>
      <c r="H378">
        <f t="shared" ca="1" si="38"/>
        <v>0</v>
      </c>
      <c r="I378">
        <f t="shared" ca="1" si="39"/>
        <v>3</v>
      </c>
      <c r="J378">
        <v>4</v>
      </c>
      <c r="K378">
        <v>3</v>
      </c>
      <c r="L378">
        <v>7</v>
      </c>
      <c r="M378" s="3">
        <f t="shared" ca="1" si="42"/>
        <v>45394</v>
      </c>
      <c r="N378" s="3">
        <f t="shared" ca="1" si="42"/>
        <v>45366</v>
      </c>
      <c r="O378" s="3">
        <v>45404</v>
      </c>
    </row>
    <row r="379" spans="1:15" x14ac:dyDescent="0.3">
      <c r="A379" s="3">
        <v>45346</v>
      </c>
      <c r="B379" t="s">
        <v>88</v>
      </c>
      <c r="C379" t="s">
        <v>102</v>
      </c>
      <c r="D379" s="4" cm="1">
        <f t="array" aca="1" ref="D379" ca="1">IFERROR( _xlfn.XLOOKUP(B379, B$2:INDEX(B:B,ROW()-1), I$2:INDEX(I:I,ROW()-1), 0, 0, -1),0)</f>
        <v>6</v>
      </c>
      <c r="E379">
        <v>8</v>
      </c>
      <c r="F379">
        <f t="shared" ca="1" si="36"/>
        <v>5</v>
      </c>
      <c r="G379">
        <f t="shared" ca="1" si="37"/>
        <v>3</v>
      </c>
      <c r="H379">
        <f t="shared" ca="1" si="38"/>
        <v>0</v>
      </c>
      <c r="I379">
        <f t="shared" ca="1" si="39"/>
        <v>6</v>
      </c>
      <c r="J379">
        <v>3.5</v>
      </c>
      <c r="K379">
        <v>3</v>
      </c>
      <c r="L379">
        <v>8</v>
      </c>
      <c r="M379" s="3">
        <f t="shared" ca="1" si="42"/>
        <v>45320</v>
      </c>
      <c r="N379" s="3">
        <f t="shared" ca="1" si="42"/>
        <v>45422</v>
      </c>
      <c r="O379" s="3">
        <v>45328</v>
      </c>
    </row>
    <row r="380" spans="1:15" x14ac:dyDescent="0.3">
      <c r="A380" s="3">
        <v>45347</v>
      </c>
      <c r="B380" t="s">
        <v>88</v>
      </c>
      <c r="C380" t="s">
        <v>102</v>
      </c>
      <c r="D380" s="4" cm="1">
        <f t="array" aca="1" ref="D380" ca="1">IFERROR( _xlfn.XLOOKUP(B380, B$2:INDEX(B:B,ROW()-1), I$2:INDEX(I:I,ROW()-1), 0, 0, -1),0)</f>
        <v>6</v>
      </c>
      <c r="E380">
        <v>8</v>
      </c>
      <c r="F380">
        <f t="shared" ca="1" si="36"/>
        <v>4</v>
      </c>
      <c r="G380">
        <f t="shared" ca="1" si="37"/>
        <v>2</v>
      </c>
      <c r="H380">
        <f t="shared" ca="1" si="38"/>
        <v>4</v>
      </c>
      <c r="I380">
        <f t="shared" ca="1" si="39"/>
        <v>4</v>
      </c>
      <c r="J380">
        <v>3.5</v>
      </c>
      <c r="K380">
        <v>3</v>
      </c>
      <c r="L380">
        <v>8</v>
      </c>
      <c r="M380" s="3">
        <f t="shared" ca="1" si="42"/>
        <v>45295</v>
      </c>
      <c r="N380" s="3">
        <f t="shared" ca="1" si="42"/>
        <v>45337</v>
      </c>
      <c r="O380" s="3">
        <v>45307</v>
      </c>
    </row>
    <row r="381" spans="1:15" x14ac:dyDescent="0.3">
      <c r="A381" s="3">
        <v>45347</v>
      </c>
      <c r="B381" t="s">
        <v>57</v>
      </c>
      <c r="C381" t="s">
        <v>75</v>
      </c>
      <c r="D381" s="4" cm="1">
        <f t="array" aca="1" ref="D381" ca="1">IFERROR( _xlfn.XLOOKUP(B381, B$2:INDEX(B:B,ROW()-1), I$2:INDEX(I:I,ROW()-1), 0, 0, -1),0)</f>
        <v>6</v>
      </c>
      <c r="E381">
        <v>8</v>
      </c>
      <c r="F381">
        <f t="shared" ca="1" si="36"/>
        <v>5</v>
      </c>
      <c r="G381">
        <f t="shared" ca="1" si="37"/>
        <v>5</v>
      </c>
      <c r="H381">
        <f t="shared" ca="1" si="38"/>
        <v>2</v>
      </c>
      <c r="I381">
        <f t="shared" ca="1" si="39"/>
        <v>2</v>
      </c>
      <c r="J381">
        <v>6</v>
      </c>
      <c r="K381">
        <v>5.5</v>
      </c>
      <c r="L381">
        <v>20</v>
      </c>
      <c r="M381" s="3">
        <f t="shared" ca="1" si="42"/>
        <v>45315</v>
      </c>
      <c r="N381" s="3">
        <f t="shared" ca="1" si="42"/>
        <v>45420</v>
      </c>
      <c r="O381" s="3">
        <v>45398</v>
      </c>
    </row>
    <row r="382" spans="1:15" x14ac:dyDescent="0.3">
      <c r="A382" s="3">
        <v>45347</v>
      </c>
      <c r="B382" t="s">
        <v>21</v>
      </c>
      <c r="C382" t="s">
        <v>27</v>
      </c>
      <c r="D382" s="4" cm="1">
        <f t="array" aca="1" ref="D382" ca="1">IFERROR( _xlfn.XLOOKUP(B382, B$2:INDEX(B:B,ROW()-1), I$2:INDEX(I:I,ROW()-1), 0, 0, -1),0)</f>
        <v>3</v>
      </c>
      <c r="E382">
        <v>8</v>
      </c>
      <c r="F382">
        <f t="shared" ca="1" si="36"/>
        <v>0</v>
      </c>
      <c r="G382">
        <f t="shared" ca="1" si="37"/>
        <v>0</v>
      </c>
      <c r="H382">
        <f t="shared" ca="1" si="38"/>
        <v>6</v>
      </c>
      <c r="I382">
        <f t="shared" ca="1" si="39"/>
        <v>5</v>
      </c>
      <c r="J382">
        <v>4</v>
      </c>
      <c r="K382">
        <v>3</v>
      </c>
      <c r="L382">
        <v>14</v>
      </c>
      <c r="M382" s="3">
        <f t="shared" ref="M382:N401" ca="1" si="43">DATE(2024,1,1) + RANDBETWEEN(0, DATE(2024,5,25) - DATE(2024,1,1))</f>
        <v>45311</v>
      </c>
      <c r="N382" s="3">
        <f t="shared" ca="1" si="43"/>
        <v>45358</v>
      </c>
      <c r="O382" s="3">
        <v>45306</v>
      </c>
    </row>
    <row r="383" spans="1:15" x14ac:dyDescent="0.3">
      <c r="A383" s="3">
        <v>45347</v>
      </c>
      <c r="B383" t="s">
        <v>35</v>
      </c>
      <c r="C383" t="s">
        <v>31</v>
      </c>
      <c r="D383" s="4" cm="1">
        <f t="array" aca="1" ref="D383" ca="1">IFERROR( _xlfn.XLOOKUP(B383, B$2:INDEX(B:B,ROW()-1), I$2:INDEX(I:I,ROW()-1), 0, 0, -1),0)</f>
        <v>7</v>
      </c>
      <c r="E383">
        <v>8</v>
      </c>
      <c r="F383">
        <f t="shared" ca="1" si="36"/>
        <v>7</v>
      </c>
      <c r="G383">
        <f t="shared" ca="1" si="37"/>
        <v>2</v>
      </c>
      <c r="H383">
        <f t="shared" ca="1" si="38"/>
        <v>4</v>
      </c>
      <c r="I383">
        <f t="shared" ca="1" si="39"/>
        <v>2</v>
      </c>
      <c r="J383">
        <v>3.5</v>
      </c>
      <c r="K383">
        <v>3</v>
      </c>
      <c r="L383">
        <v>14</v>
      </c>
      <c r="M383" s="3">
        <f t="shared" ca="1" si="43"/>
        <v>45413</v>
      </c>
      <c r="N383" s="3">
        <f t="shared" ca="1" si="43"/>
        <v>45343</v>
      </c>
      <c r="O383" s="3">
        <v>45409</v>
      </c>
    </row>
    <row r="384" spans="1:15" x14ac:dyDescent="0.3">
      <c r="A384" s="3">
        <v>45347</v>
      </c>
      <c r="B384" t="s">
        <v>71</v>
      </c>
      <c r="C384" t="s">
        <v>47</v>
      </c>
      <c r="D384" s="4" cm="1">
        <f t="array" aca="1" ref="D384" ca="1">IFERROR( _xlfn.XLOOKUP(B384, B$2:INDEX(B:B,ROW()-1), I$2:INDEX(I:I,ROW()-1), 0, 0, -1),0)</f>
        <v>2</v>
      </c>
      <c r="E384">
        <v>6</v>
      </c>
      <c r="F384">
        <f t="shared" ca="1" si="36"/>
        <v>3</v>
      </c>
      <c r="G384">
        <f t="shared" ca="1" si="37"/>
        <v>0</v>
      </c>
      <c r="H384">
        <f t="shared" ca="1" si="38"/>
        <v>2</v>
      </c>
      <c r="I384">
        <f t="shared" ca="1" si="39"/>
        <v>3</v>
      </c>
      <c r="J384">
        <v>4</v>
      </c>
      <c r="K384">
        <v>3</v>
      </c>
      <c r="L384">
        <v>7</v>
      </c>
      <c r="M384" s="3">
        <f t="shared" ca="1" si="43"/>
        <v>45354</v>
      </c>
      <c r="N384" s="3">
        <f t="shared" ca="1" si="43"/>
        <v>45361</v>
      </c>
      <c r="O384" s="3">
        <v>45323</v>
      </c>
    </row>
    <row r="385" spans="1:15" x14ac:dyDescent="0.3">
      <c r="A385" s="3">
        <v>45347</v>
      </c>
      <c r="B385" t="s">
        <v>57</v>
      </c>
      <c r="C385" t="s">
        <v>75</v>
      </c>
      <c r="D385" s="4" cm="1">
        <f t="array" aca="1" ref="D385" ca="1">IFERROR( _xlfn.XLOOKUP(B385, B$2:INDEX(B:B,ROW()-1), I$2:INDEX(I:I,ROW()-1), 0, 0, -1),0)</f>
        <v>2</v>
      </c>
      <c r="E385">
        <v>8</v>
      </c>
      <c r="F385">
        <f t="shared" ca="1" si="36"/>
        <v>0</v>
      </c>
      <c r="G385">
        <f t="shared" ca="1" si="37"/>
        <v>3</v>
      </c>
      <c r="H385">
        <f t="shared" ca="1" si="38"/>
        <v>4</v>
      </c>
      <c r="I385">
        <f t="shared" ca="1" si="39"/>
        <v>3</v>
      </c>
      <c r="J385">
        <v>6</v>
      </c>
      <c r="K385">
        <v>5.5</v>
      </c>
      <c r="L385">
        <v>20</v>
      </c>
      <c r="M385" s="3">
        <f t="shared" ca="1" si="43"/>
        <v>45411</v>
      </c>
      <c r="N385" s="3">
        <f t="shared" ca="1" si="43"/>
        <v>45365</v>
      </c>
      <c r="O385" s="3">
        <v>45346</v>
      </c>
    </row>
    <row r="386" spans="1:15" x14ac:dyDescent="0.3">
      <c r="A386" s="3">
        <v>45348</v>
      </c>
      <c r="B386" t="s">
        <v>61</v>
      </c>
      <c r="C386" t="s">
        <v>95</v>
      </c>
      <c r="D386" s="4" cm="1">
        <f t="array" aca="1" ref="D386" ca="1">IFERROR( _xlfn.XLOOKUP(B386, B$2:INDEX(B:B,ROW()-1), I$2:INDEX(I:I,ROW()-1), 0, 0, -1),0)</f>
        <v>7</v>
      </c>
      <c r="E386">
        <v>10</v>
      </c>
      <c r="F386">
        <f t="shared" ref="F386:F449" ca="1" si="44">RANDBETWEEN(0, ROUND((D386+E386)*0.6,0))</f>
        <v>9</v>
      </c>
      <c r="G386">
        <f t="shared" ref="G386:G449" ca="1" si="45">RANDBETWEEN(0,ROUND((D386+E386-F386)*0.6,0))</f>
        <v>2</v>
      </c>
      <c r="H386">
        <f t="shared" ref="H386:H449" ca="1" si="46">RANDBETWEEN(0,ROUND((D386+E386-F386-G386)*0.6,0))</f>
        <v>3</v>
      </c>
      <c r="I386">
        <f t="shared" ref="I386:I449" ca="1" si="47">D386+E386-F386-G386-H386</f>
        <v>3</v>
      </c>
      <c r="J386">
        <v>4</v>
      </c>
      <c r="K386">
        <v>3.5</v>
      </c>
      <c r="L386">
        <v>10</v>
      </c>
      <c r="M386" s="3">
        <f t="shared" ca="1" si="43"/>
        <v>45413</v>
      </c>
      <c r="N386" s="3">
        <f t="shared" ca="1" si="43"/>
        <v>45369</v>
      </c>
      <c r="O386" s="3">
        <v>45433</v>
      </c>
    </row>
    <row r="387" spans="1:15" x14ac:dyDescent="0.3">
      <c r="A387" s="3">
        <v>45348</v>
      </c>
      <c r="B387" t="s">
        <v>37</v>
      </c>
      <c r="C387" t="s">
        <v>51</v>
      </c>
      <c r="D387" s="4" cm="1">
        <f t="array" aca="1" ref="D387" ca="1">IFERROR( _xlfn.XLOOKUP(B387, B$2:INDEX(B:B,ROW()-1), I$2:INDEX(I:I,ROW()-1), 0, 0, -1),0)</f>
        <v>3</v>
      </c>
      <c r="E387">
        <v>12</v>
      </c>
      <c r="F387">
        <f t="shared" ca="1" si="44"/>
        <v>7</v>
      </c>
      <c r="G387">
        <f t="shared" ca="1" si="45"/>
        <v>5</v>
      </c>
      <c r="H387">
        <f t="shared" ca="1" si="46"/>
        <v>1</v>
      </c>
      <c r="I387">
        <f t="shared" ca="1" si="47"/>
        <v>2</v>
      </c>
      <c r="J387">
        <v>3.5</v>
      </c>
      <c r="K387">
        <v>3</v>
      </c>
      <c r="L387">
        <v>14</v>
      </c>
      <c r="M387" s="3">
        <f t="shared" ca="1" si="43"/>
        <v>45376</v>
      </c>
      <c r="N387" s="3">
        <f t="shared" ca="1" si="43"/>
        <v>45387</v>
      </c>
      <c r="O387" s="3">
        <v>45297</v>
      </c>
    </row>
    <row r="388" spans="1:15" x14ac:dyDescent="0.3">
      <c r="A388" s="3">
        <v>45348</v>
      </c>
      <c r="B388" t="s">
        <v>63</v>
      </c>
      <c r="C388" t="s">
        <v>97</v>
      </c>
      <c r="D388" s="4" cm="1">
        <f t="array" aca="1" ref="D388" ca="1">IFERROR( _xlfn.XLOOKUP(B388, B$2:INDEX(B:B,ROW()-1), I$2:INDEX(I:I,ROW()-1), 0, 0, -1),0)</f>
        <v>1</v>
      </c>
      <c r="E388">
        <v>10</v>
      </c>
      <c r="F388">
        <f t="shared" ca="1" si="44"/>
        <v>2</v>
      </c>
      <c r="G388">
        <f t="shared" ca="1" si="45"/>
        <v>5</v>
      </c>
      <c r="H388">
        <f t="shared" ca="1" si="46"/>
        <v>1</v>
      </c>
      <c r="I388">
        <f t="shared" ca="1" si="47"/>
        <v>3</v>
      </c>
      <c r="J388">
        <v>4</v>
      </c>
      <c r="K388">
        <v>3.5</v>
      </c>
      <c r="L388">
        <v>10</v>
      </c>
      <c r="M388" s="3">
        <f t="shared" ca="1" si="43"/>
        <v>45410</v>
      </c>
      <c r="N388" s="3">
        <f t="shared" ca="1" si="43"/>
        <v>45360</v>
      </c>
      <c r="O388" s="3">
        <v>45421</v>
      </c>
    </row>
    <row r="389" spans="1:15" x14ac:dyDescent="0.3">
      <c r="A389" s="3">
        <v>45348</v>
      </c>
      <c r="B389" t="s">
        <v>22</v>
      </c>
      <c r="C389" t="s">
        <v>26</v>
      </c>
      <c r="D389" s="4" cm="1">
        <f t="array" aca="1" ref="D389" ca="1">IFERROR( _xlfn.XLOOKUP(B389, B$2:INDEX(B:B,ROW()-1), I$2:INDEX(I:I,ROW()-1), 0, 0, -1),0)</f>
        <v>6</v>
      </c>
      <c r="E389">
        <v>12</v>
      </c>
      <c r="F389">
        <f t="shared" ca="1" si="44"/>
        <v>7</v>
      </c>
      <c r="G389">
        <f t="shared" ca="1" si="45"/>
        <v>5</v>
      </c>
      <c r="H389">
        <f t="shared" ca="1" si="46"/>
        <v>2</v>
      </c>
      <c r="I389">
        <f t="shared" ca="1" si="47"/>
        <v>4</v>
      </c>
      <c r="J389">
        <v>3.5</v>
      </c>
      <c r="K389">
        <v>3</v>
      </c>
      <c r="L389">
        <v>14</v>
      </c>
      <c r="M389" s="3">
        <f t="shared" ca="1" si="43"/>
        <v>45402</v>
      </c>
      <c r="N389" s="3">
        <f t="shared" ca="1" si="43"/>
        <v>45405</v>
      </c>
      <c r="O389" s="3">
        <v>45325</v>
      </c>
    </row>
    <row r="390" spans="1:15" x14ac:dyDescent="0.3">
      <c r="A390" s="3">
        <v>45348</v>
      </c>
      <c r="B390" t="s">
        <v>19</v>
      </c>
      <c r="C390" t="s">
        <v>17</v>
      </c>
      <c r="D390" s="4" cm="1">
        <f t="array" aca="1" ref="D390" ca="1">IFERROR( _xlfn.XLOOKUP(B390, B$2:INDEX(B:B,ROW()-1), I$2:INDEX(I:I,ROW()-1), 0, 0, -1),0)</f>
        <v>4</v>
      </c>
      <c r="E390">
        <v>10</v>
      </c>
      <c r="F390">
        <f t="shared" ca="1" si="44"/>
        <v>3</v>
      </c>
      <c r="G390">
        <f t="shared" ca="1" si="45"/>
        <v>2</v>
      </c>
      <c r="H390">
        <f t="shared" ca="1" si="46"/>
        <v>3</v>
      </c>
      <c r="I390">
        <f t="shared" ca="1" si="47"/>
        <v>6</v>
      </c>
      <c r="J390">
        <v>4.5</v>
      </c>
      <c r="K390">
        <v>4</v>
      </c>
      <c r="L390">
        <v>10</v>
      </c>
      <c r="M390" s="3">
        <f t="shared" ca="1" si="43"/>
        <v>45411</v>
      </c>
      <c r="N390" s="3">
        <f t="shared" ca="1" si="43"/>
        <v>45340</v>
      </c>
      <c r="O390" s="3">
        <v>45370</v>
      </c>
    </row>
    <row r="391" spans="1:15" x14ac:dyDescent="0.3">
      <c r="A391" s="3">
        <v>45348</v>
      </c>
      <c r="B391" t="s">
        <v>37</v>
      </c>
      <c r="C391" t="s">
        <v>51</v>
      </c>
      <c r="D391" s="4" cm="1">
        <f t="array" aca="1" ref="D391" ca="1">IFERROR( _xlfn.XLOOKUP(B391, B$2:INDEX(B:B,ROW()-1), I$2:INDEX(I:I,ROW()-1), 0, 0, -1),0)</f>
        <v>2</v>
      </c>
      <c r="E391">
        <v>12</v>
      </c>
      <c r="F391">
        <f t="shared" ca="1" si="44"/>
        <v>4</v>
      </c>
      <c r="G391">
        <f t="shared" ca="1" si="45"/>
        <v>6</v>
      </c>
      <c r="H391">
        <f t="shared" ca="1" si="46"/>
        <v>0</v>
      </c>
      <c r="I391">
        <f t="shared" ca="1" si="47"/>
        <v>4</v>
      </c>
      <c r="J391">
        <v>3.5</v>
      </c>
      <c r="K391">
        <v>3</v>
      </c>
      <c r="L391">
        <v>14</v>
      </c>
      <c r="M391" s="3">
        <f t="shared" ca="1" si="43"/>
        <v>45360</v>
      </c>
      <c r="N391" s="3">
        <f t="shared" ca="1" si="43"/>
        <v>45292</v>
      </c>
      <c r="O391" s="3">
        <v>45295</v>
      </c>
    </row>
    <row r="392" spans="1:15" x14ac:dyDescent="0.3">
      <c r="A392" s="3">
        <v>45348</v>
      </c>
      <c r="B392" t="s">
        <v>61</v>
      </c>
      <c r="C392" t="s">
        <v>95</v>
      </c>
      <c r="D392" s="4" cm="1">
        <f t="array" aca="1" ref="D392" ca="1">IFERROR( _xlfn.XLOOKUP(B392, B$2:INDEX(B:B,ROW()-1), I$2:INDEX(I:I,ROW()-1), 0, 0, -1),0)</f>
        <v>3</v>
      </c>
      <c r="E392">
        <v>10</v>
      </c>
      <c r="F392">
        <f t="shared" ca="1" si="44"/>
        <v>1</v>
      </c>
      <c r="G392">
        <f t="shared" ca="1" si="45"/>
        <v>7</v>
      </c>
      <c r="H392">
        <f t="shared" ca="1" si="46"/>
        <v>2</v>
      </c>
      <c r="I392">
        <f t="shared" ca="1" si="47"/>
        <v>3</v>
      </c>
      <c r="J392">
        <v>4</v>
      </c>
      <c r="K392">
        <v>3.5</v>
      </c>
      <c r="L392">
        <v>10</v>
      </c>
      <c r="M392" s="3">
        <f t="shared" ca="1" si="43"/>
        <v>45328</v>
      </c>
      <c r="N392" s="3">
        <f t="shared" ca="1" si="43"/>
        <v>45424</v>
      </c>
      <c r="O392" s="3">
        <v>45378</v>
      </c>
    </row>
    <row r="393" spans="1:15" x14ac:dyDescent="0.3">
      <c r="A393" s="3">
        <v>45348</v>
      </c>
      <c r="B393" t="s">
        <v>81</v>
      </c>
      <c r="C393" t="s">
        <v>50</v>
      </c>
      <c r="D393" s="4" cm="1">
        <f t="array" aca="1" ref="D393" ca="1">IFERROR( _xlfn.XLOOKUP(B393, B$2:INDEX(B:B,ROW()-1), I$2:INDEX(I:I,ROW()-1), 0, 0, -1),0)</f>
        <v>3</v>
      </c>
      <c r="E393">
        <v>8</v>
      </c>
      <c r="F393">
        <f t="shared" ca="1" si="44"/>
        <v>2</v>
      </c>
      <c r="G393">
        <f t="shared" ca="1" si="45"/>
        <v>1</v>
      </c>
      <c r="H393">
        <f t="shared" ca="1" si="46"/>
        <v>5</v>
      </c>
      <c r="I393">
        <f t="shared" ca="1" si="47"/>
        <v>3</v>
      </c>
      <c r="J393">
        <v>2.5</v>
      </c>
      <c r="K393">
        <v>2</v>
      </c>
      <c r="L393">
        <v>5</v>
      </c>
      <c r="M393" s="3">
        <f t="shared" ca="1" si="43"/>
        <v>45301</v>
      </c>
      <c r="N393" s="3">
        <f t="shared" ca="1" si="43"/>
        <v>45377</v>
      </c>
      <c r="O393" s="3">
        <v>45395</v>
      </c>
    </row>
    <row r="394" spans="1:15" x14ac:dyDescent="0.3">
      <c r="A394" s="3">
        <v>45348</v>
      </c>
      <c r="B394" t="s">
        <v>84</v>
      </c>
      <c r="C394" t="s">
        <v>101</v>
      </c>
      <c r="D394" s="4" cm="1">
        <f t="array" aca="1" ref="D394" ca="1">IFERROR( _xlfn.XLOOKUP(B394, B$2:INDEX(B:B,ROW()-1), I$2:INDEX(I:I,ROW()-1), 0, 0, -1),0)</f>
        <v>2</v>
      </c>
      <c r="E394">
        <v>8</v>
      </c>
      <c r="F394">
        <f t="shared" ca="1" si="44"/>
        <v>5</v>
      </c>
      <c r="G394">
        <f t="shared" ca="1" si="45"/>
        <v>1</v>
      </c>
      <c r="H394">
        <f t="shared" ca="1" si="46"/>
        <v>0</v>
      </c>
      <c r="I394">
        <f t="shared" ca="1" si="47"/>
        <v>4</v>
      </c>
      <c r="J394">
        <v>3.5</v>
      </c>
      <c r="K394">
        <v>3</v>
      </c>
      <c r="L394">
        <v>8</v>
      </c>
      <c r="M394" s="3">
        <f t="shared" ca="1" si="43"/>
        <v>45340</v>
      </c>
      <c r="N394" s="3">
        <f t="shared" ca="1" si="43"/>
        <v>45388</v>
      </c>
      <c r="O394" s="3">
        <v>45307</v>
      </c>
    </row>
    <row r="395" spans="1:15" x14ac:dyDescent="0.3">
      <c r="A395" s="3">
        <v>45349</v>
      </c>
      <c r="B395" t="s">
        <v>83</v>
      </c>
      <c r="C395" t="s">
        <v>100</v>
      </c>
      <c r="D395" s="4" cm="1">
        <f t="array" aca="1" ref="D395" ca="1">IFERROR( _xlfn.XLOOKUP(B395, B$2:INDEX(B:B,ROW()-1), I$2:INDEX(I:I,ROW()-1), 0, 0, -1),0)</f>
        <v>6</v>
      </c>
      <c r="E395">
        <v>10</v>
      </c>
      <c r="F395">
        <f t="shared" ca="1" si="44"/>
        <v>1</v>
      </c>
      <c r="G395">
        <f t="shared" ca="1" si="45"/>
        <v>0</v>
      </c>
      <c r="H395">
        <f t="shared" ca="1" si="46"/>
        <v>3</v>
      </c>
      <c r="I395">
        <f t="shared" ca="1" si="47"/>
        <v>12</v>
      </c>
      <c r="J395">
        <v>4.5</v>
      </c>
      <c r="K395">
        <v>4</v>
      </c>
      <c r="L395">
        <v>10</v>
      </c>
      <c r="M395" s="3">
        <f t="shared" ca="1" si="43"/>
        <v>45293</v>
      </c>
      <c r="N395" s="3">
        <f t="shared" ca="1" si="43"/>
        <v>45299</v>
      </c>
      <c r="O395" s="3">
        <v>45352</v>
      </c>
    </row>
    <row r="396" spans="1:15" x14ac:dyDescent="0.3">
      <c r="A396" s="3">
        <v>45349</v>
      </c>
      <c r="B396" t="s">
        <v>64</v>
      </c>
      <c r="C396" t="s">
        <v>42</v>
      </c>
      <c r="D396" s="4" cm="1">
        <f t="array" aca="1" ref="D396" ca="1">IFERROR( _xlfn.XLOOKUP(B396, B$2:INDEX(B:B,ROW()-1), I$2:INDEX(I:I,ROW()-1), 0, 0, -1),0)</f>
        <v>5</v>
      </c>
      <c r="E396">
        <v>8</v>
      </c>
      <c r="F396">
        <f t="shared" ca="1" si="44"/>
        <v>1</v>
      </c>
      <c r="G396">
        <f t="shared" ca="1" si="45"/>
        <v>4</v>
      </c>
      <c r="H396">
        <f t="shared" ca="1" si="46"/>
        <v>3</v>
      </c>
      <c r="I396">
        <f t="shared" ca="1" si="47"/>
        <v>5</v>
      </c>
      <c r="J396">
        <v>3.5</v>
      </c>
      <c r="K396">
        <v>3</v>
      </c>
      <c r="L396">
        <v>8</v>
      </c>
      <c r="M396" s="3">
        <f t="shared" ca="1" si="43"/>
        <v>45322</v>
      </c>
      <c r="N396" s="3">
        <f t="shared" ca="1" si="43"/>
        <v>45410</v>
      </c>
      <c r="O396" s="3">
        <v>45347</v>
      </c>
    </row>
    <row r="397" spans="1:15" x14ac:dyDescent="0.3">
      <c r="A397" s="3">
        <v>45349</v>
      </c>
      <c r="B397" t="s">
        <v>56</v>
      </c>
      <c r="C397" t="s">
        <v>54</v>
      </c>
      <c r="D397" s="4" cm="1">
        <f t="array" aca="1" ref="D397" ca="1">IFERROR( _xlfn.XLOOKUP(B397, B$2:INDEX(B:B,ROW()-1), I$2:INDEX(I:I,ROW()-1), 0, 0, -1),0)</f>
        <v>7</v>
      </c>
      <c r="E397">
        <v>8</v>
      </c>
      <c r="F397">
        <f t="shared" ca="1" si="44"/>
        <v>9</v>
      </c>
      <c r="G397">
        <f t="shared" ca="1" si="45"/>
        <v>1</v>
      </c>
      <c r="H397">
        <f t="shared" ca="1" si="46"/>
        <v>0</v>
      </c>
      <c r="I397">
        <f t="shared" ca="1" si="47"/>
        <v>5</v>
      </c>
      <c r="J397">
        <v>6</v>
      </c>
      <c r="K397">
        <v>5.5</v>
      </c>
      <c r="L397">
        <v>20</v>
      </c>
      <c r="M397" s="3">
        <f t="shared" ca="1" si="43"/>
        <v>45368</v>
      </c>
      <c r="N397" s="3">
        <f t="shared" ca="1" si="43"/>
        <v>45377</v>
      </c>
      <c r="O397" s="3">
        <v>45319</v>
      </c>
    </row>
    <row r="398" spans="1:15" x14ac:dyDescent="0.3">
      <c r="A398" s="3">
        <v>45349</v>
      </c>
      <c r="B398" t="s">
        <v>89</v>
      </c>
      <c r="C398" t="s">
        <v>103</v>
      </c>
      <c r="D398" s="4" cm="1">
        <f t="array" aca="1" ref="D398" ca="1">IFERROR( _xlfn.XLOOKUP(B398, B$2:INDEX(B:B,ROW()-1), I$2:INDEX(I:I,ROW()-1), 0, 0, -1),0)</f>
        <v>9</v>
      </c>
      <c r="E398">
        <v>8</v>
      </c>
      <c r="F398">
        <f t="shared" ca="1" si="44"/>
        <v>7</v>
      </c>
      <c r="G398">
        <f t="shared" ca="1" si="45"/>
        <v>5</v>
      </c>
      <c r="H398">
        <f t="shared" ca="1" si="46"/>
        <v>2</v>
      </c>
      <c r="I398">
        <f t="shared" ca="1" si="47"/>
        <v>3</v>
      </c>
      <c r="J398">
        <v>3.5</v>
      </c>
      <c r="K398">
        <v>3</v>
      </c>
      <c r="L398">
        <v>8</v>
      </c>
      <c r="M398" s="3">
        <f t="shared" ca="1" si="43"/>
        <v>45349</v>
      </c>
      <c r="N398" s="3">
        <f t="shared" ca="1" si="43"/>
        <v>45352</v>
      </c>
      <c r="O398" s="3">
        <v>45338</v>
      </c>
    </row>
    <row r="399" spans="1:15" x14ac:dyDescent="0.3">
      <c r="A399" s="3">
        <v>45349</v>
      </c>
      <c r="B399" t="s">
        <v>21</v>
      </c>
      <c r="C399" t="s">
        <v>27</v>
      </c>
      <c r="D399" s="4" cm="1">
        <f t="array" aca="1" ref="D399" ca="1">IFERROR( _xlfn.XLOOKUP(B399, B$2:INDEX(B:B,ROW()-1), I$2:INDEX(I:I,ROW()-1), 0, 0, -1),0)</f>
        <v>5</v>
      </c>
      <c r="E399">
        <v>8</v>
      </c>
      <c r="F399">
        <f t="shared" ca="1" si="44"/>
        <v>2</v>
      </c>
      <c r="G399">
        <f t="shared" ca="1" si="45"/>
        <v>3</v>
      </c>
      <c r="H399">
        <f t="shared" ca="1" si="46"/>
        <v>4</v>
      </c>
      <c r="I399">
        <f t="shared" ca="1" si="47"/>
        <v>4</v>
      </c>
      <c r="J399">
        <v>4</v>
      </c>
      <c r="K399">
        <v>3</v>
      </c>
      <c r="L399">
        <v>14</v>
      </c>
      <c r="M399" s="3">
        <f t="shared" ca="1" si="43"/>
        <v>45383</v>
      </c>
      <c r="N399" s="3">
        <f t="shared" ca="1" si="43"/>
        <v>45332</v>
      </c>
      <c r="O399" s="3">
        <v>45429</v>
      </c>
    </row>
    <row r="400" spans="1:15" x14ac:dyDescent="0.3">
      <c r="A400" s="3">
        <v>45349</v>
      </c>
      <c r="B400" t="s">
        <v>89</v>
      </c>
      <c r="C400" t="s">
        <v>103</v>
      </c>
      <c r="D400" s="4" cm="1">
        <f t="array" aca="1" ref="D400" ca="1">IFERROR( _xlfn.XLOOKUP(B400, B$2:INDEX(B:B,ROW()-1), I$2:INDEX(I:I,ROW()-1), 0, 0, -1),0)</f>
        <v>3</v>
      </c>
      <c r="E400">
        <v>8</v>
      </c>
      <c r="F400">
        <f t="shared" ca="1" si="44"/>
        <v>3</v>
      </c>
      <c r="G400">
        <f t="shared" ca="1" si="45"/>
        <v>4</v>
      </c>
      <c r="H400">
        <f t="shared" ca="1" si="46"/>
        <v>0</v>
      </c>
      <c r="I400">
        <f t="shared" ca="1" si="47"/>
        <v>4</v>
      </c>
      <c r="J400">
        <v>3.5</v>
      </c>
      <c r="K400">
        <v>3</v>
      </c>
      <c r="L400">
        <v>8</v>
      </c>
      <c r="M400" s="3">
        <f t="shared" ca="1" si="43"/>
        <v>45428</v>
      </c>
      <c r="N400" s="3">
        <f t="shared" ca="1" si="43"/>
        <v>45295</v>
      </c>
      <c r="O400" s="3">
        <v>45411</v>
      </c>
    </row>
    <row r="401" spans="1:15" x14ac:dyDescent="0.3">
      <c r="A401" s="3">
        <v>45349</v>
      </c>
      <c r="B401" t="s">
        <v>55</v>
      </c>
      <c r="C401" t="s">
        <v>53</v>
      </c>
      <c r="D401" s="4" cm="1">
        <f t="array" aca="1" ref="D401" ca="1">IFERROR( _xlfn.XLOOKUP(B401, B$2:INDEX(B:B,ROW()-1), I$2:INDEX(I:I,ROW()-1), 0, 0, -1),0)</f>
        <v>2</v>
      </c>
      <c r="E401">
        <v>4</v>
      </c>
      <c r="F401">
        <f t="shared" ca="1" si="44"/>
        <v>3</v>
      </c>
      <c r="G401">
        <f t="shared" ca="1" si="45"/>
        <v>1</v>
      </c>
      <c r="H401">
        <f t="shared" ca="1" si="46"/>
        <v>1</v>
      </c>
      <c r="I401">
        <f t="shared" ca="1" si="47"/>
        <v>1</v>
      </c>
      <c r="J401">
        <v>8.5</v>
      </c>
      <c r="K401">
        <v>6</v>
      </c>
      <c r="L401">
        <v>7</v>
      </c>
      <c r="M401" s="3">
        <f t="shared" ca="1" si="43"/>
        <v>45386</v>
      </c>
      <c r="N401" s="3">
        <f t="shared" ca="1" si="43"/>
        <v>45348</v>
      </c>
      <c r="O401" s="3">
        <v>45427</v>
      </c>
    </row>
    <row r="402" spans="1:15" x14ac:dyDescent="0.3">
      <c r="A402" s="3">
        <v>45350</v>
      </c>
      <c r="B402" t="s">
        <v>22</v>
      </c>
      <c r="C402" t="s">
        <v>26</v>
      </c>
      <c r="D402" s="4" cm="1">
        <f t="array" aca="1" ref="D402" ca="1">IFERROR( _xlfn.XLOOKUP(B402, B$2:INDEX(B:B,ROW()-1), I$2:INDEX(I:I,ROW()-1), 0, 0, -1),0)</f>
        <v>4</v>
      </c>
      <c r="E402">
        <v>12</v>
      </c>
      <c r="F402">
        <f t="shared" ca="1" si="44"/>
        <v>7</v>
      </c>
      <c r="G402">
        <f t="shared" ca="1" si="45"/>
        <v>2</v>
      </c>
      <c r="H402">
        <f t="shared" ca="1" si="46"/>
        <v>3</v>
      </c>
      <c r="I402">
        <f t="shared" ca="1" si="47"/>
        <v>4</v>
      </c>
      <c r="J402">
        <v>3.5</v>
      </c>
      <c r="K402">
        <v>3</v>
      </c>
      <c r="L402">
        <v>14</v>
      </c>
      <c r="M402" s="3">
        <f t="shared" ref="M402:N421" ca="1" si="48">DATE(2024,1,1) + RANDBETWEEN(0, DATE(2024,5,25) - DATE(2024,1,1))</f>
        <v>45366</v>
      </c>
      <c r="N402" s="3">
        <f t="shared" ca="1" si="48"/>
        <v>45422</v>
      </c>
      <c r="O402" s="3">
        <v>45307</v>
      </c>
    </row>
    <row r="403" spans="1:15" x14ac:dyDescent="0.3">
      <c r="A403" s="3">
        <v>45350</v>
      </c>
      <c r="B403" t="s">
        <v>63</v>
      </c>
      <c r="C403" t="s">
        <v>97</v>
      </c>
      <c r="D403" s="4" cm="1">
        <f t="array" aca="1" ref="D403" ca="1">IFERROR( _xlfn.XLOOKUP(B403, B$2:INDEX(B:B,ROW()-1), I$2:INDEX(I:I,ROW()-1), 0, 0, -1),0)</f>
        <v>3</v>
      </c>
      <c r="E403">
        <v>10</v>
      </c>
      <c r="F403">
        <f t="shared" ca="1" si="44"/>
        <v>7</v>
      </c>
      <c r="G403">
        <f t="shared" ca="1" si="45"/>
        <v>0</v>
      </c>
      <c r="H403">
        <f t="shared" ca="1" si="46"/>
        <v>3</v>
      </c>
      <c r="I403">
        <f t="shared" ca="1" si="47"/>
        <v>3</v>
      </c>
      <c r="J403">
        <v>4</v>
      </c>
      <c r="K403">
        <v>3.5</v>
      </c>
      <c r="L403">
        <v>10</v>
      </c>
      <c r="M403" s="3">
        <f t="shared" ca="1" si="48"/>
        <v>45376</v>
      </c>
      <c r="N403" s="3">
        <f t="shared" ca="1" si="48"/>
        <v>45433</v>
      </c>
      <c r="O403" s="3">
        <v>45342</v>
      </c>
    </row>
    <row r="404" spans="1:15" x14ac:dyDescent="0.3">
      <c r="A404" s="3">
        <v>45350</v>
      </c>
      <c r="B404" t="s">
        <v>63</v>
      </c>
      <c r="C404" t="s">
        <v>97</v>
      </c>
      <c r="D404" s="4" cm="1">
        <f t="array" aca="1" ref="D404" ca="1">IFERROR( _xlfn.XLOOKUP(B404, B$2:INDEX(B:B,ROW()-1), I$2:INDEX(I:I,ROW()-1), 0, 0, -1),0)</f>
        <v>3</v>
      </c>
      <c r="E404">
        <v>10</v>
      </c>
      <c r="F404">
        <f t="shared" ca="1" si="44"/>
        <v>4</v>
      </c>
      <c r="G404">
        <f t="shared" ca="1" si="45"/>
        <v>2</v>
      </c>
      <c r="H404">
        <f t="shared" ca="1" si="46"/>
        <v>1</v>
      </c>
      <c r="I404">
        <f t="shared" ca="1" si="47"/>
        <v>6</v>
      </c>
      <c r="J404">
        <v>4</v>
      </c>
      <c r="K404">
        <v>3.5</v>
      </c>
      <c r="L404">
        <v>10</v>
      </c>
      <c r="M404" s="3">
        <f t="shared" ca="1" si="48"/>
        <v>45325</v>
      </c>
      <c r="N404" s="3">
        <f t="shared" ca="1" si="48"/>
        <v>45303</v>
      </c>
      <c r="O404" s="3">
        <v>45388</v>
      </c>
    </row>
    <row r="405" spans="1:15" x14ac:dyDescent="0.3">
      <c r="A405" s="3">
        <v>45350</v>
      </c>
      <c r="B405" t="s">
        <v>84</v>
      </c>
      <c r="C405" t="s">
        <v>101</v>
      </c>
      <c r="D405" s="4" cm="1">
        <f t="array" aca="1" ref="D405" ca="1">IFERROR( _xlfn.XLOOKUP(B405, B$2:INDEX(B:B,ROW()-1), I$2:INDEX(I:I,ROW()-1), 0, 0, -1),0)</f>
        <v>4</v>
      </c>
      <c r="E405">
        <v>8</v>
      </c>
      <c r="F405">
        <f t="shared" ca="1" si="44"/>
        <v>7</v>
      </c>
      <c r="G405">
        <f t="shared" ca="1" si="45"/>
        <v>1</v>
      </c>
      <c r="H405">
        <f t="shared" ca="1" si="46"/>
        <v>1</v>
      </c>
      <c r="I405">
        <f t="shared" ca="1" si="47"/>
        <v>3</v>
      </c>
      <c r="J405">
        <v>3.5</v>
      </c>
      <c r="K405">
        <v>3</v>
      </c>
      <c r="L405">
        <v>8</v>
      </c>
      <c r="M405" s="3">
        <f t="shared" ca="1" si="48"/>
        <v>45365</v>
      </c>
      <c r="N405" s="3">
        <f t="shared" ca="1" si="48"/>
        <v>45318</v>
      </c>
      <c r="O405" s="3">
        <v>45398</v>
      </c>
    </row>
    <row r="406" spans="1:15" x14ac:dyDescent="0.3">
      <c r="A406" s="3">
        <v>45350</v>
      </c>
      <c r="B406" t="s">
        <v>22</v>
      </c>
      <c r="C406" t="s">
        <v>26</v>
      </c>
      <c r="D406" s="4" cm="1">
        <f t="array" aca="1" ref="D406" ca="1">IFERROR( _xlfn.XLOOKUP(B406, B$2:INDEX(B:B,ROW()-1), I$2:INDEX(I:I,ROW()-1), 0, 0, -1),0)</f>
        <v>4</v>
      </c>
      <c r="E406">
        <v>12</v>
      </c>
      <c r="F406">
        <f t="shared" ca="1" si="44"/>
        <v>9</v>
      </c>
      <c r="G406">
        <f t="shared" ca="1" si="45"/>
        <v>0</v>
      </c>
      <c r="H406">
        <f t="shared" ca="1" si="46"/>
        <v>0</v>
      </c>
      <c r="I406">
        <f t="shared" ca="1" si="47"/>
        <v>7</v>
      </c>
      <c r="J406">
        <v>3.5</v>
      </c>
      <c r="K406">
        <v>3</v>
      </c>
      <c r="L406">
        <v>14</v>
      </c>
      <c r="M406" s="3">
        <f t="shared" ca="1" si="48"/>
        <v>45399</v>
      </c>
      <c r="N406" s="3">
        <f t="shared" ca="1" si="48"/>
        <v>45371</v>
      </c>
      <c r="O406" s="3">
        <v>45320</v>
      </c>
    </row>
    <row r="407" spans="1:15" x14ac:dyDescent="0.3">
      <c r="A407" s="3">
        <v>45350</v>
      </c>
      <c r="B407" t="s">
        <v>21</v>
      </c>
      <c r="C407" t="s">
        <v>27</v>
      </c>
      <c r="D407" s="4" cm="1">
        <f t="array" aca="1" ref="D407" ca="1">IFERROR( _xlfn.XLOOKUP(B407, B$2:INDEX(B:B,ROW()-1), I$2:INDEX(I:I,ROW()-1), 0, 0, -1),0)</f>
        <v>4</v>
      </c>
      <c r="E407">
        <v>8</v>
      </c>
      <c r="F407">
        <f t="shared" ca="1" si="44"/>
        <v>3</v>
      </c>
      <c r="G407">
        <f t="shared" ca="1" si="45"/>
        <v>4</v>
      </c>
      <c r="H407">
        <f t="shared" ca="1" si="46"/>
        <v>0</v>
      </c>
      <c r="I407">
        <f t="shared" ca="1" si="47"/>
        <v>5</v>
      </c>
      <c r="J407">
        <v>4</v>
      </c>
      <c r="K407">
        <v>3</v>
      </c>
      <c r="L407">
        <v>14</v>
      </c>
      <c r="M407" s="3">
        <f t="shared" ca="1" si="48"/>
        <v>45344</v>
      </c>
      <c r="N407" s="3">
        <f t="shared" ca="1" si="48"/>
        <v>45405</v>
      </c>
      <c r="O407" s="3">
        <v>45413</v>
      </c>
    </row>
    <row r="408" spans="1:15" x14ac:dyDescent="0.3">
      <c r="A408" s="3">
        <v>45351</v>
      </c>
      <c r="B408" t="s">
        <v>67</v>
      </c>
      <c r="C408" t="s">
        <v>46</v>
      </c>
      <c r="D408" s="4" cm="1">
        <f t="array" aca="1" ref="D408" ca="1">IFERROR( _xlfn.XLOOKUP(B408, B$2:INDEX(B:B,ROW()-1), I$2:INDEX(I:I,ROW()-1), 0, 0, -1),0)</f>
        <v>5</v>
      </c>
      <c r="E408">
        <v>8</v>
      </c>
      <c r="F408">
        <f t="shared" ca="1" si="44"/>
        <v>8</v>
      </c>
      <c r="G408">
        <f t="shared" ca="1" si="45"/>
        <v>2</v>
      </c>
      <c r="H408">
        <f t="shared" ca="1" si="46"/>
        <v>0</v>
      </c>
      <c r="I408">
        <f t="shared" ca="1" si="47"/>
        <v>3</v>
      </c>
      <c r="J408">
        <v>3.5</v>
      </c>
      <c r="K408">
        <v>3</v>
      </c>
      <c r="L408">
        <v>8</v>
      </c>
      <c r="M408" s="3">
        <f t="shared" ca="1" si="48"/>
        <v>45312</v>
      </c>
      <c r="N408" s="3">
        <f t="shared" ca="1" si="48"/>
        <v>45294</v>
      </c>
      <c r="O408" s="3">
        <v>45310</v>
      </c>
    </row>
    <row r="409" spans="1:15" x14ac:dyDescent="0.3">
      <c r="A409" s="3">
        <v>45351</v>
      </c>
      <c r="B409" t="s">
        <v>60</v>
      </c>
      <c r="C409" t="s">
        <v>94</v>
      </c>
      <c r="D409" s="4" cm="1">
        <f t="array" aca="1" ref="D409" ca="1">IFERROR( _xlfn.XLOOKUP(B409, B$2:INDEX(B:B,ROW()-1), I$2:INDEX(I:I,ROW()-1), 0, 0, -1),0)</f>
        <v>11</v>
      </c>
      <c r="E409">
        <v>10</v>
      </c>
      <c r="F409">
        <f t="shared" ca="1" si="44"/>
        <v>6</v>
      </c>
      <c r="G409">
        <f t="shared" ca="1" si="45"/>
        <v>8</v>
      </c>
      <c r="H409">
        <f t="shared" ca="1" si="46"/>
        <v>4</v>
      </c>
      <c r="I409">
        <f t="shared" ca="1" si="47"/>
        <v>3</v>
      </c>
      <c r="J409">
        <v>4</v>
      </c>
      <c r="K409">
        <v>3.5</v>
      </c>
      <c r="L409">
        <v>10</v>
      </c>
      <c r="M409" s="3">
        <f t="shared" ca="1" si="48"/>
        <v>45295</v>
      </c>
      <c r="N409" s="3">
        <f t="shared" ca="1" si="48"/>
        <v>45356</v>
      </c>
      <c r="O409" s="3">
        <v>45361</v>
      </c>
    </row>
    <row r="410" spans="1:15" x14ac:dyDescent="0.3">
      <c r="A410" s="3">
        <v>45351</v>
      </c>
      <c r="B410" t="s">
        <v>80</v>
      </c>
      <c r="C410" t="s">
        <v>49</v>
      </c>
      <c r="D410" s="4" cm="1">
        <f t="array" aca="1" ref="D410" ca="1">IFERROR( _xlfn.XLOOKUP(B410, B$2:INDEX(B:B,ROW()-1), I$2:INDEX(I:I,ROW()-1), 0, 0, -1),0)</f>
        <v>4</v>
      </c>
      <c r="E410">
        <v>8</v>
      </c>
      <c r="F410">
        <f t="shared" ca="1" si="44"/>
        <v>5</v>
      </c>
      <c r="G410">
        <f t="shared" ca="1" si="45"/>
        <v>0</v>
      </c>
      <c r="H410">
        <f t="shared" ca="1" si="46"/>
        <v>0</v>
      </c>
      <c r="I410">
        <f t="shared" ca="1" si="47"/>
        <v>7</v>
      </c>
      <c r="J410">
        <v>2.5</v>
      </c>
      <c r="K410">
        <v>2</v>
      </c>
      <c r="L410">
        <v>5</v>
      </c>
      <c r="M410" s="3">
        <f t="shared" ca="1" si="48"/>
        <v>45299</v>
      </c>
      <c r="N410" s="3">
        <f t="shared" ca="1" si="48"/>
        <v>45293</v>
      </c>
      <c r="O410" s="3">
        <v>45432</v>
      </c>
    </row>
    <row r="411" spans="1:15" x14ac:dyDescent="0.3">
      <c r="A411" s="3">
        <v>45351</v>
      </c>
      <c r="B411" t="s">
        <v>16</v>
      </c>
      <c r="C411" t="s">
        <v>77</v>
      </c>
      <c r="D411" s="4" cm="1">
        <f t="array" aca="1" ref="D411" ca="1">IFERROR( _xlfn.XLOOKUP(B411, B$2:INDEX(B:B,ROW()-1), I$2:INDEX(I:I,ROW()-1), 0, 0, -1),0)</f>
        <v>2</v>
      </c>
      <c r="E411">
        <v>10</v>
      </c>
      <c r="F411">
        <f t="shared" ca="1" si="44"/>
        <v>6</v>
      </c>
      <c r="G411">
        <f t="shared" ca="1" si="45"/>
        <v>1</v>
      </c>
      <c r="H411">
        <f t="shared" ca="1" si="46"/>
        <v>3</v>
      </c>
      <c r="I411">
        <f t="shared" ca="1" si="47"/>
        <v>2</v>
      </c>
      <c r="J411">
        <v>5.5</v>
      </c>
      <c r="K411">
        <v>4.5</v>
      </c>
      <c r="L411">
        <v>7</v>
      </c>
      <c r="M411" s="3">
        <f t="shared" ca="1" si="48"/>
        <v>45305</v>
      </c>
      <c r="N411" s="3">
        <f t="shared" ca="1" si="48"/>
        <v>45407</v>
      </c>
      <c r="O411" s="3">
        <v>45345</v>
      </c>
    </row>
    <row r="412" spans="1:15" x14ac:dyDescent="0.3">
      <c r="A412" s="3">
        <v>45352</v>
      </c>
      <c r="B412" t="s">
        <v>78</v>
      </c>
      <c r="C412" t="s">
        <v>74</v>
      </c>
      <c r="D412" s="4" cm="1">
        <f t="array" aca="1" ref="D412" ca="1">IFERROR( _xlfn.XLOOKUP(B412, B$2:INDEX(B:B,ROW()-1), I$2:INDEX(I:I,ROW()-1), 0, 0, -1),0)</f>
        <v>2</v>
      </c>
      <c r="E412">
        <v>6</v>
      </c>
      <c r="F412">
        <f t="shared" ca="1" si="44"/>
        <v>0</v>
      </c>
      <c r="G412">
        <f t="shared" ca="1" si="45"/>
        <v>5</v>
      </c>
      <c r="H412">
        <f t="shared" ca="1" si="46"/>
        <v>2</v>
      </c>
      <c r="I412">
        <f t="shared" ca="1" si="47"/>
        <v>1</v>
      </c>
      <c r="J412">
        <v>4</v>
      </c>
      <c r="K412">
        <v>3</v>
      </c>
      <c r="L412">
        <v>7</v>
      </c>
      <c r="M412" s="3">
        <f t="shared" ca="1" si="48"/>
        <v>45407</v>
      </c>
      <c r="N412" s="3">
        <f t="shared" ca="1" si="48"/>
        <v>45390</v>
      </c>
      <c r="O412" s="3">
        <v>45311</v>
      </c>
    </row>
    <row r="413" spans="1:15" x14ac:dyDescent="0.3">
      <c r="A413" s="3">
        <v>45352</v>
      </c>
      <c r="B413" t="s">
        <v>81</v>
      </c>
      <c r="C413" t="s">
        <v>50</v>
      </c>
      <c r="D413" s="4" cm="1">
        <f t="array" aca="1" ref="D413" ca="1">IFERROR( _xlfn.XLOOKUP(B413, B$2:INDEX(B:B,ROW()-1), I$2:INDEX(I:I,ROW()-1), 0, 0, -1),0)</f>
        <v>3</v>
      </c>
      <c r="E413">
        <v>8</v>
      </c>
      <c r="F413">
        <f t="shared" ca="1" si="44"/>
        <v>7</v>
      </c>
      <c r="G413">
        <f t="shared" ca="1" si="45"/>
        <v>0</v>
      </c>
      <c r="H413">
        <f t="shared" ca="1" si="46"/>
        <v>1</v>
      </c>
      <c r="I413">
        <f t="shared" ca="1" si="47"/>
        <v>3</v>
      </c>
      <c r="J413">
        <v>2.5</v>
      </c>
      <c r="K413">
        <v>2</v>
      </c>
      <c r="L413">
        <v>5</v>
      </c>
      <c r="M413" s="3">
        <f t="shared" ca="1" si="48"/>
        <v>45329</v>
      </c>
      <c r="N413" s="3">
        <f t="shared" ca="1" si="48"/>
        <v>45348</v>
      </c>
      <c r="O413" s="3">
        <v>45346</v>
      </c>
    </row>
    <row r="414" spans="1:15" x14ac:dyDescent="0.3">
      <c r="A414" s="3">
        <v>45352</v>
      </c>
      <c r="B414" t="s">
        <v>79</v>
      </c>
      <c r="C414" t="s">
        <v>104</v>
      </c>
      <c r="D414" s="4" cm="1">
        <f t="array" aca="1" ref="D414" ca="1">IFERROR( _xlfn.XLOOKUP(B414, B$2:INDEX(B:B,ROW()-1), I$2:INDEX(I:I,ROW()-1), 0, 0, -1),0)</f>
        <v>3</v>
      </c>
      <c r="E414">
        <v>8</v>
      </c>
      <c r="F414">
        <f t="shared" ca="1" si="44"/>
        <v>3</v>
      </c>
      <c r="G414">
        <f t="shared" ca="1" si="45"/>
        <v>1</v>
      </c>
      <c r="H414">
        <f t="shared" ca="1" si="46"/>
        <v>3</v>
      </c>
      <c r="I414">
        <f t="shared" ca="1" si="47"/>
        <v>4</v>
      </c>
      <c r="J414">
        <v>2.5</v>
      </c>
      <c r="K414">
        <v>2</v>
      </c>
      <c r="L414">
        <v>5</v>
      </c>
      <c r="M414" s="3">
        <f t="shared" ca="1" si="48"/>
        <v>45305</v>
      </c>
      <c r="N414" s="3">
        <f t="shared" ca="1" si="48"/>
        <v>45338</v>
      </c>
      <c r="O414" s="3">
        <v>45410</v>
      </c>
    </row>
    <row r="415" spans="1:15" x14ac:dyDescent="0.3">
      <c r="A415" s="3">
        <v>45352</v>
      </c>
      <c r="B415" t="s">
        <v>71</v>
      </c>
      <c r="C415" t="s">
        <v>47</v>
      </c>
      <c r="D415" s="4" cm="1">
        <f t="array" aca="1" ref="D415" ca="1">IFERROR( _xlfn.XLOOKUP(B415, B$2:INDEX(B:B,ROW()-1), I$2:INDEX(I:I,ROW()-1), 0, 0, -1),0)</f>
        <v>3</v>
      </c>
      <c r="E415">
        <v>6</v>
      </c>
      <c r="F415">
        <f t="shared" ca="1" si="44"/>
        <v>0</v>
      </c>
      <c r="G415">
        <f t="shared" ca="1" si="45"/>
        <v>5</v>
      </c>
      <c r="H415">
        <f t="shared" ca="1" si="46"/>
        <v>2</v>
      </c>
      <c r="I415">
        <f t="shared" ca="1" si="47"/>
        <v>2</v>
      </c>
      <c r="J415">
        <v>4</v>
      </c>
      <c r="K415">
        <v>3</v>
      </c>
      <c r="L415">
        <v>7</v>
      </c>
      <c r="M415" s="3">
        <f t="shared" ca="1" si="48"/>
        <v>45362</v>
      </c>
      <c r="N415" s="3">
        <f t="shared" ca="1" si="48"/>
        <v>45398</v>
      </c>
      <c r="O415" s="3">
        <v>45337</v>
      </c>
    </row>
    <row r="416" spans="1:15" x14ac:dyDescent="0.3">
      <c r="A416" s="3">
        <v>45352</v>
      </c>
      <c r="B416" t="s">
        <v>56</v>
      </c>
      <c r="C416" t="s">
        <v>54</v>
      </c>
      <c r="D416" s="4" cm="1">
        <f t="array" aca="1" ref="D416" ca="1">IFERROR( _xlfn.XLOOKUP(B416, B$2:INDEX(B:B,ROW()-1), I$2:INDEX(I:I,ROW()-1), 0, 0, -1),0)</f>
        <v>5</v>
      </c>
      <c r="E416">
        <v>8</v>
      </c>
      <c r="F416">
        <f t="shared" ca="1" si="44"/>
        <v>1</v>
      </c>
      <c r="G416">
        <f t="shared" ca="1" si="45"/>
        <v>7</v>
      </c>
      <c r="H416">
        <f t="shared" ca="1" si="46"/>
        <v>1</v>
      </c>
      <c r="I416">
        <f t="shared" ca="1" si="47"/>
        <v>4</v>
      </c>
      <c r="J416">
        <v>6</v>
      </c>
      <c r="K416">
        <v>5.5</v>
      </c>
      <c r="L416">
        <v>20</v>
      </c>
      <c r="M416" s="3">
        <f t="shared" ca="1" si="48"/>
        <v>45372</v>
      </c>
      <c r="N416" s="3">
        <f t="shared" ca="1" si="48"/>
        <v>45307</v>
      </c>
      <c r="O416" s="3">
        <v>45382</v>
      </c>
    </row>
    <row r="417" spans="1:15" x14ac:dyDescent="0.3">
      <c r="A417" s="3">
        <v>45352</v>
      </c>
      <c r="B417" t="s">
        <v>57</v>
      </c>
      <c r="C417" t="s">
        <v>75</v>
      </c>
      <c r="D417" s="4" cm="1">
        <f t="array" aca="1" ref="D417" ca="1">IFERROR( _xlfn.XLOOKUP(B417, B$2:INDEX(B:B,ROW()-1), I$2:INDEX(I:I,ROW()-1), 0, 0, -1),0)</f>
        <v>3</v>
      </c>
      <c r="E417">
        <v>8</v>
      </c>
      <c r="F417">
        <f t="shared" ca="1" si="44"/>
        <v>6</v>
      </c>
      <c r="G417">
        <f t="shared" ca="1" si="45"/>
        <v>2</v>
      </c>
      <c r="H417">
        <f t="shared" ca="1" si="46"/>
        <v>1</v>
      </c>
      <c r="I417">
        <f t="shared" ca="1" si="47"/>
        <v>2</v>
      </c>
      <c r="J417">
        <v>6</v>
      </c>
      <c r="K417">
        <v>5.5</v>
      </c>
      <c r="L417">
        <v>20</v>
      </c>
      <c r="M417" s="3">
        <f t="shared" ca="1" si="48"/>
        <v>45324</v>
      </c>
      <c r="N417" s="3">
        <f t="shared" ca="1" si="48"/>
        <v>45329</v>
      </c>
      <c r="O417" s="3">
        <v>45303</v>
      </c>
    </row>
    <row r="418" spans="1:15" x14ac:dyDescent="0.3">
      <c r="A418" s="3">
        <v>45352</v>
      </c>
      <c r="B418" t="s">
        <v>84</v>
      </c>
      <c r="C418" t="s">
        <v>101</v>
      </c>
      <c r="D418" s="4" cm="1">
        <f t="array" aca="1" ref="D418" ca="1">IFERROR( _xlfn.XLOOKUP(B418, B$2:INDEX(B:B,ROW()-1), I$2:INDEX(I:I,ROW()-1), 0, 0, -1),0)</f>
        <v>3</v>
      </c>
      <c r="E418">
        <v>8</v>
      </c>
      <c r="F418">
        <f t="shared" ca="1" si="44"/>
        <v>2</v>
      </c>
      <c r="G418">
        <f t="shared" ca="1" si="45"/>
        <v>2</v>
      </c>
      <c r="H418">
        <f t="shared" ca="1" si="46"/>
        <v>4</v>
      </c>
      <c r="I418">
        <f t="shared" ca="1" si="47"/>
        <v>3</v>
      </c>
      <c r="J418">
        <v>3.5</v>
      </c>
      <c r="K418">
        <v>3</v>
      </c>
      <c r="L418">
        <v>8</v>
      </c>
      <c r="M418" s="3">
        <f t="shared" ca="1" si="48"/>
        <v>45383</v>
      </c>
      <c r="N418" s="3">
        <f t="shared" ca="1" si="48"/>
        <v>45415</v>
      </c>
      <c r="O418" s="3">
        <v>45390</v>
      </c>
    </row>
    <row r="419" spans="1:15" x14ac:dyDescent="0.3">
      <c r="A419" s="3">
        <v>45352</v>
      </c>
      <c r="B419" t="s">
        <v>71</v>
      </c>
      <c r="C419" t="s">
        <v>47</v>
      </c>
      <c r="D419" s="4" cm="1">
        <f t="array" aca="1" ref="D419" ca="1">IFERROR( _xlfn.XLOOKUP(B419, B$2:INDEX(B:B,ROW()-1), I$2:INDEX(I:I,ROW()-1), 0, 0, -1),0)</f>
        <v>2</v>
      </c>
      <c r="E419">
        <v>6</v>
      </c>
      <c r="F419">
        <f t="shared" ca="1" si="44"/>
        <v>1</v>
      </c>
      <c r="G419">
        <f t="shared" ca="1" si="45"/>
        <v>0</v>
      </c>
      <c r="H419">
        <f t="shared" ca="1" si="46"/>
        <v>3</v>
      </c>
      <c r="I419">
        <f t="shared" ca="1" si="47"/>
        <v>4</v>
      </c>
      <c r="J419">
        <v>4</v>
      </c>
      <c r="K419">
        <v>3</v>
      </c>
      <c r="L419">
        <v>7</v>
      </c>
      <c r="M419" s="3">
        <f t="shared" ca="1" si="48"/>
        <v>45304</v>
      </c>
      <c r="N419" s="3">
        <f t="shared" ca="1" si="48"/>
        <v>45355</v>
      </c>
      <c r="O419" s="3">
        <v>45434</v>
      </c>
    </row>
    <row r="420" spans="1:15" x14ac:dyDescent="0.3">
      <c r="A420" s="3">
        <v>45352</v>
      </c>
      <c r="B420" t="s">
        <v>35</v>
      </c>
      <c r="C420" t="s">
        <v>31</v>
      </c>
      <c r="D420" s="4" cm="1">
        <f t="array" aca="1" ref="D420" ca="1">IFERROR( _xlfn.XLOOKUP(B420, B$2:INDEX(B:B,ROW()-1), I$2:INDEX(I:I,ROW()-1), 0, 0, -1),0)</f>
        <v>2</v>
      </c>
      <c r="E420">
        <v>8</v>
      </c>
      <c r="F420">
        <f t="shared" ca="1" si="44"/>
        <v>2</v>
      </c>
      <c r="G420">
        <f t="shared" ca="1" si="45"/>
        <v>2</v>
      </c>
      <c r="H420">
        <f t="shared" ca="1" si="46"/>
        <v>1</v>
      </c>
      <c r="I420">
        <f t="shared" ca="1" si="47"/>
        <v>5</v>
      </c>
      <c r="J420">
        <v>3.5</v>
      </c>
      <c r="K420">
        <v>3</v>
      </c>
      <c r="L420">
        <v>14</v>
      </c>
      <c r="M420" s="3">
        <f t="shared" ca="1" si="48"/>
        <v>45304</v>
      </c>
      <c r="N420" s="3">
        <f t="shared" ca="1" si="48"/>
        <v>45382</v>
      </c>
      <c r="O420" s="3">
        <v>45394</v>
      </c>
    </row>
    <row r="421" spans="1:15" x14ac:dyDescent="0.3">
      <c r="A421" s="3">
        <v>45353</v>
      </c>
      <c r="B421" t="s">
        <v>71</v>
      </c>
      <c r="C421" t="s">
        <v>47</v>
      </c>
      <c r="D421" s="4" cm="1">
        <f t="array" aca="1" ref="D421" ca="1">IFERROR( _xlfn.XLOOKUP(B421, B$2:INDEX(B:B,ROW()-1), I$2:INDEX(I:I,ROW()-1), 0, 0, -1),0)</f>
        <v>4</v>
      </c>
      <c r="E421">
        <v>6</v>
      </c>
      <c r="F421">
        <f t="shared" ca="1" si="44"/>
        <v>6</v>
      </c>
      <c r="G421">
        <f t="shared" ca="1" si="45"/>
        <v>0</v>
      </c>
      <c r="H421">
        <f t="shared" ca="1" si="46"/>
        <v>2</v>
      </c>
      <c r="I421">
        <f t="shared" ca="1" si="47"/>
        <v>2</v>
      </c>
      <c r="J421">
        <v>4</v>
      </c>
      <c r="K421">
        <v>3</v>
      </c>
      <c r="L421">
        <v>7</v>
      </c>
      <c r="M421" s="3">
        <f t="shared" ca="1" si="48"/>
        <v>45407</v>
      </c>
      <c r="N421" s="3">
        <f t="shared" ca="1" si="48"/>
        <v>45375</v>
      </c>
      <c r="O421" s="3">
        <v>45363</v>
      </c>
    </row>
    <row r="422" spans="1:15" x14ac:dyDescent="0.3">
      <c r="A422" s="3">
        <v>45353</v>
      </c>
      <c r="B422" t="s">
        <v>65</v>
      </c>
      <c r="C422" t="s">
        <v>44</v>
      </c>
      <c r="D422" s="4" cm="1">
        <f t="array" aca="1" ref="D422" ca="1">IFERROR( _xlfn.XLOOKUP(B422, B$2:INDEX(B:B,ROW()-1), I$2:INDEX(I:I,ROW()-1), 0, 0, -1),0)</f>
        <v>4</v>
      </c>
      <c r="E422">
        <v>10</v>
      </c>
      <c r="F422">
        <f t="shared" ca="1" si="44"/>
        <v>2</v>
      </c>
      <c r="G422">
        <f t="shared" ca="1" si="45"/>
        <v>1</v>
      </c>
      <c r="H422">
        <f t="shared" ca="1" si="46"/>
        <v>2</v>
      </c>
      <c r="I422">
        <f t="shared" ca="1" si="47"/>
        <v>9</v>
      </c>
      <c r="J422">
        <v>3.5</v>
      </c>
      <c r="K422">
        <v>3</v>
      </c>
      <c r="L422">
        <v>8</v>
      </c>
      <c r="M422" s="3">
        <f t="shared" ref="M422:N441" ca="1" si="49">DATE(2024,1,1) + RANDBETWEEN(0, DATE(2024,5,25) - DATE(2024,1,1))</f>
        <v>45356</v>
      </c>
      <c r="N422" s="3">
        <f t="shared" ca="1" si="49"/>
        <v>45435</v>
      </c>
      <c r="O422" s="3">
        <v>45327</v>
      </c>
    </row>
    <row r="423" spans="1:15" x14ac:dyDescent="0.3">
      <c r="A423" s="3">
        <v>45353</v>
      </c>
      <c r="B423" t="s">
        <v>70</v>
      </c>
      <c r="C423" t="s">
        <v>99</v>
      </c>
      <c r="D423" s="4" cm="1">
        <f t="array" aca="1" ref="D423" ca="1">IFERROR( _xlfn.XLOOKUP(B423, B$2:INDEX(B:B,ROW()-1), I$2:INDEX(I:I,ROW()-1), 0, 0, -1),0)</f>
        <v>3</v>
      </c>
      <c r="E423">
        <v>6</v>
      </c>
      <c r="F423">
        <f t="shared" ca="1" si="44"/>
        <v>4</v>
      </c>
      <c r="G423">
        <f t="shared" ca="1" si="45"/>
        <v>1</v>
      </c>
      <c r="H423">
        <f t="shared" ca="1" si="46"/>
        <v>2</v>
      </c>
      <c r="I423">
        <f t="shared" ca="1" si="47"/>
        <v>2</v>
      </c>
      <c r="J423">
        <v>4</v>
      </c>
      <c r="K423">
        <v>3</v>
      </c>
      <c r="L423">
        <v>7</v>
      </c>
      <c r="M423" s="3">
        <f t="shared" ca="1" si="49"/>
        <v>45361</v>
      </c>
      <c r="N423" s="3">
        <f t="shared" ca="1" si="49"/>
        <v>45384</v>
      </c>
      <c r="O423" s="3">
        <v>45345</v>
      </c>
    </row>
    <row r="424" spans="1:15" x14ac:dyDescent="0.3">
      <c r="A424" s="3">
        <v>45353</v>
      </c>
      <c r="B424" t="s">
        <v>16</v>
      </c>
      <c r="C424" t="s">
        <v>77</v>
      </c>
      <c r="D424" s="4" cm="1">
        <f t="array" aca="1" ref="D424" ca="1">IFERROR( _xlfn.XLOOKUP(B424, B$2:INDEX(B:B,ROW()-1), I$2:INDEX(I:I,ROW()-1), 0, 0, -1),0)</f>
        <v>2</v>
      </c>
      <c r="E424">
        <v>10</v>
      </c>
      <c r="F424">
        <f t="shared" ca="1" si="44"/>
        <v>0</v>
      </c>
      <c r="G424">
        <f t="shared" ca="1" si="45"/>
        <v>2</v>
      </c>
      <c r="H424">
        <f t="shared" ca="1" si="46"/>
        <v>6</v>
      </c>
      <c r="I424">
        <f t="shared" ca="1" si="47"/>
        <v>4</v>
      </c>
      <c r="J424">
        <v>5.5</v>
      </c>
      <c r="K424">
        <v>4.5</v>
      </c>
      <c r="L424">
        <v>7</v>
      </c>
      <c r="M424" s="3">
        <f t="shared" ca="1" si="49"/>
        <v>45400</v>
      </c>
      <c r="N424" s="3">
        <f t="shared" ca="1" si="49"/>
        <v>45362</v>
      </c>
      <c r="O424" s="3">
        <v>45358</v>
      </c>
    </row>
    <row r="425" spans="1:15" x14ac:dyDescent="0.3">
      <c r="A425" s="3">
        <v>45353</v>
      </c>
      <c r="B425" t="s">
        <v>20</v>
      </c>
      <c r="C425" t="s">
        <v>25</v>
      </c>
      <c r="D425" s="4" cm="1">
        <f t="array" aca="1" ref="D425" ca="1">IFERROR( _xlfn.XLOOKUP(B425, B$2:INDEX(B:B,ROW()-1), I$2:INDEX(I:I,ROW()-1), 0, 0, -1),0)</f>
        <v>1</v>
      </c>
      <c r="E425">
        <v>10</v>
      </c>
      <c r="F425">
        <f t="shared" ca="1" si="44"/>
        <v>5</v>
      </c>
      <c r="G425">
        <f t="shared" ca="1" si="45"/>
        <v>2</v>
      </c>
      <c r="H425">
        <f t="shared" ca="1" si="46"/>
        <v>2</v>
      </c>
      <c r="I425">
        <f t="shared" ca="1" si="47"/>
        <v>2</v>
      </c>
      <c r="J425">
        <v>4.5</v>
      </c>
      <c r="K425">
        <v>4</v>
      </c>
      <c r="L425">
        <v>10</v>
      </c>
      <c r="M425" s="3">
        <f t="shared" ca="1" si="49"/>
        <v>45381</v>
      </c>
      <c r="N425" s="3">
        <f t="shared" ca="1" si="49"/>
        <v>45365</v>
      </c>
      <c r="O425" s="3">
        <v>45397</v>
      </c>
    </row>
    <row r="426" spans="1:15" x14ac:dyDescent="0.3">
      <c r="A426" s="3">
        <v>45353</v>
      </c>
      <c r="B426" t="s">
        <v>20</v>
      </c>
      <c r="C426" t="s">
        <v>25</v>
      </c>
      <c r="D426" s="4" cm="1">
        <f t="array" aca="1" ref="D426" ca="1">IFERROR( _xlfn.XLOOKUP(B426, B$2:INDEX(B:B,ROW()-1), I$2:INDEX(I:I,ROW()-1), 0, 0, -1),0)</f>
        <v>2</v>
      </c>
      <c r="E426">
        <v>10</v>
      </c>
      <c r="F426">
        <f t="shared" ca="1" si="44"/>
        <v>6</v>
      </c>
      <c r="G426">
        <f t="shared" ca="1" si="45"/>
        <v>4</v>
      </c>
      <c r="H426">
        <f t="shared" ca="1" si="46"/>
        <v>0</v>
      </c>
      <c r="I426">
        <f t="shared" ca="1" si="47"/>
        <v>2</v>
      </c>
      <c r="J426">
        <v>4.5</v>
      </c>
      <c r="K426">
        <v>4</v>
      </c>
      <c r="L426">
        <v>10</v>
      </c>
      <c r="M426" s="3">
        <f t="shared" ca="1" si="49"/>
        <v>45403</v>
      </c>
      <c r="N426" s="3">
        <f t="shared" ca="1" si="49"/>
        <v>45402</v>
      </c>
      <c r="O426" s="3">
        <v>45319</v>
      </c>
    </row>
    <row r="427" spans="1:15" x14ac:dyDescent="0.3">
      <c r="A427" s="3">
        <v>45353</v>
      </c>
      <c r="B427" t="s">
        <v>62</v>
      </c>
      <c r="C427" t="s">
        <v>96</v>
      </c>
      <c r="D427" s="4" cm="1">
        <f t="array" aca="1" ref="D427" ca="1">IFERROR( _xlfn.XLOOKUP(B427, B$2:INDEX(B:B,ROW()-1), I$2:INDEX(I:I,ROW()-1), 0, 0, -1),0)</f>
        <v>7</v>
      </c>
      <c r="E427">
        <v>10</v>
      </c>
      <c r="F427">
        <f t="shared" ca="1" si="44"/>
        <v>1</v>
      </c>
      <c r="G427">
        <f t="shared" ca="1" si="45"/>
        <v>6</v>
      </c>
      <c r="H427">
        <f t="shared" ca="1" si="46"/>
        <v>4</v>
      </c>
      <c r="I427">
        <f t="shared" ca="1" si="47"/>
        <v>6</v>
      </c>
      <c r="J427">
        <v>4</v>
      </c>
      <c r="K427">
        <v>3.5</v>
      </c>
      <c r="L427">
        <v>10</v>
      </c>
      <c r="M427" s="3">
        <f t="shared" ca="1" si="49"/>
        <v>45354</v>
      </c>
      <c r="N427" s="3">
        <f t="shared" ca="1" si="49"/>
        <v>45297</v>
      </c>
      <c r="O427" s="3">
        <v>45343</v>
      </c>
    </row>
    <row r="428" spans="1:15" x14ac:dyDescent="0.3">
      <c r="A428" s="3">
        <v>45354</v>
      </c>
      <c r="B428" t="s">
        <v>82</v>
      </c>
      <c r="C428" t="s">
        <v>73</v>
      </c>
      <c r="D428" s="4" cm="1">
        <f t="array" aca="1" ref="D428" ca="1">IFERROR( _xlfn.XLOOKUP(B428, B$2:INDEX(B:B,ROW()-1), I$2:INDEX(I:I,ROW()-1), 0, 0, -1),0)</f>
        <v>1</v>
      </c>
      <c r="E428">
        <v>8</v>
      </c>
      <c r="F428">
        <f t="shared" ca="1" si="44"/>
        <v>1</v>
      </c>
      <c r="G428">
        <f t="shared" ca="1" si="45"/>
        <v>5</v>
      </c>
      <c r="H428">
        <f t="shared" ca="1" si="46"/>
        <v>2</v>
      </c>
      <c r="I428">
        <f t="shared" ca="1" si="47"/>
        <v>1</v>
      </c>
      <c r="J428">
        <v>2.5</v>
      </c>
      <c r="K428">
        <v>2</v>
      </c>
      <c r="L428">
        <v>5</v>
      </c>
      <c r="M428" s="3">
        <f t="shared" ca="1" si="49"/>
        <v>45382</v>
      </c>
      <c r="N428" s="3">
        <f t="shared" ca="1" si="49"/>
        <v>45390</v>
      </c>
      <c r="O428" s="3">
        <v>45354</v>
      </c>
    </row>
    <row r="429" spans="1:15" x14ac:dyDescent="0.3">
      <c r="A429" s="3">
        <v>45354</v>
      </c>
      <c r="B429" t="s">
        <v>10</v>
      </c>
      <c r="C429" t="s">
        <v>18</v>
      </c>
      <c r="D429" s="4" cm="1">
        <f t="array" aca="1" ref="D429" ca="1">IFERROR( _xlfn.XLOOKUP(B429, B$2:INDEX(B:B,ROW()-1), I$2:INDEX(I:I,ROW()-1), 0, 0, -1),0)</f>
        <v>5</v>
      </c>
      <c r="E429">
        <v>10</v>
      </c>
      <c r="F429">
        <f t="shared" ca="1" si="44"/>
        <v>7</v>
      </c>
      <c r="G429">
        <f t="shared" ca="1" si="45"/>
        <v>1</v>
      </c>
      <c r="H429">
        <f t="shared" ca="1" si="46"/>
        <v>0</v>
      </c>
      <c r="I429">
        <f t="shared" ca="1" si="47"/>
        <v>7</v>
      </c>
      <c r="J429">
        <v>5.5</v>
      </c>
      <c r="K429">
        <v>4.5</v>
      </c>
      <c r="L429">
        <v>7</v>
      </c>
      <c r="M429" s="3">
        <f t="shared" ca="1" si="49"/>
        <v>45382</v>
      </c>
      <c r="N429" s="3">
        <f t="shared" ca="1" si="49"/>
        <v>45306</v>
      </c>
      <c r="O429" s="3">
        <v>45386</v>
      </c>
    </row>
    <row r="430" spans="1:15" x14ac:dyDescent="0.3">
      <c r="A430" s="3">
        <v>45354</v>
      </c>
      <c r="B430" t="s">
        <v>59</v>
      </c>
      <c r="C430" t="s">
        <v>93</v>
      </c>
      <c r="D430" s="4" cm="1">
        <f t="array" aca="1" ref="D430" ca="1">IFERROR( _xlfn.XLOOKUP(B430, B$2:INDEX(B:B,ROW()-1), I$2:INDEX(I:I,ROW()-1), 0, 0, -1),0)</f>
        <v>5</v>
      </c>
      <c r="E430">
        <v>10</v>
      </c>
      <c r="F430">
        <f t="shared" ca="1" si="44"/>
        <v>9</v>
      </c>
      <c r="G430">
        <f t="shared" ca="1" si="45"/>
        <v>1</v>
      </c>
      <c r="H430">
        <f t="shared" ca="1" si="46"/>
        <v>0</v>
      </c>
      <c r="I430">
        <f t="shared" ca="1" si="47"/>
        <v>5</v>
      </c>
      <c r="J430">
        <v>4</v>
      </c>
      <c r="K430">
        <v>3.5</v>
      </c>
      <c r="L430">
        <v>10</v>
      </c>
      <c r="M430" s="3">
        <f t="shared" ca="1" si="49"/>
        <v>45367</v>
      </c>
      <c r="N430" s="3">
        <f t="shared" ca="1" si="49"/>
        <v>45318</v>
      </c>
      <c r="O430" s="3">
        <v>45295</v>
      </c>
    </row>
    <row r="431" spans="1:15" x14ac:dyDescent="0.3">
      <c r="A431" s="3">
        <v>45354</v>
      </c>
      <c r="B431" t="s">
        <v>71</v>
      </c>
      <c r="C431" t="s">
        <v>47</v>
      </c>
      <c r="D431" s="4" cm="1">
        <f t="array" aca="1" ref="D431" ca="1">IFERROR( _xlfn.XLOOKUP(B431, B$2:INDEX(B:B,ROW()-1), I$2:INDEX(I:I,ROW()-1), 0, 0, -1),0)</f>
        <v>2</v>
      </c>
      <c r="E431">
        <v>6</v>
      </c>
      <c r="F431">
        <f t="shared" ca="1" si="44"/>
        <v>5</v>
      </c>
      <c r="G431">
        <f t="shared" ca="1" si="45"/>
        <v>0</v>
      </c>
      <c r="H431">
        <f t="shared" ca="1" si="46"/>
        <v>0</v>
      </c>
      <c r="I431">
        <f t="shared" ca="1" si="47"/>
        <v>3</v>
      </c>
      <c r="J431">
        <v>4</v>
      </c>
      <c r="K431">
        <v>3</v>
      </c>
      <c r="L431">
        <v>7</v>
      </c>
      <c r="M431" s="3">
        <f t="shared" ca="1" si="49"/>
        <v>45297</v>
      </c>
      <c r="N431" s="3">
        <f t="shared" ca="1" si="49"/>
        <v>45386</v>
      </c>
      <c r="O431" s="3">
        <v>45368</v>
      </c>
    </row>
    <row r="432" spans="1:15" x14ac:dyDescent="0.3">
      <c r="A432" s="3">
        <v>45354</v>
      </c>
      <c r="B432" t="s">
        <v>67</v>
      </c>
      <c r="C432" t="s">
        <v>46</v>
      </c>
      <c r="D432" s="4" cm="1">
        <f t="array" aca="1" ref="D432" ca="1">IFERROR( _xlfn.XLOOKUP(B432, B$2:INDEX(B:B,ROW()-1), I$2:INDEX(I:I,ROW()-1), 0, 0, -1),0)</f>
        <v>3</v>
      </c>
      <c r="E432">
        <v>8</v>
      </c>
      <c r="F432">
        <f t="shared" ca="1" si="44"/>
        <v>6</v>
      </c>
      <c r="G432">
        <f t="shared" ca="1" si="45"/>
        <v>2</v>
      </c>
      <c r="H432">
        <f t="shared" ca="1" si="46"/>
        <v>0</v>
      </c>
      <c r="I432">
        <f t="shared" ca="1" si="47"/>
        <v>3</v>
      </c>
      <c r="J432">
        <v>3.5</v>
      </c>
      <c r="K432">
        <v>3</v>
      </c>
      <c r="L432">
        <v>8</v>
      </c>
      <c r="M432" s="3">
        <f t="shared" ca="1" si="49"/>
        <v>45422</v>
      </c>
      <c r="N432" s="3">
        <f t="shared" ca="1" si="49"/>
        <v>45426</v>
      </c>
      <c r="O432" s="3">
        <v>45307</v>
      </c>
    </row>
    <row r="433" spans="1:15" x14ac:dyDescent="0.3">
      <c r="A433" s="3">
        <v>45354</v>
      </c>
      <c r="B433" t="s">
        <v>66</v>
      </c>
      <c r="C433" t="s">
        <v>45</v>
      </c>
      <c r="D433" s="4" cm="1">
        <f t="array" aca="1" ref="D433" ca="1">IFERROR( _xlfn.XLOOKUP(B433, B$2:INDEX(B:B,ROW()-1), I$2:INDEX(I:I,ROW()-1), 0, 0, -1),0)</f>
        <v>3</v>
      </c>
      <c r="E433">
        <v>8</v>
      </c>
      <c r="F433">
        <f t="shared" ca="1" si="44"/>
        <v>7</v>
      </c>
      <c r="G433">
        <f t="shared" ca="1" si="45"/>
        <v>0</v>
      </c>
      <c r="H433">
        <f t="shared" ca="1" si="46"/>
        <v>0</v>
      </c>
      <c r="I433">
        <f t="shared" ca="1" si="47"/>
        <v>4</v>
      </c>
      <c r="J433">
        <v>3.5</v>
      </c>
      <c r="K433">
        <v>3</v>
      </c>
      <c r="L433">
        <v>8</v>
      </c>
      <c r="M433" s="3">
        <f t="shared" ca="1" si="49"/>
        <v>45303</v>
      </c>
      <c r="N433" s="3">
        <f t="shared" ca="1" si="49"/>
        <v>45373</v>
      </c>
      <c r="O433" s="3">
        <v>45338</v>
      </c>
    </row>
    <row r="434" spans="1:15" x14ac:dyDescent="0.3">
      <c r="A434" s="3">
        <v>45354</v>
      </c>
      <c r="B434" t="s">
        <v>41</v>
      </c>
      <c r="C434" t="s">
        <v>86</v>
      </c>
      <c r="D434" s="4" cm="1">
        <f t="array" aca="1" ref="D434" ca="1">IFERROR( _xlfn.XLOOKUP(B434, B$2:INDEX(B:B,ROW()-1), I$2:INDEX(I:I,ROW()-1), 0, 0, -1),0)</f>
        <v>2</v>
      </c>
      <c r="E434">
        <v>15</v>
      </c>
      <c r="F434">
        <f t="shared" ca="1" si="44"/>
        <v>9</v>
      </c>
      <c r="G434">
        <f t="shared" ca="1" si="45"/>
        <v>4</v>
      </c>
      <c r="H434">
        <f t="shared" ca="1" si="46"/>
        <v>2</v>
      </c>
      <c r="I434">
        <f t="shared" ca="1" si="47"/>
        <v>2</v>
      </c>
      <c r="J434">
        <v>3</v>
      </c>
      <c r="K434">
        <v>2.5</v>
      </c>
      <c r="L434">
        <v>14</v>
      </c>
      <c r="M434" s="3">
        <f t="shared" ca="1" si="49"/>
        <v>45375</v>
      </c>
      <c r="N434" s="3">
        <f t="shared" ca="1" si="49"/>
        <v>45413</v>
      </c>
      <c r="O434" s="3">
        <v>45344</v>
      </c>
    </row>
    <row r="435" spans="1:15" x14ac:dyDescent="0.3">
      <c r="A435" s="3">
        <v>45354</v>
      </c>
      <c r="B435" t="s">
        <v>70</v>
      </c>
      <c r="C435" t="s">
        <v>99</v>
      </c>
      <c r="D435" s="4" cm="1">
        <f t="array" aca="1" ref="D435" ca="1">IFERROR( _xlfn.XLOOKUP(B435, B$2:INDEX(B:B,ROW()-1), I$2:INDEX(I:I,ROW()-1), 0, 0, -1),0)</f>
        <v>2</v>
      </c>
      <c r="E435">
        <v>6</v>
      </c>
      <c r="F435">
        <f t="shared" ca="1" si="44"/>
        <v>3</v>
      </c>
      <c r="G435">
        <f t="shared" ca="1" si="45"/>
        <v>3</v>
      </c>
      <c r="H435">
        <f t="shared" ca="1" si="46"/>
        <v>1</v>
      </c>
      <c r="I435">
        <f t="shared" ca="1" si="47"/>
        <v>1</v>
      </c>
      <c r="J435">
        <v>4</v>
      </c>
      <c r="K435">
        <v>3</v>
      </c>
      <c r="L435">
        <v>7</v>
      </c>
      <c r="M435" s="3">
        <f t="shared" ca="1" si="49"/>
        <v>45394</v>
      </c>
      <c r="N435" s="3">
        <f t="shared" ca="1" si="49"/>
        <v>45435</v>
      </c>
      <c r="O435" s="3">
        <v>45345</v>
      </c>
    </row>
    <row r="436" spans="1:15" x14ac:dyDescent="0.3">
      <c r="A436" s="3">
        <v>45355</v>
      </c>
      <c r="B436" t="s">
        <v>36</v>
      </c>
      <c r="C436" t="s">
        <v>33</v>
      </c>
      <c r="D436" s="4" cm="1">
        <f t="array" aca="1" ref="D436" ca="1">IFERROR( _xlfn.XLOOKUP(B436, B$2:INDEX(B:B,ROW()-1), I$2:INDEX(I:I,ROW()-1), 0, 0, -1),0)</f>
        <v>3</v>
      </c>
      <c r="E436">
        <v>12</v>
      </c>
      <c r="F436">
        <f t="shared" ca="1" si="44"/>
        <v>2</v>
      </c>
      <c r="G436">
        <f t="shared" ca="1" si="45"/>
        <v>7</v>
      </c>
      <c r="H436">
        <f t="shared" ca="1" si="46"/>
        <v>3</v>
      </c>
      <c r="I436">
        <f t="shared" ca="1" si="47"/>
        <v>3</v>
      </c>
      <c r="J436">
        <v>3.5</v>
      </c>
      <c r="K436">
        <v>3</v>
      </c>
      <c r="L436">
        <v>14</v>
      </c>
      <c r="M436" s="3">
        <f t="shared" ca="1" si="49"/>
        <v>45386</v>
      </c>
      <c r="N436" s="3">
        <f t="shared" ca="1" si="49"/>
        <v>45304</v>
      </c>
      <c r="O436" s="3">
        <v>45426</v>
      </c>
    </row>
    <row r="437" spans="1:15" x14ac:dyDescent="0.3">
      <c r="A437" s="3">
        <v>45355</v>
      </c>
      <c r="B437" t="s">
        <v>81</v>
      </c>
      <c r="C437" t="s">
        <v>50</v>
      </c>
      <c r="D437" s="4" cm="1">
        <f t="array" aca="1" ref="D437" ca="1">IFERROR( _xlfn.XLOOKUP(B437, B$2:INDEX(B:B,ROW()-1), I$2:INDEX(I:I,ROW()-1), 0, 0, -1),0)</f>
        <v>3</v>
      </c>
      <c r="E437">
        <v>8</v>
      </c>
      <c r="F437">
        <f t="shared" ca="1" si="44"/>
        <v>6</v>
      </c>
      <c r="G437">
        <f t="shared" ca="1" si="45"/>
        <v>0</v>
      </c>
      <c r="H437">
        <f t="shared" ca="1" si="46"/>
        <v>3</v>
      </c>
      <c r="I437">
        <f t="shared" ca="1" si="47"/>
        <v>2</v>
      </c>
      <c r="J437">
        <v>2.5</v>
      </c>
      <c r="K437">
        <v>2</v>
      </c>
      <c r="L437">
        <v>5</v>
      </c>
      <c r="M437" s="3">
        <f t="shared" ca="1" si="49"/>
        <v>45319</v>
      </c>
      <c r="N437" s="3">
        <f t="shared" ca="1" si="49"/>
        <v>45399</v>
      </c>
      <c r="O437" s="3">
        <v>45407</v>
      </c>
    </row>
    <row r="438" spans="1:15" x14ac:dyDescent="0.3">
      <c r="A438" s="3">
        <v>45355</v>
      </c>
      <c r="B438" t="s">
        <v>39</v>
      </c>
      <c r="C438" t="s">
        <v>32</v>
      </c>
      <c r="D438" s="4" cm="1">
        <f t="array" aca="1" ref="D438" ca="1">IFERROR( _xlfn.XLOOKUP(B438, B$2:INDEX(B:B,ROW()-1), I$2:INDEX(I:I,ROW()-1), 0, 0, -1),0)</f>
        <v>4</v>
      </c>
      <c r="E438">
        <v>12</v>
      </c>
      <c r="F438">
        <f t="shared" ca="1" si="44"/>
        <v>7</v>
      </c>
      <c r="G438">
        <f t="shared" ca="1" si="45"/>
        <v>2</v>
      </c>
      <c r="H438">
        <f t="shared" ca="1" si="46"/>
        <v>3</v>
      </c>
      <c r="I438">
        <f t="shared" ca="1" si="47"/>
        <v>4</v>
      </c>
      <c r="J438">
        <v>3.5</v>
      </c>
      <c r="K438">
        <v>3</v>
      </c>
      <c r="L438">
        <v>14</v>
      </c>
      <c r="M438" s="3">
        <f t="shared" ca="1" si="49"/>
        <v>45408</v>
      </c>
      <c r="N438" s="3">
        <f t="shared" ca="1" si="49"/>
        <v>45310</v>
      </c>
      <c r="O438" s="3">
        <v>45398</v>
      </c>
    </row>
    <row r="439" spans="1:15" x14ac:dyDescent="0.3">
      <c r="A439" s="3">
        <v>45355</v>
      </c>
      <c r="B439" t="s">
        <v>66</v>
      </c>
      <c r="C439" t="s">
        <v>45</v>
      </c>
      <c r="D439" s="4" cm="1">
        <f t="array" aca="1" ref="D439" ca="1">IFERROR( _xlfn.XLOOKUP(B439, B$2:INDEX(B:B,ROW()-1), I$2:INDEX(I:I,ROW()-1), 0, 0, -1),0)</f>
        <v>4</v>
      </c>
      <c r="E439">
        <v>8</v>
      </c>
      <c r="F439">
        <f t="shared" ca="1" si="44"/>
        <v>4</v>
      </c>
      <c r="G439">
        <f t="shared" ca="1" si="45"/>
        <v>2</v>
      </c>
      <c r="H439">
        <f t="shared" ca="1" si="46"/>
        <v>4</v>
      </c>
      <c r="I439">
        <f t="shared" ca="1" si="47"/>
        <v>2</v>
      </c>
      <c r="J439">
        <v>3.5</v>
      </c>
      <c r="K439">
        <v>3</v>
      </c>
      <c r="L439">
        <v>8</v>
      </c>
      <c r="M439" s="3">
        <f t="shared" ca="1" si="49"/>
        <v>45432</v>
      </c>
      <c r="N439" s="3">
        <f t="shared" ca="1" si="49"/>
        <v>45328</v>
      </c>
      <c r="O439" s="3">
        <v>45375</v>
      </c>
    </row>
    <row r="440" spans="1:15" x14ac:dyDescent="0.3">
      <c r="A440" s="3">
        <v>45355</v>
      </c>
      <c r="B440" t="s">
        <v>58</v>
      </c>
      <c r="C440" t="s">
        <v>76</v>
      </c>
      <c r="D440" s="4" cm="1">
        <f t="array" aca="1" ref="D440" ca="1">IFERROR( _xlfn.XLOOKUP(B440, B$2:INDEX(B:B,ROW()-1), I$2:INDEX(I:I,ROW()-1), 0, 0, -1),0)</f>
        <v>11</v>
      </c>
      <c r="E440">
        <v>15</v>
      </c>
      <c r="F440">
        <f t="shared" ca="1" si="44"/>
        <v>4</v>
      </c>
      <c r="G440">
        <f t="shared" ca="1" si="45"/>
        <v>7</v>
      </c>
      <c r="H440">
        <f t="shared" ca="1" si="46"/>
        <v>4</v>
      </c>
      <c r="I440">
        <f t="shared" ca="1" si="47"/>
        <v>11</v>
      </c>
      <c r="J440">
        <v>6</v>
      </c>
      <c r="K440">
        <v>5.5</v>
      </c>
      <c r="L440">
        <v>20</v>
      </c>
      <c r="M440" s="3">
        <f t="shared" ca="1" si="49"/>
        <v>45408</v>
      </c>
      <c r="N440" s="3">
        <f t="shared" ca="1" si="49"/>
        <v>45398</v>
      </c>
      <c r="O440" s="3">
        <v>45343</v>
      </c>
    </row>
    <row r="441" spans="1:15" x14ac:dyDescent="0.3">
      <c r="A441" s="3">
        <v>45355</v>
      </c>
      <c r="B441" t="s">
        <v>21</v>
      </c>
      <c r="C441" t="s">
        <v>27</v>
      </c>
      <c r="D441" s="4" cm="1">
        <f t="array" aca="1" ref="D441" ca="1">IFERROR( _xlfn.XLOOKUP(B441, B$2:INDEX(B:B,ROW()-1), I$2:INDEX(I:I,ROW()-1), 0, 0, -1),0)</f>
        <v>5</v>
      </c>
      <c r="E441">
        <v>8</v>
      </c>
      <c r="F441">
        <f t="shared" ca="1" si="44"/>
        <v>2</v>
      </c>
      <c r="G441">
        <f t="shared" ca="1" si="45"/>
        <v>5</v>
      </c>
      <c r="H441">
        <f t="shared" ca="1" si="46"/>
        <v>2</v>
      </c>
      <c r="I441">
        <f t="shared" ca="1" si="47"/>
        <v>4</v>
      </c>
      <c r="J441">
        <v>4</v>
      </c>
      <c r="K441">
        <v>3</v>
      </c>
      <c r="L441">
        <v>14</v>
      </c>
      <c r="M441" s="3">
        <f t="shared" ca="1" si="49"/>
        <v>45334</v>
      </c>
      <c r="N441" s="3">
        <f t="shared" ca="1" si="49"/>
        <v>45326</v>
      </c>
      <c r="O441" s="3">
        <v>45429</v>
      </c>
    </row>
    <row r="442" spans="1:15" x14ac:dyDescent="0.3">
      <c r="A442" s="3">
        <v>45355</v>
      </c>
      <c r="B442" t="s">
        <v>24</v>
      </c>
      <c r="C442" t="s">
        <v>29</v>
      </c>
      <c r="D442" s="4" cm="1">
        <f t="array" aca="1" ref="D442" ca="1">IFERROR( _xlfn.XLOOKUP(B442, B$2:INDEX(B:B,ROW()-1), I$2:INDEX(I:I,ROW()-1), 0, 0, -1),0)</f>
        <v>4</v>
      </c>
      <c r="E442">
        <v>8</v>
      </c>
      <c r="F442">
        <f t="shared" ca="1" si="44"/>
        <v>2</v>
      </c>
      <c r="G442">
        <f t="shared" ca="1" si="45"/>
        <v>0</v>
      </c>
      <c r="H442">
        <f t="shared" ca="1" si="46"/>
        <v>5</v>
      </c>
      <c r="I442">
        <f t="shared" ca="1" si="47"/>
        <v>5</v>
      </c>
      <c r="J442">
        <v>7.5</v>
      </c>
      <c r="K442">
        <v>5.5</v>
      </c>
      <c r="L442">
        <v>7</v>
      </c>
      <c r="M442" s="3">
        <f t="shared" ref="M442:N461" ca="1" si="50">DATE(2024,1,1) + RANDBETWEEN(0, DATE(2024,5,25) - DATE(2024,1,1))</f>
        <v>45412</v>
      </c>
      <c r="N442" s="3">
        <f t="shared" ca="1" si="50"/>
        <v>45310</v>
      </c>
      <c r="O442" s="3">
        <v>45374</v>
      </c>
    </row>
    <row r="443" spans="1:15" x14ac:dyDescent="0.3">
      <c r="A443" s="3">
        <v>45355</v>
      </c>
      <c r="B443" t="s">
        <v>22</v>
      </c>
      <c r="C443" t="s">
        <v>26</v>
      </c>
      <c r="D443" s="4" cm="1">
        <f t="array" aca="1" ref="D443" ca="1">IFERROR( _xlfn.XLOOKUP(B443, B$2:INDEX(B:B,ROW()-1), I$2:INDEX(I:I,ROW()-1), 0, 0, -1),0)</f>
        <v>7</v>
      </c>
      <c r="E443">
        <v>12</v>
      </c>
      <c r="F443">
        <f t="shared" ca="1" si="44"/>
        <v>3</v>
      </c>
      <c r="G443">
        <f t="shared" ca="1" si="45"/>
        <v>7</v>
      </c>
      <c r="H443">
        <f t="shared" ca="1" si="46"/>
        <v>2</v>
      </c>
      <c r="I443">
        <f t="shared" ca="1" si="47"/>
        <v>7</v>
      </c>
      <c r="J443">
        <v>3.5</v>
      </c>
      <c r="K443">
        <v>3</v>
      </c>
      <c r="L443">
        <v>14</v>
      </c>
      <c r="M443" s="3">
        <f t="shared" ca="1" si="50"/>
        <v>45415</v>
      </c>
      <c r="N443" s="3">
        <f t="shared" ca="1" si="50"/>
        <v>45370</v>
      </c>
      <c r="O443" s="3">
        <v>45377</v>
      </c>
    </row>
    <row r="444" spans="1:15" x14ac:dyDescent="0.3">
      <c r="A444" s="3">
        <v>45355</v>
      </c>
      <c r="B444" t="s">
        <v>10</v>
      </c>
      <c r="C444" t="s">
        <v>18</v>
      </c>
      <c r="D444" s="4" cm="1">
        <f t="array" aca="1" ref="D444" ca="1">IFERROR( _xlfn.XLOOKUP(B444, B$2:INDEX(B:B,ROW()-1), I$2:INDEX(I:I,ROW()-1), 0, 0, -1),0)</f>
        <v>7</v>
      </c>
      <c r="E444">
        <v>10</v>
      </c>
      <c r="F444">
        <f t="shared" ca="1" si="44"/>
        <v>6</v>
      </c>
      <c r="G444">
        <f t="shared" ca="1" si="45"/>
        <v>2</v>
      </c>
      <c r="H444">
        <f t="shared" ca="1" si="46"/>
        <v>5</v>
      </c>
      <c r="I444">
        <f t="shared" ca="1" si="47"/>
        <v>4</v>
      </c>
      <c r="J444">
        <v>5.5</v>
      </c>
      <c r="K444">
        <v>4.5</v>
      </c>
      <c r="L444">
        <v>7</v>
      </c>
      <c r="M444" s="3">
        <f t="shared" ca="1" si="50"/>
        <v>45306</v>
      </c>
      <c r="N444" s="3">
        <f t="shared" ca="1" si="50"/>
        <v>45320</v>
      </c>
      <c r="O444" s="3">
        <v>45430</v>
      </c>
    </row>
    <row r="445" spans="1:15" x14ac:dyDescent="0.3">
      <c r="A445" s="3">
        <v>45356</v>
      </c>
      <c r="B445" t="s">
        <v>71</v>
      </c>
      <c r="C445" t="s">
        <v>47</v>
      </c>
      <c r="D445" s="4" cm="1">
        <f t="array" aca="1" ref="D445" ca="1">IFERROR( _xlfn.XLOOKUP(B445, B$2:INDEX(B:B,ROW()-1), I$2:INDEX(I:I,ROW()-1), 0, 0, -1),0)</f>
        <v>3</v>
      </c>
      <c r="E445">
        <v>6</v>
      </c>
      <c r="F445">
        <f t="shared" ca="1" si="44"/>
        <v>0</v>
      </c>
      <c r="G445">
        <f t="shared" ca="1" si="45"/>
        <v>0</v>
      </c>
      <c r="H445">
        <f t="shared" ca="1" si="46"/>
        <v>1</v>
      </c>
      <c r="I445">
        <f t="shared" ca="1" si="47"/>
        <v>8</v>
      </c>
      <c r="J445">
        <v>4</v>
      </c>
      <c r="K445">
        <v>3</v>
      </c>
      <c r="L445">
        <v>7</v>
      </c>
      <c r="M445" s="3">
        <f t="shared" ca="1" si="50"/>
        <v>45294</v>
      </c>
      <c r="N445" s="3">
        <f t="shared" ca="1" si="50"/>
        <v>45437</v>
      </c>
      <c r="O445" s="3">
        <v>45345</v>
      </c>
    </row>
    <row r="446" spans="1:15" x14ac:dyDescent="0.3">
      <c r="A446" s="3">
        <v>45356</v>
      </c>
      <c r="B446" t="s">
        <v>90</v>
      </c>
      <c r="C446" t="s">
        <v>87</v>
      </c>
      <c r="D446" s="4" cm="1">
        <f t="array" aca="1" ref="D446" ca="1">IFERROR( _xlfn.XLOOKUP(B446, B$2:INDEX(B:B,ROW()-1), I$2:INDEX(I:I,ROW()-1), 0, 0, -1),0)</f>
        <v>10</v>
      </c>
      <c r="E446">
        <v>12</v>
      </c>
      <c r="F446">
        <f t="shared" ca="1" si="44"/>
        <v>1</v>
      </c>
      <c r="G446">
        <f t="shared" ca="1" si="45"/>
        <v>4</v>
      </c>
      <c r="H446">
        <f t="shared" ca="1" si="46"/>
        <v>10</v>
      </c>
      <c r="I446">
        <f t="shared" ca="1" si="47"/>
        <v>7</v>
      </c>
      <c r="J446">
        <v>4.5</v>
      </c>
      <c r="K446">
        <v>4</v>
      </c>
      <c r="L446">
        <v>14</v>
      </c>
      <c r="M446" s="3">
        <f t="shared" ca="1" si="50"/>
        <v>45363</v>
      </c>
      <c r="N446" s="3">
        <f t="shared" ca="1" si="50"/>
        <v>45300</v>
      </c>
      <c r="O446" s="3">
        <v>45414</v>
      </c>
    </row>
    <row r="447" spans="1:15" x14ac:dyDescent="0.3">
      <c r="A447" s="3">
        <v>45356</v>
      </c>
      <c r="B447" t="s">
        <v>24</v>
      </c>
      <c r="C447" t="s">
        <v>29</v>
      </c>
      <c r="D447" s="4" cm="1">
        <f t="array" aca="1" ref="D447" ca="1">IFERROR( _xlfn.XLOOKUP(B447, B$2:INDEX(B:B,ROW()-1), I$2:INDEX(I:I,ROW()-1), 0, 0, -1),0)</f>
        <v>5</v>
      </c>
      <c r="E447">
        <v>8</v>
      </c>
      <c r="F447">
        <f t="shared" ca="1" si="44"/>
        <v>1</v>
      </c>
      <c r="G447">
        <f t="shared" ca="1" si="45"/>
        <v>4</v>
      </c>
      <c r="H447">
        <f t="shared" ca="1" si="46"/>
        <v>3</v>
      </c>
      <c r="I447">
        <f t="shared" ca="1" si="47"/>
        <v>5</v>
      </c>
      <c r="J447">
        <v>7.5</v>
      </c>
      <c r="K447">
        <v>5.5</v>
      </c>
      <c r="L447">
        <v>7</v>
      </c>
      <c r="M447" s="3">
        <f t="shared" ca="1" si="50"/>
        <v>45376</v>
      </c>
      <c r="N447" s="3">
        <f t="shared" ca="1" si="50"/>
        <v>45365</v>
      </c>
      <c r="O447" s="3">
        <v>45407</v>
      </c>
    </row>
    <row r="448" spans="1:15" x14ac:dyDescent="0.3">
      <c r="A448" s="3">
        <v>45356</v>
      </c>
      <c r="B448" t="s">
        <v>84</v>
      </c>
      <c r="C448" t="s">
        <v>101</v>
      </c>
      <c r="D448" s="4" cm="1">
        <f t="array" aca="1" ref="D448" ca="1">IFERROR( _xlfn.XLOOKUP(B448, B$2:INDEX(B:B,ROW()-1), I$2:INDEX(I:I,ROW()-1), 0, 0, -1),0)</f>
        <v>3</v>
      </c>
      <c r="E448">
        <v>8</v>
      </c>
      <c r="F448">
        <f t="shared" ca="1" si="44"/>
        <v>4</v>
      </c>
      <c r="G448">
        <f t="shared" ca="1" si="45"/>
        <v>0</v>
      </c>
      <c r="H448">
        <f t="shared" ca="1" si="46"/>
        <v>0</v>
      </c>
      <c r="I448">
        <f t="shared" ca="1" si="47"/>
        <v>7</v>
      </c>
      <c r="J448">
        <v>3.5</v>
      </c>
      <c r="K448">
        <v>3</v>
      </c>
      <c r="L448">
        <v>8</v>
      </c>
      <c r="M448" s="3">
        <f t="shared" ca="1" si="50"/>
        <v>45324</v>
      </c>
      <c r="N448" s="3">
        <f t="shared" ca="1" si="50"/>
        <v>45342</v>
      </c>
      <c r="O448" s="3">
        <v>45340</v>
      </c>
    </row>
    <row r="449" spans="1:15" x14ac:dyDescent="0.3">
      <c r="A449" s="3">
        <v>45356</v>
      </c>
      <c r="B449" t="s">
        <v>82</v>
      </c>
      <c r="C449" t="s">
        <v>73</v>
      </c>
      <c r="D449" s="4" cm="1">
        <f t="array" aca="1" ref="D449" ca="1">IFERROR( _xlfn.XLOOKUP(B449, B$2:INDEX(B:B,ROW()-1), I$2:INDEX(I:I,ROW()-1), 0, 0, -1),0)</f>
        <v>1</v>
      </c>
      <c r="E449">
        <v>8</v>
      </c>
      <c r="F449">
        <f t="shared" ca="1" si="44"/>
        <v>1</v>
      </c>
      <c r="G449">
        <f t="shared" ca="1" si="45"/>
        <v>3</v>
      </c>
      <c r="H449">
        <f t="shared" ca="1" si="46"/>
        <v>2</v>
      </c>
      <c r="I449">
        <f t="shared" ca="1" si="47"/>
        <v>3</v>
      </c>
      <c r="J449">
        <v>2.5</v>
      </c>
      <c r="K449">
        <v>2</v>
      </c>
      <c r="L449">
        <v>5</v>
      </c>
      <c r="M449" s="3">
        <f t="shared" ca="1" si="50"/>
        <v>45325</v>
      </c>
      <c r="N449" s="3">
        <f t="shared" ca="1" si="50"/>
        <v>45365</v>
      </c>
      <c r="O449" s="3">
        <v>45351</v>
      </c>
    </row>
    <row r="450" spans="1:15" x14ac:dyDescent="0.3">
      <c r="A450" s="3">
        <v>45356</v>
      </c>
      <c r="B450" t="s">
        <v>69</v>
      </c>
      <c r="C450" t="s">
        <v>98</v>
      </c>
      <c r="D450" s="4" cm="1">
        <f t="array" aca="1" ref="D450" ca="1">IFERROR( _xlfn.XLOOKUP(B450, B$2:INDEX(B:B,ROW()-1), I$2:INDEX(I:I,ROW()-1), 0, 0, -1),0)</f>
        <v>5</v>
      </c>
      <c r="E450">
        <v>6</v>
      </c>
      <c r="F450">
        <f t="shared" ref="F450:F513" ca="1" si="51">RANDBETWEEN(0, ROUND((D450+E450)*0.6,0))</f>
        <v>1</v>
      </c>
      <c r="G450">
        <f t="shared" ref="G450:G513" ca="1" si="52">RANDBETWEEN(0,ROUND((D450+E450-F450)*0.6,0))</f>
        <v>3</v>
      </c>
      <c r="H450">
        <f t="shared" ref="H450:H513" ca="1" si="53">RANDBETWEEN(0,ROUND((D450+E450-F450-G450)*0.6,0))</f>
        <v>0</v>
      </c>
      <c r="I450">
        <f t="shared" ref="I450:I513" ca="1" si="54">D450+E450-F450-G450-H450</f>
        <v>7</v>
      </c>
      <c r="J450">
        <v>4</v>
      </c>
      <c r="K450">
        <v>3</v>
      </c>
      <c r="L450">
        <v>7</v>
      </c>
      <c r="M450" s="3">
        <f t="shared" ca="1" si="50"/>
        <v>45390</v>
      </c>
      <c r="N450" s="3">
        <f t="shared" ca="1" si="50"/>
        <v>45301</v>
      </c>
      <c r="O450" s="3">
        <v>45376</v>
      </c>
    </row>
    <row r="451" spans="1:15" x14ac:dyDescent="0.3">
      <c r="A451" s="3">
        <v>45356</v>
      </c>
      <c r="B451" t="s">
        <v>84</v>
      </c>
      <c r="C451" t="s">
        <v>101</v>
      </c>
      <c r="D451" s="4" cm="1">
        <f t="array" aca="1" ref="D451" ca="1">IFERROR( _xlfn.XLOOKUP(B451, B$2:INDEX(B:B,ROW()-1), I$2:INDEX(I:I,ROW()-1), 0, 0, -1),0)</f>
        <v>7</v>
      </c>
      <c r="E451">
        <v>8</v>
      </c>
      <c r="F451">
        <f t="shared" ca="1" si="51"/>
        <v>2</v>
      </c>
      <c r="G451">
        <f t="shared" ca="1" si="52"/>
        <v>8</v>
      </c>
      <c r="H451">
        <f t="shared" ca="1" si="53"/>
        <v>2</v>
      </c>
      <c r="I451">
        <f t="shared" ca="1" si="54"/>
        <v>3</v>
      </c>
      <c r="J451">
        <v>3.5</v>
      </c>
      <c r="K451">
        <v>3</v>
      </c>
      <c r="L451">
        <v>8</v>
      </c>
      <c r="M451" s="3">
        <f t="shared" ca="1" si="50"/>
        <v>45348</v>
      </c>
      <c r="N451" s="3">
        <f t="shared" ca="1" si="50"/>
        <v>45326</v>
      </c>
      <c r="O451" s="3">
        <v>45437</v>
      </c>
    </row>
    <row r="452" spans="1:15" x14ac:dyDescent="0.3">
      <c r="A452" s="3">
        <v>45357</v>
      </c>
      <c r="B452" t="s">
        <v>20</v>
      </c>
      <c r="C452" t="s">
        <v>25</v>
      </c>
      <c r="D452" s="4" cm="1">
        <f t="array" aca="1" ref="D452" ca="1">IFERROR( _xlfn.XLOOKUP(B452, B$2:INDEX(B:B,ROW()-1), I$2:INDEX(I:I,ROW()-1), 0, 0, -1),0)</f>
        <v>2</v>
      </c>
      <c r="E452">
        <v>10</v>
      </c>
      <c r="F452">
        <f t="shared" ca="1" si="51"/>
        <v>0</v>
      </c>
      <c r="G452">
        <f t="shared" ca="1" si="52"/>
        <v>3</v>
      </c>
      <c r="H452">
        <f t="shared" ca="1" si="53"/>
        <v>2</v>
      </c>
      <c r="I452">
        <f t="shared" ca="1" si="54"/>
        <v>7</v>
      </c>
      <c r="J452">
        <v>4.5</v>
      </c>
      <c r="K452">
        <v>4</v>
      </c>
      <c r="L452">
        <v>10</v>
      </c>
      <c r="M452" s="3">
        <f t="shared" ca="1" si="50"/>
        <v>45354</v>
      </c>
      <c r="N452" s="3">
        <f t="shared" ca="1" si="50"/>
        <v>45308</v>
      </c>
      <c r="O452" s="3">
        <v>45337</v>
      </c>
    </row>
    <row r="453" spans="1:15" x14ac:dyDescent="0.3">
      <c r="A453" s="3">
        <v>45357</v>
      </c>
      <c r="B453" t="s">
        <v>78</v>
      </c>
      <c r="C453" t="s">
        <v>74</v>
      </c>
      <c r="D453" s="4" cm="1">
        <f t="array" aca="1" ref="D453" ca="1">IFERROR( _xlfn.XLOOKUP(B453, B$2:INDEX(B:B,ROW()-1), I$2:INDEX(I:I,ROW()-1), 0, 0, -1),0)</f>
        <v>1</v>
      </c>
      <c r="E453">
        <v>6</v>
      </c>
      <c r="F453">
        <f t="shared" ca="1" si="51"/>
        <v>2</v>
      </c>
      <c r="G453">
        <f t="shared" ca="1" si="52"/>
        <v>3</v>
      </c>
      <c r="H453">
        <f t="shared" ca="1" si="53"/>
        <v>1</v>
      </c>
      <c r="I453">
        <f t="shared" ca="1" si="54"/>
        <v>1</v>
      </c>
      <c r="J453">
        <v>4</v>
      </c>
      <c r="K453">
        <v>3</v>
      </c>
      <c r="L453">
        <v>7</v>
      </c>
      <c r="M453" s="3">
        <f t="shared" ca="1" si="50"/>
        <v>45379</v>
      </c>
      <c r="N453" s="3">
        <f t="shared" ca="1" si="50"/>
        <v>45353</v>
      </c>
      <c r="O453" s="3">
        <v>45370</v>
      </c>
    </row>
    <row r="454" spans="1:15" x14ac:dyDescent="0.3">
      <c r="A454" s="3">
        <v>45357</v>
      </c>
      <c r="B454" t="s">
        <v>83</v>
      </c>
      <c r="C454" t="s">
        <v>100</v>
      </c>
      <c r="D454" s="4" cm="1">
        <f t="array" aca="1" ref="D454" ca="1">IFERROR( _xlfn.XLOOKUP(B454, B$2:INDEX(B:B,ROW()-1), I$2:INDEX(I:I,ROW()-1), 0, 0, -1),0)</f>
        <v>12</v>
      </c>
      <c r="E454">
        <v>10</v>
      </c>
      <c r="F454">
        <f t="shared" ca="1" si="51"/>
        <v>12</v>
      </c>
      <c r="G454">
        <f t="shared" ca="1" si="52"/>
        <v>5</v>
      </c>
      <c r="H454">
        <f t="shared" ca="1" si="53"/>
        <v>2</v>
      </c>
      <c r="I454">
        <f t="shared" ca="1" si="54"/>
        <v>3</v>
      </c>
      <c r="J454">
        <v>4.5</v>
      </c>
      <c r="K454">
        <v>4</v>
      </c>
      <c r="L454">
        <v>10</v>
      </c>
      <c r="M454" s="3">
        <f t="shared" ca="1" si="50"/>
        <v>45415</v>
      </c>
      <c r="N454" s="3">
        <f t="shared" ca="1" si="50"/>
        <v>45411</v>
      </c>
      <c r="O454" s="3">
        <v>45379</v>
      </c>
    </row>
    <row r="455" spans="1:15" x14ac:dyDescent="0.3">
      <c r="A455" s="3">
        <v>45357</v>
      </c>
      <c r="B455" t="s">
        <v>58</v>
      </c>
      <c r="C455" t="s">
        <v>76</v>
      </c>
      <c r="D455" s="4" cm="1">
        <f t="array" aca="1" ref="D455" ca="1">IFERROR( _xlfn.XLOOKUP(B455, B$2:INDEX(B:B,ROW()-1), I$2:INDEX(I:I,ROW()-1), 0, 0, -1),0)</f>
        <v>11</v>
      </c>
      <c r="E455">
        <v>15</v>
      </c>
      <c r="F455">
        <f t="shared" ca="1" si="51"/>
        <v>6</v>
      </c>
      <c r="G455">
        <f t="shared" ca="1" si="52"/>
        <v>8</v>
      </c>
      <c r="H455">
        <f t="shared" ca="1" si="53"/>
        <v>3</v>
      </c>
      <c r="I455">
        <f t="shared" ca="1" si="54"/>
        <v>9</v>
      </c>
      <c r="J455">
        <v>6</v>
      </c>
      <c r="K455">
        <v>5.5</v>
      </c>
      <c r="L455">
        <v>20</v>
      </c>
      <c r="M455" s="3">
        <f t="shared" ca="1" si="50"/>
        <v>45306</v>
      </c>
      <c r="N455" s="3">
        <f t="shared" ca="1" si="50"/>
        <v>45325</v>
      </c>
      <c r="O455" s="3">
        <v>45431</v>
      </c>
    </row>
    <row r="456" spans="1:15" x14ac:dyDescent="0.3">
      <c r="A456" s="3">
        <v>45357</v>
      </c>
      <c r="B456" t="s">
        <v>41</v>
      </c>
      <c r="C456" t="s">
        <v>86</v>
      </c>
      <c r="D456" s="4" cm="1">
        <f t="array" aca="1" ref="D456" ca="1">IFERROR( _xlfn.XLOOKUP(B456, B$2:INDEX(B:B,ROW()-1), I$2:INDEX(I:I,ROW()-1), 0, 0, -1),0)</f>
        <v>2</v>
      </c>
      <c r="E456">
        <v>15</v>
      </c>
      <c r="F456">
        <f t="shared" ca="1" si="51"/>
        <v>7</v>
      </c>
      <c r="G456">
        <f t="shared" ca="1" si="52"/>
        <v>0</v>
      </c>
      <c r="H456">
        <f t="shared" ca="1" si="53"/>
        <v>1</v>
      </c>
      <c r="I456">
        <f t="shared" ca="1" si="54"/>
        <v>9</v>
      </c>
      <c r="J456">
        <v>3</v>
      </c>
      <c r="K456">
        <v>2.5</v>
      </c>
      <c r="L456">
        <v>14</v>
      </c>
      <c r="M456" s="3">
        <f t="shared" ca="1" si="50"/>
        <v>45435</v>
      </c>
      <c r="N456" s="3">
        <f t="shared" ca="1" si="50"/>
        <v>45292</v>
      </c>
      <c r="O456" s="3">
        <v>45432</v>
      </c>
    </row>
    <row r="457" spans="1:15" x14ac:dyDescent="0.3">
      <c r="A457" s="3">
        <v>45357</v>
      </c>
      <c r="B457" t="s">
        <v>66</v>
      </c>
      <c r="C457" t="s">
        <v>45</v>
      </c>
      <c r="D457" s="4" cm="1">
        <f t="array" aca="1" ref="D457" ca="1">IFERROR( _xlfn.XLOOKUP(B457, B$2:INDEX(B:B,ROW()-1), I$2:INDEX(I:I,ROW()-1), 0, 0, -1),0)</f>
        <v>2</v>
      </c>
      <c r="E457">
        <v>8</v>
      </c>
      <c r="F457">
        <f t="shared" ca="1" si="51"/>
        <v>2</v>
      </c>
      <c r="G457">
        <f t="shared" ca="1" si="52"/>
        <v>1</v>
      </c>
      <c r="H457">
        <f t="shared" ca="1" si="53"/>
        <v>1</v>
      </c>
      <c r="I457">
        <f t="shared" ca="1" si="54"/>
        <v>6</v>
      </c>
      <c r="J457">
        <v>3.5</v>
      </c>
      <c r="K457">
        <v>3</v>
      </c>
      <c r="L457">
        <v>8</v>
      </c>
      <c r="M457" s="3">
        <f t="shared" ca="1" si="50"/>
        <v>45435</v>
      </c>
      <c r="N457" s="3">
        <f t="shared" ca="1" si="50"/>
        <v>45349</v>
      </c>
      <c r="O457" s="3">
        <v>45297</v>
      </c>
    </row>
    <row r="458" spans="1:15" x14ac:dyDescent="0.3">
      <c r="A458" s="3">
        <v>45357</v>
      </c>
      <c r="B458" t="s">
        <v>56</v>
      </c>
      <c r="C458" t="s">
        <v>54</v>
      </c>
      <c r="D458" s="4" cm="1">
        <f t="array" aca="1" ref="D458" ca="1">IFERROR( _xlfn.XLOOKUP(B458, B$2:INDEX(B:B,ROW()-1), I$2:INDEX(I:I,ROW()-1), 0, 0, -1),0)</f>
        <v>4</v>
      </c>
      <c r="E458">
        <v>8</v>
      </c>
      <c r="F458">
        <f t="shared" ca="1" si="51"/>
        <v>4</v>
      </c>
      <c r="G458">
        <f t="shared" ca="1" si="52"/>
        <v>4</v>
      </c>
      <c r="H458">
        <f t="shared" ca="1" si="53"/>
        <v>1</v>
      </c>
      <c r="I458">
        <f t="shared" ca="1" si="54"/>
        <v>3</v>
      </c>
      <c r="J458">
        <v>6</v>
      </c>
      <c r="K458">
        <v>5.5</v>
      </c>
      <c r="L458">
        <v>20</v>
      </c>
      <c r="M458" s="3">
        <f t="shared" ca="1" si="50"/>
        <v>45418</v>
      </c>
      <c r="N458" s="3">
        <f t="shared" ca="1" si="50"/>
        <v>45375</v>
      </c>
      <c r="O458" s="3">
        <v>45361</v>
      </c>
    </row>
    <row r="459" spans="1:15" x14ac:dyDescent="0.3">
      <c r="A459" s="3">
        <v>45357</v>
      </c>
      <c r="B459" t="s">
        <v>90</v>
      </c>
      <c r="C459" t="s">
        <v>87</v>
      </c>
      <c r="D459" s="4" cm="1">
        <f t="array" aca="1" ref="D459" ca="1">IFERROR( _xlfn.XLOOKUP(B459, B$2:INDEX(B:B,ROW()-1), I$2:INDEX(I:I,ROW()-1), 0, 0, -1),0)</f>
        <v>7</v>
      </c>
      <c r="E459">
        <v>12</v>
      </c>
      <c r="F459">
        <f t="shared" ca="1" si="51"/>
        <v>0</v>
      </c>
      <c r="G459">
        <f t="shared" ca="1" si="52"/>
        <v>6</v>
      </c>
      <c r="H459">
        <f t="shared" ca="1" si="53"/>
        <v>5</v>
      </c>
      <c r="I459">
        <f t="shared" ca="1" si="54"/>
        <v>8</v>
      </c>
      <c r="J459">
        <v>4.5</v>
      </c>
      <c r="K459">
        <v>4</v>
      </c>
      <c r="L459">
        <v>14</v>
      </c>
      <c r="M459" s="3">
        <f t="shared" ca="1" si="50"/>
        <v>45406</v>
      </c>
      <c r="N459" s="3">
        <f t="shared" ca="1" si="50"/>
        <v>45394</v>
      </c>
      <c r="O459" s="3">
        <v>45418</v>
      </c>
    </row>
    <row r="460" spans="1:15" x14ac:dyDescent="0.3">
      <c r="A460" s="3">
        <v>45358</v>
      </c>
      <c r="B460" t="s">
        <v>21</v>
      </c>
      <c r="C460" t="s">
        <v>27</v>
      </c>
      <c r="D460" s="4" cm="1">
        <f t="array" aca="1" ref="D460" ca="1">IFERROR( _xlfn.XLOOKUP(B460, B$2:INDEX(B:B,ROW()-1), I$2:INDEX(I:I,ROW()-1), 0, 0, -1),0)</f>
        <v>4</v>
      </c>
      <c r="E460">
        <v>8</v>
      </c>
      <c r="F460">
        <f t="shared" ca="1" si="51"/>
        <v>2</v>
      </c>
      <c r="G460">
        <f t="shared" ca="1" si="52"/>
        <v>3</v>
      </c>
      <c r="H460">
        <f t="shared" ca="1" si="53"/>
        <v>0</v>
      </c>
      <c r="I460">
        <f t="shared" ca="1" si="54"/>
        <v>7</v>
      </c>
      <c r="J460">
        <v>4</v>
      </c>
      <c r="K460">
        <v>3</v>
      </c>
      <c r="L460">
        <v>14</v>
      </c>
      <c r="M460" s="3">
        <f t="shared" ca="1" si="50"/>
        <v>45309</v>
      </c>
      <c r="N460" s="3">
        <f t="shared" ca="1" si="50"/>
        <v>45392</v>
      </c>
      <c r="O460" s="3">
        <v>45354</v>
      </c>
    </row>
    <row r="461" spans="1:15" x14ac:dyDescent="0.3">
      <c r="A461" s="3">
        <v>45358</v>
      </c>
      <c r="B461" t="s">
        <v>22</v>
      </c>
      <c r="C461" t="s">
        <v>26</v>
      </c>
      <c r="D461" s="4" cm="1">
        <f t="array" aca="1" ref="D461" ca="1">IFERROR( _xlfn.XLOOKUP(B461, B$2:INDEX(B:B,ROW()-1), I$2:INDEX(I:I,ROW()-1), 0, 0, -1),0)</f>
        <v>7</v>
      </c>
      <c r="E461">
        <v>12</v>
      </c>
      <c r="F461">
        <f t="shared" ca="1" si="51"/>
        <v>11</v>
      </c>
      <c r="G461">
        <f t="shared" ca="1" si="52"/>
        <v>3</v>
      </c>
      <c r="H461">
        <f t="shared" ca="1" si="53"/>
        <v>3</v>
      </c>
      <c r="I461">
        <f t="shared" ca="1" si="54"/>
        <v>2</v>
      </c>
      <c r="J461">
        <v>3.5</v>
      </c>
      <c r="K461">
        <v>3</v>
      </c>
      <c r="L461">
        <v>14</v>
      </c>
      <c r="M461" s="3">
        <f t="shared" ca="1" si="50"/>
        <v>45361</v>
      </c>
      <c r="N461" s="3">
        <f t="shared" ca="1" si="50"/>
        <v>45425</v>
      </c>
      <c r="O461" s="3">
        <v>45427</v>
      </c>
    </row>
    <row r="462" spans="1:15" x14ac:dyDescent="0.3">
      <c r="A462" s="3">
        <v>45358</v>
      </c>
      <c r="B462" t="s">
        <v>90</v>
      </c>
      <c r="C462" t="s">
        <v>87</v>
      </c>
      <c r="D462" s="4" cm="1">
        <f t="array" aca="1" ref="D462" ca="1">IFERROR( _xlfn.XLOOKUP(B462, B$2:INDEX(B:B,ROW()-1), I$2:INDEX(I:I,ROW()-1), 0, 0, -1),0)</f>
        <v>8</v>
      </c>
      <c r="E462">
        <v>12</v>
      </c>
      <c r="F462">
        <f t="shared" ca="1" si="51"/>
        <v>10</v>
      </c>
      <c r="G462">
        <f t="shared" ca="1" si="52"/>
        <v>5</v>
      </c>
      <c r="H462">
        <f t="shared" ca="1" si="53"/>
        <v>0</v>
      </c>
      <c r="I462">
        <f t="shared" ca="1" si="54"/>
        <v>5</v>
      </c>
      <c r="J462">
        <v>4.5</v>
      </c>
      <c r="K462">
        <v>4</v>
      </c>
      <c r="L462">
        <v>14</v>
      </c>
      <c r="M462" s="3">
        <f t="shared" ref="M462:N481" ca="1" si="55">DATE(2024,1,1) + RANDBETWEEN(0, DATE(2024,5,25) - DATE(2024,1,1))</f>
        <v>45435</v>
      </c>
      <c r="N462" s="3">
        <f t="shared" ca="1" si="55"/>
        <v>45306</v>
      </c>
      <c r="O462" s="3">
        <v>45331</v>
      </c>
    </row>
    <row r="463" spans="1:15" x14ac:dyDescent="0.3">
      <c r="A463" s="3">
        <v>45358</v>
      </c>
      <c r="B463" t="s">
        <v>80</v>
      </c>
      <c r="C463" t="s">
        <v>49</v>
      </c>
      <c r="D463" s="4" cm="1">
        <f t="array" aca="1" ref="D463" ca="1">IFERROR( _xlfn.XLOOKUP(B463, B$2:INDEX(B:B,ROW()-1), I$2:INDEX(I:I,ROW()-1), 0, 0, -1),0)</f>
        <v>7</v>
      </c>
      <c r="E463">
        <v>8</v>
      </c>
      <c r="F463">
        <f t="shared" ca="1" si="51"/>
        <v>1</v>
      </c>
      <c r="G463">
        <f t="shared" ca="1" si="52"/>
        <v>2</v>
      </c>
      <c r="H463">
        <f t="shared" ca="1" si="53"/>
        <v>0</v>
      </c>
      <c r="I463">
        <f t="shared" ca="1" si="54"/>
        <v>12</v>
      </c>
      <c r="J463">
        <v>2.5</v>
      </c>
      <c r="K463">
        <v>2</v>
      </c>
      <c r="L463">
        <v>5</v>
      </c>
      <c r="M463" s="3">
        <f t="shared" ca="1" si="55"/>
        <v>45310</v>
      </c>
      <c r="N463" s="3">
        <f t="shared" ca="1" si="55"/>
        <v>45316</v>
      </c>
      <c r="O463" s="3">
        <v>45391</v>
      </c>
    </row>
    <row r="464" spans="1:15" x14ac:dyDescent="0.3">
      <c r="A464" s="3">
        <v>45358</v>
      </c>
      <c r="B464" t="s">
        <v>61</v>
      </c>
      <c r="C464" t="s">
        <v>95</v>
      </c>
      <c r="D464" s="4" cm="1">
        <f t="array" aca="1" ref="D464" ca="1">IFERROR( _xlfn.XLOOKUP(B464, B$2:INDEX(B:B,ROW()-1), I$2:INDEX(I:I,ROW()-1), 0, 0, -1),0)</f>
        <v>3</v>
      </c>
      <c r="E464">
        <v>10</v>
      </c>
      <c r="F464">
        <f t="shared" ca="1" si="51"/>
        <v>8</v>
      </c>
      <c r="G464">
        <f t="shared" ca="1" si="52"/>
        <v>3</v>
      </c>
      <c r="H464">
        <f t="shared" ca="1" si="53"/>
        <v>0</v>
      </c>
      <c r="I464">
        <f t="shared" ca="1" si="54"/>
        <v>2</v>
      </c>
      <c r="J464">
        <v>4</v>
      </c>
      <c r="K464">
        <v>3.5</v>
      </c>
      <c r="L464">
        <v>10</v>
      </c>
      <c r="M464" s="3">
        <f t="shared" ca="1" si="55"/>
        <v>45348</v>
      </c>
      <c r="N464" s="3">
        <f t="shared" ca="1" si="55"/>
        <v>45344</v>
      </c>
      <c r="O464" s="3">
        <v>45391</v>
      </c>
    </row>
    <row r="465" spans="1:15" x14ac:dyDescent="0.3">
      <c r="A465" s="3">
        <v>45358</v>
      </c>
      <c r="B465" t="s">
        <v>21</v>
      </c>
      <c r="C465" t="s">
        <v>27</v>
      </c>
      <c r="D465" s="4" cm="1">
        <f t="array" aca="1" ref="D465" ca="1">IFERROR( _xlfn.XLOOKUP(B465, B$2:INDEX(B:B,ROW()-1), I$2:INDEX(I:I,ROW()-1), 0, 0, -1),0)</f>
        <v>7</v>
      </c>
      <c r="E465">
        <v>8</v>
      </c>
      <c r="F465">
        <f t="shared" ca="1" si="51"/>
        <v>4</v>
      </c>
      <c r="G465">
        <f t="shared" ca="1" si="52"/>
        <v>0</v>
      </c>
      <c r="H465">
        <f t="shared" ca="1" si="53"/>
        <v>6</v>
      </c>
      <c r="I465">
        <f t="shared" ca="1" si="54"/>
        <v>5</v>
      </c>
      <c r="J465">
        <v>4</v>
      </c>
      <c r="K465">
        <v>3</v>
      </c>
      <c r="L465">
        <v>14</v>
      </c>
      <c r="M465" s="3">
        <f t="shared" ca="1" si="55"/>
        <v>45376</v>
      </c>
      <c r="N465" s="3">
        <f t="shared" ca="1" si="55"/>
        <v>45341</v>
      </c>
      <c r="O465" s="3">
        <v>45405</v>
      </c>
    </row>
    <row r="466" spans="1:15" x14ac:dyDescent="0.3">
      <c r="A466" s="3">
        <v>45358</v>
      </c>
      <c r="B466" t="s">
        <v>55</v>
      </c>
      <c r="C466" t="s">
        <v>53</v>
      </c>
      <c r="D466" s="4" cm="1">
        <f t="array" aca="1" ref="D466" ca="1">IFERROR( _xlfn.XLOOKUP(B466, B$2:INDEX(B:B,ROW()-1), I$2:INDEX(I:I,ROW()-1), 0, 0, -1),0)</f>
        <v>1</v>
      </c>
      <c r="E466">
        <v>4</v>
      </c>
      <c r="F466">
        <f t="shared" ca="1" si="51"/>
        <v>0</v>
      </c>
      <c r="G466">
        <f t="shared" ca="1" si="52"/>
        <v>0</v>
      </c>
      <c r="H466">
        <f t="shared" ca="1" si="53"/>
        <v>1</v>
      </c>
      <c r="I466">
        <f t="shared" ca="1" si="54"/>
        <v>4</v>
      </c>
      <c r="J466">
        <v>8.5</v>
      </c>
      <c r="K466">
        <v>6</v>
      </c>
      <c r="L466">
        <v>7</v>
      </c>
      <c r="M466" s="3">
        <f t="shared" ca="1" si="55"/>
        <v>45398</v>
      </c>
      <c r="N466" s="3">
        <f t="shared" ca="1" si="55"/>
        <v>45374</v>
      </c>
      <c r="O466" s="3">
        <v>45353</v>
      </c>
    </row>
    <row r="467" spans="1:15" x14ac:dyDescent="0.3">
      <c r="A467" s="3">
        <v>45358</v>
      </c>
      <c r="B467" t="s">
        <v>56</v>
      </c>
      <c r="C467" t="s">
        <v>54</v>
      </c>
      <c r="D467" s="4" cm="1">
        <f t="array" aca="1" ref="D467" ca="1">IFERROR( _xlfn.XLOOKUP(B467, B$2:INDEX(B:B,ROW()-1), I$2:INDEX(I:I,ROW()-1), 0, 0, -1),0)</f>
        <v>3</v>
      </c>
      <c r="E467">
        <v>8</v>
      </c>
      <c r="F467">
        <f t="shared" ca="1" si="51"/>
        <v>6</v>
      </c>
      <c r="G467">
        <f t="shared" ca="1" si="52"/>
        <v>0</v>
      </c>
      <c r="H467">
        <f t="shared" ca="1" si="53"/>
        <v>3</v>
      </c>
      <c r="I467">
        <f t="shared" ca="1" si="54"/>
        <v>2</v>
      </c>
      <c r="J467">
        <v>6</v>
      </c>
      <c r="K467">
        <v>5.5</v>
      </c>
      <c r="L467">
        <v>20</v>
      </c>
      <c r="M467" s="3">
        <f t="shared" ca="1" si="55"/>
        <v>45408</v>
      </c>
      <c r="N467" s="3">
        <f t="shared" ca="1" si="55"/>
        <v>45302</v>
      </c>
      <c r="O467" s="3">
        <v>45365</v>
      </c>
    </row>
    <row r="468" spans="1:15" x14ac:dyDescent="0.3">
      <c r="A468" s="3">
        <v>45358</v>
      </c>
      <c r="B468" t="s">
        <v>90</v>
      </c>
      <c r="C468" t="s">
        <v>87</v>
      </c>
      <c r="D468" s="4" cm="1">
        <f t="array" aca="1" ref="D468" ca="1">IFERROR( _xlfn.XLOOKUP(B468, B$2:INDEX(B:B,ROW()-1), I$2:INDEX(I:I,ROW()-1), 0, 0, -1),0)</f>
        <v>5</v>
      </c>
      <c r="E468">
        <v>12</v>
      </c>
      <c r="F468">
        <f t="shared" ca="1" si="51"/>
        <v>3</v>
      </c>
      <c r="G468">
        <f t="shared" ca="1" si="52"/>
        <v>6</v>
      </c>
      <c r="H468">
        <f t="shared" ca="1" si="53"/>
        <v>1</v>
      </c>
      <c r="I468">
        <f t="shared" ca="1" si="54"/>
        <v>7</v>
      </c>
      <c r="J468">
        <v>4.5</v>
      </c>
      <c r="K468">
        <v>4</v>
      </c>
      <c r="L468">
        <v>14</v>
      </c>
      <c r="M468" s="3">
        <f t="shared" ca="1" si="55"/>
        <v>45293</v>
      </c>
      <c r="N468" s="3">
        <f t="shared" ca="1" si="55"/>
        <v>45383</v>
      </c>
      <c r="O468" s="3">
        <v>45386</v>
      </c>
    </row>
    <row r="469" spans="1:15" x14ac:dyDescent="0.3">
      <c r="A469" s="3">
        <v>45358</v>
      </c>
      <c r="B469" t="s">
        <v>79</v>
      </c>
      <c r="C469" t="s">
        <v>104</v>
      </c>
      <c r="D469" s="4" cm="1">
        <f t="array" aca="1" ref="D469" ca="1">IFERROR( _xlfn.XLOOKUP(B469, B$2:INDEX(B:B,ROW()-1), I$2:INDEX(I:I,ROW()-1), 0, 0, -1),0)</f>
        <v>4</v>
      </c>
      <c r="E469">
        <v>8</v>
      </c>
      <c r="F469">
        <f t="shared" ca="1" si="51"/>
        <v>2</v>
      </c>
      <c r="G469">
        <f t="shared" ca="1" si="52"/>
        <v>4</v>
      </c>
      <c r="H469">
        <f t="shared" ca="1" si="53"/>
        <v>3</v>
      </c>
      <c r="I469">
        <f t="shared" ca="1" si="54"/>
        <v>3</v>
      </c>
      <c r="J469">
        <v>2.5</v>
      </c>
      <c r="K469">
        <v>2</v>
      </c>
      <c r="L469">
        <v>5</v>
      </c>
      <c r="M469" s="3">
        <f t="shared" ca="1" si="55"/>
        <v>45308</v>
      </c>
      <c r="N469" s="3">
        <f t="shared" ca="1" si="55"/>
        <v>45406</v>
      </c>
      <c r="O469" s="3">
        <v>45356</v>
      </c>
    </row>
    <row r="470" spans="1:15" x14ac:dyDescent="0.3">
      <c r="A470" s="3">
        <v>45358</v>
      </c>
      <c r="B470" t="s">
        <v>66</v>
      </c>
      <c r="C470" t="s">
        <v>45</v>
      </c>
      <c r="D470" s="4" cm="1">
        <f t="array" aca="1" ref="D470" ca="1">IFERROR( _xlfn.XLOOKUP(B470, B$2:INDEX(B:B,ROW()-1), I$2:INDEX(I:I,ROW()-1), 0, 0, -1),0)</f>
        <v>6</v>
      </c>
      <c r="E470">
        <v>8</v>
      </c>
      <c r="F470">
        <f t="shared" ca="1" si="51"/>
        <v>4</v>
      </c>
      <c r="G470">
        <f t="shared" ca="1" si="52"/>
        <v>0</v>
      </c>
      <c r="H470">
        <f t="shared" ca="1" si="53"/>
        <v>0</v>
      </c>
      <c r="I470">
        <f t="shared" ca="1" si="54"/>
        <v>10</v>
      </c>
      <c r="J470">
        <v>3.5</v>
      </c>
      <c r="K470">
        <v>3</v>
      </c>
      <c r="L470">
        <v>8</v>
      </c>
      <c r="M470" s="3">
        <f t="shared" ca="1" si="55"/>
        <v>45397</v>
      </c>
      <c r="N470" s="3">
        <f t="shared" ca="1" si="55"/>
        <v>45324</v>
      </c>
      <c r="O470" s="3">
        <v>45394</v>
      </c>
    </row>
    <row r="471" spans="1:15" x14ac:dyDescent="0.3">
      <c r="A471" s="3">
        <v>45359</v>
      </c>
      <c r="B471" t="s">
        <v>22</v>
      </c>
      <c r="C471" t="s">
        <v>26</v>
      </c>
      <c r="D471" s="4" cm="1">
        <f t="array" aca="1" ref="D471" ca="1">IFERROR( _xlfn.XLOOKUP(B471, B$2:INDEX(B:B,ROW()-1), I$2:INDEX(I:I,ROW()-1), 0, 0, -1),0)</f>
        <v>2</v>
      </c>
      <c r="E471">
        <v>12</v>
      </c>
      <c r="F471">
        <f t="shared" ca="1" si="51"/>
        <v>0</v>
      </c>
      <c r="G471">
        <f t="shared" ca="1" si="52"/>
        <v>4</v>
      </c>
      <c r="H471">
        <f t="shared" ca="1" si="53"/>
        <v>3</v>
      </c>
      <c r="I471">
        <f t="shared" ca="1" si="54"/>
        <v>7</v>
      </c>
      <c r="J471">
        <v>3.5</v>
      </c>
      <c r="K471">
        <v>3</v>
      </c>
      <c r="L471">
        <v>14</v>
      </c>
      <c r="M471" s="3">
        <f t="shared" ca="1" si="55"/>
        <v>45308</v>
      </c>
      <c r="N471" s="3">
        <f t="shared" ca="1" si="55"/>
        <v>45380</v>
      </c>
      <c r="O471" s="3">
        <v>45301</v>
      </c>
    </row>
    <row r="472" spans="1:15" x14ac:dyDescent="0.3">
      <c r="A472" s="3">
        <v>45359</v>
      </c>
      <c r="B472" t="s">
        <v>68</v>
      </c>
      <c r="C472" t="s">
        <v>43</v>
      </c>
      <c r="D472" s="4" cm="1">
        <f t="array" aca="1" ref="D472" ca="1">IFERROR( _xlfn.XLOOKUP(B472, B$2:INDEX(B:B,ROW()-1), I$2:INDEX(I:I,ROW()-1), 0, 0, -1),0)</f>
        <v>16</v>
      </c>
      <c r="E472">
        <v>15</v>
      </c>
      <c r="F472">
        <f t="shared" ca="1" si="51"/>
        <v>6</v>
      </c>
      <c r="G472">
        <f t="shared" ca="1" si="52"/>
        <v>3</v>
      </c>
      <c r="H472">
        <f t="shared" ca="1" si="53"/>
        <v>4</v>
      </c>
      <c r="I472">
        <f t="shared" ca="1" si="54"/>
        <v>18</v>
      </c>
      <c r="J472">
        <v>4</v>
      </c>
      <c r="K472">
        <v>3</v>
      </c>
      <c r="L472">
        <v>14</v>
      </c>
      <c r="M472" s="3">
        <f t="shared" ca="1" si="55"/>
        <v>45366</v>
      </c>
      <c r="N472" s="3">
        <f t="shared" ca="1" si="55"/>
        <v>45362</v>
      </c>
      <c r="O472" s="3">
        <v>45436</v>
      </c>
    </row>
    <row r="473" spans="1:15" x14ac:dyDescent="0.3">
      <c r="A473" s="3">
        <v>45359</v>
      </c>
      <c r="B473" t="s">
        <v>10</v>
      </c>
      <c r="C473" t="s">
        <v>18</v>
      </c>
      <c r="D473" s="4" cm="1">
        <f t="array" aca="1" ref="D473" ca="1">IFERROR( _xlfn.XLOOKUP(B473, B$2:INDEX(B:B,ROW()-1), I$2:INDEX(I:I,ROW()-1), 0, 0, -1),0)</f>
        <v>4</v>
      </c>
      <c r="E473">
        <v>10</v>
      </c>
      <c r="F473">
        <f t="shared" ca="1" si="51"/>
        <v>8</v>
      </c>
      <c r="G473">
        <f t="shared" ca="1" si="52"/>
        <v>2</v>
      </c>
      <c r="H473">
        <f t="shared" ca="1" si="53"/>
        <v>0</v>
      </c>
      <c r="I473">
        <f t="shared" ca="1" si="54"/>
        <v>4</v>
      </c>
      <c r="J473">
        <v>5.5</v>
      </c>
      <c r="K473">
        <v>4.5</v>
      </c>
      <c r="L473">
        <v>7</v>
      </c>
      <c r="M473" s="3">
        <f t="shared" ca="1" si="55"/>
        <v>45304</v>
      </c>
      <c r="N473" s="3">
        <f t="shared" ca="1" si="55"/>
        <v>45307</v>
      </c>
      <c r="O473" s="3">
        <v>45397</v>
      </c>
    </row>
    <row r="474" spans="1:15" x14ac:dyDescent="0.3">
      <c r="A474" s="3">
        <v>45359</v>
      </c>
      <c r="B474" t="s">
        <v>34</v>
      </c>
      <c r="C474" t="s">
        <v>30</v>
      </c>
      <c r="D474" s="4" cm="1">
        <f t="array" aca="1" ref="D474" ca="1">IFERROR( _xlfn.XLOOKUP(B474, B$2:INDEX(B:B,ROW()-1), I$2:INDEX(I:I,ROW()-1), 0, 0, -1),0)</f>
        <v>1</v>
      </c>
      <c r="E474">
        <v>6</v>
      </c>
      <c r="F474">
        <f t="shared" ca="1" si="51"/>
        <v>0</v>
      </c>
      <c r="G474">
        <f t="shared" ca="1" si="52"/>
        <v>1</v>
      </c>
      <c r="H474">
        <f t="shared" ca="1" si="53"/>
        <v>0</v>
      </c>
      <c r="I474">
        <f t="shared" ca="1" si="54"/>
        <v>6</v>
      </c>
      <c r="J474">
        <v>3.5</v>
      </c>
      <c r="K474">
        <v>3</v>
      </c>
      <c r="L474">
        <v>10</v>
      </c>
      <c r="M474" s="3">
        <f t="shared" ca="1" si="55"/>
        <v>45375</v>
      </c>
      <c r="N474" s="3">
        <f t="shared" ca="1" si="55"/>
        <v>45345</v>
      </c>
      <c r="O474" s="3">
        <v>45383</v>
      </c>
    </row>
    <row r="475" spans="1:15" x14ac:dyDescent="0.3">
      <c r="A475" s="3">
        <v>45359</v>
      </c>
      <c r="B475" t="s">
        <v>58</v>
      </c>
      <c r="C475" t="s">
        <v>76</v>
      </c>
      <c r="D475" s="4" cm="1">
        <f t="array" aca="1" ref="D475" ca="1">IFERROR( _xlfn.XLOOKUP(B475, B$2:INDEX(B:B,ROW()-1), I$2:INDEX(I:I,ROW()-1), 0, 0, -1),0)</f>
        <v>9</v>
      </c>
      <c r="E475">
        <v>15</v>
      </c>
      <c r="F475">
        <f t="shared" ca="1" si="51"/>
        <v>9</v>
      </c>
      <c r="G475">
        <f t="shared" ca="1" si="52"/>
        <v>5</v>
      </c>
      <c r="H475">
        <f t="shared" ca="1" si="53"/>
        <v>6</v>
      </c>
      <c r="I475">
        <f t="shared" ca="1" si="54"/>
        <v>4</v>
      </c>
      <c r="J475">
        <v>6</v>
      </c>
      <c r="K475">
        <v>5.5</v>
      </c>
      <c r="L475">
        <v>20</v>
      </c>
      <c r="M475" s="3">
        <f t="shared" ca="1" si="55"/>
        <v>45324</v>
      </c>
      <c r="N475" s="3">
        <f t="shared" ca="1" si="55"/>
        <v>45381</v>
      </c>
      <c r="O475" s="3">
        <v>45354</v>
      </c>
    </row>
    <row r="476" spans="1:15" x14ac:dyDescent="0.3">
      <c r="A476" s="3">
        <v>45359</v>
      </c>
      <c r="B476" t="s">
        <v>34</v>
      </c>
      <c r="C476" t="s">
        <v>30</v>
      </c>
      <c r="D476" s="4" cm="1">
        <f t="array" aca="1" ref="D476" ca="1">IFERROR( _xlfn.XLOOKUP(B476, B$2:INDEX(B:B,ROW()-1), I$2:INDEX(I:I,ROW()-1), 0, 0, -1),0)</f>
        <v>6</v>
      </c>
      <c r="E476">
        <v>6</v>
      </c>
      <c r="F476">
        <f t="shared" ca="1" si="51"/>
        <v>4</v>
      </c>
      <c r="G476">
        <f t="shared" ca="1" si="52"/>
        <v>4</v>
      </c>
      <c r="H476">
        <f t="shared" ca="1" si="53"/>
        <v>0</v>
      </c>
      <c r="I476">
        <f t="shared" ca="1" si="54"/>
        <v>4</v>
      </c>
      <c r="J476">
        <v>3.5</v>
      </c>
      <c r="K476">
        <v>3</v>
      </c>
      <c r="L476">
        <v>10</v>
      </c>
      <c r="M476" s="3">
        <f t="shared" ca="1" si="55"/>
        <v>45313</v>
      </c>
      <c r="N476" s="3">
        <f t="shared" ca="1" si="55"/>
        <v>45370</v>
      </c>
      <c r="O476" s="3">
        <v>45390</v>
      </c>
    </row>
    <row r="477" spans="1:15" x14ac:dyDescent="0.3">
      <c r="A477" s="3">
        <v>45359</v>
      </c>
      <c r="B477" t="s">
        <v>36</v>
      </c>
      <c r="C477" t="s">
        <v>33</v>
      </c>
      <c r="D477" s="4" cm="1">
        <f t="array" aca="1" ref="D477" ca="1">IFERROR( _xlfn.XLOOKUP(B477, B$2:INDEX(B:B,ROW()-1), I$2:INDEX(I:I,ROW()-1), 0, 0, -1),0)</f>
        <v>3</v>
      </c>
      <c r="E477">
        <v>12</v>
      </c>
      <c r="F477">
        <f t="shared" ca="1" si="51"/>
        <v>0</v>
      </c>
      <c r="G477">
        <f t="shared" ca="1" si="52"/>
        <v>9</v>
      </c>
      <c r="H477">
        <f t="shared" ca="1" si="53"/>
        <v>3</v>
      </c>
      <c r="I477">
        <f t="shared" ca="1" si="54"/>
        <v>3</v>
      </c>
      <c r="J477">
        <v>3.5</v>
      </c>
      <c r="K477">
        <v>3</v>
      </c>
      <c r="L477">
        <v>14</v>
      </c>
      <c r="M477" s="3">
        <f t="shared" ca="1" si="55"/>
        <v>45353</v>
      </c>
      <c r="N477" s="3">
        <f t="shared" ca="1" si="55"/>
        <v>45393</v>
      </c>
      <c r="O477" s="3">
        <v>45323</v>
      </c>
    </row>
    <row r="478" spans="1:15" x14ac:dyDescent="0.3">
      <c r="A478" s="3">
        <v>45360</v>
      </c>
      <c r="B478" t="s">
        <v>84</v>
      </c>
      <c r="C478" t="s">
        <v>101</v>
      </c>
      <c r="D478" s="4" cm="1">
        <f t="array" aca="1" ref="D478" ca="1">IFERROR( _xlfn.XLOOKUP(B478, B$2:INDEX(B:B,ROW()-1), I$2:INDEX(I:I,ROW()-1), 0, 0, -1),0)</f>
        <v>3</v>
      </c>
      <c r="E478">
        <v>8</v>
      </c>
      <c r="F478">
        <f t="shared" ca="1" si="51"/>
        <v>6</v>
      </c>
      <c r="G478">
        <f t="shared" ca="1" si="52"/>
        <v>1</v>
      </c>
      <c r="H478">
        <f t="shared" ca="1" si="53"/>
        <v>0</v>
      </c>
      <c r="I478">
        <f t="shared" ca="1" si="54"/>
        <v>4</v>
      </c>
      <c r="J478">
        <v>3.5</v>
      </c>
      <c r="K478">
        <v>3</v>
      </c>
      <c r="L478">
        <v>8</v>
      </c>
      <c r="M478" s="3">
        <f t="shared" ca="1" si="55"/>
        <v>45293</v>
      </c>
      <c r="N478" s="3">
        <f t="shared" ca="1" si="55"/>
        <v>45434</v>
      </c>
      <c r="O478" s="3">
        <v>45429</v>
      </c>
    </row>
    <row r="479" spans="1:15" x14ac:dyDescent="0.3">
      <c r="A479" s="3">
        <v>45360</v>
      </c>
      <c r="B479" t="s">
        <v>81</v>
      </c>
      <c r="C479" t="s">
        <v>50</v>
      </c>
      <c r="D479" s="4" cm="1">
        <f t="array" aca="1" ref="D479" ca="1">IFERROR( _xlfn.XLOOKUP(B479, B$2:INDEX(B:B,ROW()-1), I$2:INDEX(I:I,ROW()-1), 0, 0, -1),0)</f>
        <v>2</v>
      </c>
      <c r="E479">
        <v>8</v>
      </c>
      <c r="F479">
        <f t="shared" ca="1" si="51"/>
        <v>0</v>
      </c>
      <c r="G479">
        <f t="shared" ca="1" si="52"/>
        <v>2</v>
      </c>
      <c r="H479">
        <f t="shared" ca="1" si="53"/>
        <v>5</v>
      </c>
      <c r="I479">
        <f t="shared" ca="1" si="54"/>
        <v>3</v>
      </c>
      <c r="J479">
        <v>2.5</v>
      </c>
      <c r="K479">
        <v>2</v>
      </c>
      <c r="L479">
        <v>5</v>
      </c>
      <c r="M479" s="3">
        <f t="shared" ca="1" si="55"/>
        <v>45402</v>
      </c>
      <c r="N479" s="3">
        <f t="shared" ca="1" si="55"/>
        <v>45300</v>
      </c>
      <c r="O479" s="3">
        <v>45404</v>
      </c>
    </row>
    <row r="480" spans="1:15" x14ac:dyDescent="0.3">
      <c r="A480" s="3">
        <v>45360</v>
      </c>
      <c r="B480" t="s">
        <v>83</v>
      </c>
      <c r="C480" t="s">
        <v>100</v>
      </c>
      <c r="D480" s="4" cm="1">
        <f t="array" aca="1" ref="D480" ca="1">IFERROR( _xlfn.XLOOKUP(B480, B$2:INDEX(B:B,ROW()-1), I$2:INDEX(I:I,ROW()-1), 0, 0, -1),0)</f>
        <v>3</v>
      </c>
      <c r="E480">
        <v>10</v>
      </c>
      <c r="F480">
        <f t="shared" ca="1" si="51"/>
        <v>6</v>
      </c>
      <c r="G480">
        <f t="shared" ca="1" si="52"/>
        <v>1</v>
      </c>
      <c r="H480">
        <f t="shared" ca="1" si="53"/>
        <v>2</v>
      </c>
      <c r="I480">
        <f t="shared" ca="1" si="54"/>
        <v>4</v>
      </c>
      <c r="J480">
        <v>4.5</v>
      </c>
      <c r="K480">
        <v>4</v>
      </c>
      <c r="L480">
        <v>10</v>
      </c>
      <c r="M480" s="3">
        <f t="shared" ca="1" si="55"/>
        <v>45406</v>
      </c>
      <c r="N480" s="3">
        <f t="shared" ca="1" si="55"/>
        <v>45294</v>
      </c>
      <c r="O480" s="3">
        <v>45318</v>
      </c>
    </row>
    <row r="481" spans="1:15" x14ac:dyDescent="0.3">
      <c r="A481" s="3">
        <v>45360</v>
      </c>
      <c r="B481" t="s">
        <v>57</v>
      </c>
      <c r="C481" t="s">
        <v>75</v>
      </c>
      <c r="D481" s="4" cm="1">
        <f t="array" aca="1" ref="D481" ca="1">IFERROR( _xlfn.XLOOKUP(B481, B$2:INDEX(B:B,ROW()-1), I$2:INDEX(I:I,ROW()-1), 0, 0, -1),0)</f>
        <v>2</v>
      </c>
      <c r="E481">
        <v>8</v>
      </c>
      <c r="F481">
        <f t="shared" ca="1" si="51"/>
        <v>4</v>
      </c>
      <c r="G481">
        <f t="shared" ca="1" si="52"/>
        <v>1</v>
      </c>
      <c r="H481">
        <f t="shared" ca="1" si="53"/>
        <v>1</v>
      </c>
      <c r="I481">
        <f t="shared" ca="1" si="54"/>
        <v>4</v>
      </c>
      <c r="J481">
        <v>6</v>
      </c>
      <c r="K481">
        <v>5.5</v>
      </c>
      <c r="L481">
        <v>20</v>
      </c>
      <c r="M481" s="3">
        <f t="shared" ca="1" si="55"/>
        <v>45396</v>
      </c>
      <c r="N481" s="3">
        <f t="shared" ca="1" si="55"/>
        <v>45430</v>
      </c>
      <c r="O481" s="3">
        <v>45352</v>
      </c>
    </row>
    <row r="482" spans="1:15" x14ac:dyDescent="0.3">
      <c r="A482" s="3">
        <v>45361</v>
      </c>
      <c r="B482" t="s">
        <v>64</v>
      </c>
      <c r="C482" t="s">
        <v>42</v>
      </c>
      <c r="D482" s="4" cm="1">
        <f t="array" aca="1" ref="D482" ca="1">IFERROR( _xlfn.XLOOKUP(B482, B$2:INDEX(B:B,ROW()-1), I$2:INDEX(I:I,ROW()-1), 0, 0, -1),0)</f>
        <v>5</v>
      </c>
      <c r="E482">
        <v>8</v>
      </c>
      <c r="F482">
        <f t="shared" ca="1" si="51"/>
        <v>4</v>
      </c>
      <c r="G482">
        <f t="shared" ca="1" si="52"/>
        <v>5</v>
      </c>
      <c r="H482">
        <f t="shared" ca="1" si="53"/>
        <v>2</v>
      </c>
      <c r="I482">
        <f t="shared" ca="1" si="54"/>
        <v>2</v>
      </c>
      <c r="J482">
        <v>3.5</v>
      </c>
      <c r="K482">
        <v>3</v>
      </c>
      <c r="L482">
        <v>8</v>
      </c>
      <c r="M482" s="3">
        <f t="shared" ref="M482:N501" ca="1" si="56">DATE(2024,1,1) + RANDBETWEEN(0, DATE(2024,5,25) - DATE(2024,1,1))</f>
        <v>45381</v>
      </c>
      <c r="N482" s="3">
        <f t="shared" ca="1" si="56"/>
        <v>45330</v>
      </c>
      <c r="O482" s="3">
        <v>45385</v>
      </c>
    </row>
    <row r="483" spans="1:15" x14ac:dyDescent="0.3">
      <c r="A483" s="3">
        <v>45361</v>
      </c>
      <c r="B483" t="s">
        <v>92</v>
      </c>
      <c r="C483" t="s">
        <v>91</v>
      </c>
      <c r="D483" s="4" cm="1">
        <f t="array" aca="1" ref="D483" ca="1">IFERROR( _xlfn.XLOOKUP(B483, B$2:INDEX(B:B,ROW()-1), I$2:INDEX(I:I,ROW()-1), 0, 0, -1),0)</f>
        <v>4</v>
      </c>
      <c r="E483">
        <v>6</v>
      </c>
      <c r="F483">
        <f t="shared" ca="1" si="51"/>
        <v>6</v>
      </c>
      <c r="G483">
        <f t="shared" ca="1" si="52"/>
        <v>0</v>
      </c>
      <c r="H483">
        <f t="shared" ca="1" si="53"/>
        <v>1</v>
      </c>
      <c r="I483">
        <f t="shared" ca="1" si="54"/>
        <v>3</v>
      </c>
      <c r="J483">
        <v>4.5</v>
      </c>
      <c r="K483">
        <v>4</v>
      </c>
      <c r="L483">
        <v>14</v>
      </c>
      <c r="M483" s="3">
        <f t="shared" ca="1" si="56"/>
        <v>45430</v>
      </c>
      <c r="N483" s="3">
        <f t="shared" ca="1" si="56"/>
        <v>45429</v>
      </c>
      <c r="O483" s="3">
        <v>45391</v>
      </c>
    </row>
    <row r="484" spans="1:15" x14ac:dyDescent="0.3">
      <c r="A484" s="3">
        <v>45361</v>
      </c>
      <c r="B484" t="s">
        <v>81</v>
      </c>
      <c r="C484" t="s">
        <v>50</v>
      </c>
      <c r="D484" s="4" cm="1">
        <f t="array" aca="1" ref="D484" ca="1">IFERROR( _xlfn.XLOOKUP(B484, B$2:INDEX(B:B,ROW()-1), I$2:INDEX(I:I,ROW()-1), 0, 0, -1),0)</f>
        <v>3</v>
      </c>
      <c r="E484">
        <v>8</v>
      </c>
      <c r="F484">
        <f t="shared" ca="1" si="51"/>
        <v>6</v>
      </c>
      <c r="G484">
        <f t="shared" ca="1" si="52"/>
        <v>2</v>
      </c>
      <c r="H484">
        <f t="shared" ca="1" si="53"/>
        <v>2</v>
      </c>
      <c r="I484">
        <f t="shared" ca="1" si="54"/>
        <v>1</v>
      </c>
      <c r="J484">
        <v>2.5</v>
      </c>
      <c r="K484">
        <v>2</v>
      </c>
      <c r="L484">
        <v>5</v>
      </c>
      <c r="M484" s="3">
        <f t="shared" ca="1" si="56"/>
        <v>45325</v>
      </c>
      <c r="N484" s="3">
        <f t="shared" ca="1" si="56"/>
        <v>45396</v>
      </c>
      <c r="O484" s="3">
        <v>45318</v>
      </c>
    </row>
    <row r="485" spans="1:15" x14ac:dyDescent="0.3">
      <c r="A485" s="3">
        <v>45361</v>
      </c>
      <c r="B485" t="s">
        <v>35</v>
      </c>
      <c r="C485" t="s">
        <v>31</v>
      </c>
      <c r="D485" s="4" cm="1">
        <f t="array" aca="1" ref="D485" ca="1">IFERROR( _xlfn.XLOOKUP(B485, B$2:INDEX(B:B,ROW()-1), I$2:INDEX(I:I,ROW()-1), 0, 0, -1),0)</f>
        <v>5</v>
      </c>
      <c r="E485">
        <v>8</v>
      </c>
      <c r="F485">
        <f t="shared" ca="1" si="51"/>
        <v>8</v>
      </c>
      <c r="G485">
        <f t="shared" ca="1" si="52"/>
        <v>1</v>
      </c>
      <c r="H485">
        <f t="shared" ca="1" si="53"/>
        <v>1</v>
      </c>
      <c r="I485">
        <f t="shared" ca="1" si="54"/>
        <v>3</v>
      </c>
      <c r="J485">
        <v>3.5</v>
      </c>
      <c r="K485">
        <v>3</v>
      </c>
      <c r="L485">
        <v>14</v>
      </c>
      <c r="M485" s="3">
        <f t="shared" ca="1" si="56"/>
        <v>45379</v>
      </c>
      <c r="N485" s="3">
        <f t="shared" ca="1" si="56"/>
        <v>45335</v>
      </c>
      <c r="O485" s="3">
        <v>45322</v>
      </c>
    </row>
    <row r="486" spans="1:15" x14ac:dyDescent="0.3">
      <c r="A486" s="3">
        <v>45361</v>
      </c>
      <c r="B486" t="s">
        <v>80</v>
      </c>
      <c r="C486" t="s">
        <v>49</v>
      </c>
      <c r="D486" s="4" cm="1">
        <f t="array" aca="1" ref="D486" ca="1">IFERROR( _xlfn.XLOOKUP(B486, B$2:INDEX(B:B,ROW()-1), I$2:INDEX(I:I,ROW()-1), 0, 0, -1),0)</f>
        <v>12</v>
      </c>
      <c r="E486">
        <v>8</v>
      </c>
      <c r="F486">
        <f t="shared" ca="1" si="51"/>
        <v>0</v>
      </c>
      <c r="G486">
        <f t="shared" ca="1" si="52"/>
        <v>10</v>
      </c>
      <c r="H486">
        <f t="shared" ca="1" si="53"/>
        <v>2</v>
      </c>
      <c r="I486">
        <f t="shared" ca="1" si="54"/>
        <v>8</v>
      </c>
      <c r="J486">
        <v>2.5</v>
      </c>
      <c r="K486">
        <v>2</v>
      </c>
      <c r="L486">
        <v>5</v>
      </c>
      <c r="M486" s="3">
        <f t="shared" ca="1" si="56"/>
        <v>45379</v>
      </c>
      <c r="N486" s="3">
        <f t="shared" ca="1" si="56"/>
        <v>45384</v>
      </c>
      <c r="O486" s="3">
        <v>45327</v>
      </c>
    </row>
    <row r="487" spans="1:15" x14ac:dyDescent="0.3">
      <c r="A487" s="3">
        <v>45361</v>
      </c>
      <c r="B487" t="s">
        <v>41</v>
      </c>
      <c r="C487" t="s">
        <v>86</v>
      </c>
      <c r="D487" s="4" cm="1">
        <f t="array" aca="1" ref="D487" ca="1">IFERROR( _xlfn.XLOOKUP(B487, B$2:INDEX(B:B,ROW()-1), I$2:INDEX(I:I,ROW()-1), 0, 0, -1),0)</f>
        <v>9</v>
      </c>
      <c r="E487">
        <v>15</v>
      </c>
      <c r="F487">
        <f t="shared" ca="1" si="51"/>
        <v>8</v>
      </c>
      <c r="G487">
        <f t="shared" ca="1" si="52"/>
        <v>7</v>
      </c>
      <c r="H487">
        <f t="shared" ca="1" si="53"/>
        <v>4</v>
      </c>
      <c r="I487">
        <f t="shared" ca="1" si="54"/>
        <v>5</v>
      </c>
      <c r="J487">
        <v>3</v>
      </c>
      <c r="K487">
        <v>2.5</v>
      </c>
      <c r="L487">
        <v>14</v>
      </c>
      <c r="M487" s="3">
        <f t="shared" ca="1" si="56"/>
        <v>45391</v>
      </c>
      <c r="N487" s="3">
        <f t="shared" ca="1" si="56"/>
        <v>45300</v>
      </c>
      <c r="O487" s="3">
        <v>45342</v>
      </c>
    </row>
    <row r="488" spans="1:15" x14ac:dyDescent="0.3">
      <c r="A488" s="3">
        <v>45361</v>
      </c>
      <c r="B488" t="s">
        <v>61</v>
      </c>
      <c r="C488" t="s">
        <v>95</v>
      </c>
      <c r="D488" s="4" cm="1">
        <f t="array" aca="1" ref="D488" ca="1">IFERROR( _xlfn.XLOOKUP(B488, B$2:INDEX(B:B,ROW()-1), I$2:INDEX(I:I,ROW()-1), 0, 0, -1),0)</f>
        <v>2</v>
      </c>
      <c r="E488">
        <v>10</v>
      </c>
      <c r="F488">
        <f t="shared" ca="1" si="51"/>
        <v>2</v>
      </c>
      <c r="G488">
        <f t="shared" ca="1" si="52"/>
        <v>3</v>
      </c>
      <c r="H488">
        <f t="shared" ca="1" si="53"/>
        <v>2</v>
      </c>
      <c r="I488">
        <f t="shared" ca="1" si="54"/>
        <v>5</v>
      </c>
      <c r="J488">
        <v>4</v>
      </c>
      <c r="K488">
        <v>3.5</v>
      </c>
      <c r="L488">
        <v>10</v>
      </c>
      <c r="M488" s="3">
        <f t="shared" ca="1" si="56"/>
        <v>45377</v>
      </c>
      <c r="N488" s="3">
        <f t="shared" ca="1" si="56"/>
        <v>45350</v>
      </c>
      <c r="O488" s="3">
        <v>45339</v>
      </c>
    </row>
    <row r="489" spans="1:15" x14ac:dyDescent="0.3">
      <c r="A489" s="3">
        <v>45361</v>
      </c>
      <c r="B489" t="s">
        <v>20</v>
      </c>
      <c r="C489" t="s">
        <v>25</v>
      </c>
      <c r="D489" s="4" cm="1">
        <f t="array" aca="1" ref="D489" ca="1">IFERROR( _xlfn.XLOOKUP(B489, B$2:INDEX(B:B,ROW()-1), I$2:INDEX(I:I,ROW()-1), 0, 0, -1),0)</f>
        <v>7</v>
      </c>
      <c r="E489">
        <v>10</v>
      </c>
      <c r="F489">
        <f t="shared" ca="1" si="51"/>
        <v>4</v>
      </c>
      <c r="G489">
        <f t="shared" ca="1" si="52"/>
        <v>4</v>
      </c>
      <c r="H489">
        <f t="shared" ca="1" si="53"/>
        <v>5</v>
      </c>
      <c r="I489">
        <f t="shared" ca="1" si="54"/>
        <v>4</v>
      </c>
      <c r="J489">
        <v>4.5</v>
      </c>
      <c r="K489">
        <v>4</v>
      </c>
      <c r="L489">
        <v>10</v>
      </c>
      <c r="M489" s="3">
        <f t="shared" ca="1" si="56"/>
        <v>45404</v>
      </c>
      <c r="N489" s="3">
        <f t="shared" ca="1" si="56"/>
        <v>45389</v>
      </c>
      <c r="O489" s="3">
        <v>45341</v>
      </c>
    </row>
    <row r="490" spans="1:15" x14ac:dyDescent="0.3">
      <c r="A490" s="3">
        <v>45361</v>
      </c>
      <c r="B490" t="s">
        <v>69</v>
      </c>
      <c r="C490" t="s">
        <v>98</v>
      </c>
      <c r="D490" s="4" cm="1">
        <f t="array" aca="1" ref="D490" ca="1">IFERROR( _xlfn.XLOOKUP(B490, B$2:INDEX(B:B,ROW()-1), I$2:INDEX(I:I,ROW()-1), 0, 0, -1),0)</f>
        <v>7</v>
      </c>
      <c r="E490">
        <v>6</v>
      </c>
      <c r="F490">
        <f t="shared" ca="1" si="51"/>
        <v>3</v>
      </c>
      <c r="G490">
        <f t="shared" ca="1" si="52"/>
        <v>2</v>
      </c>
      <c r="H490">
        <f t="shared" ca="1" si="53"/>
        <v>1</v>
      </c>
      <c r="I490">
        <f t="shared" ca="1" si="54"/>
        <v>7</v>
      </c>
      <c r="J490">
        <v>4</v>
      </c>
      <c r="K490">
        <v>3</v>
      </c>
      <c r="L490">
        <v>7</v>
      </c>
      <c r="M490" s="3">
        <f t="shared" ca="1" si="56"/>
        <v>45397</v>
      </c>
      <c r="N490" s="3">
        <f t="shared" ca="1" si="56"/>
        <v>45353</v>
      </c>
      <c r="O490" s="3">
        <v>45381</v>
      </c>
    </row>
    <row r="491" spans="1:15" x14ac:dyDescent="0.3">
      <c r="A491" s="3">
        <v>45361</v>
      </c>
      <c r="B491" t="s">
        <v>58</v>
      </c>
      <c r="C491" t="s">
        <v>76</v>
      </c>
      <c r="D491" s="4" cm="1">
        <f t="array" aca="1" ref="D491" ca="1">IFERROR( _xlfn.XLOOKUP(B491, B$2:INDEX(B:B,ROW()-1), I$2:INDEX(I:I,ROW()-1), 0, 0, -1),0)</f>
        <v>4</v>
      </c>
      <c r="E491">
        <v>15</v>
      </c>
      <c r="F491">
        <f t="shared" ca="1" si="51"/>
        <v>1</v>
      </c>
      <c r="G491">
        <f t="shared" ca="1" si="52"/>
        <v>6</v>
      </c>
      <c r="H491">
        <f t="shared" ca="1" si="53"/>
        <v>4</v>
      </c>
      <c r="I491">
        <f t="shared" ca="1" si="54"/>
        <v>8</v>
      </c>
      <c r="J491">
        <v>6</v>
      </c>
      <c r="K491">
        <v>5.5</v>
      </c>
      <c r="L491">
        <v>20</v>
      </c>
      <c r="M491" s="3">
        <f t="shared" ca="1" si="56"/>
        <v>45436</v>
      </c>
      <c r="N491" s="3">
        <f t="shared" ca="1" si="56"/>
        <v>45329</v>
      </c>
      <c r="O491" s="3">
        <v>45384</v>
      </c>
    </row>
    <row r="492" spans="1:15" x14ac:dyDescent="0.3">
      <c r="A492" s="3">
        <v>45361</v>
      </c>
      <c r="B492" t="s">
        <v>39</v>
      </c>
      <c r="C492" t="s">
        <v>32</v>
      </c>
      <c r="D492" s="4" cm="1">
        <f t="array" aca="1" ref="D492" ca="1">IFERROR( _xlfn.XLOOKUP(B492, B$2:INDEX(B:B,ROW()-1), I$2:INDEX(I:I,ROW()-1), 0, 0, -1),0)</f>
        <v>4</v>
      </c>
      <c r="E492">
        <v>12</v>
      </c>
      <c r="F492">
        <f t="shared" ca="1" si="51"/>
        <v>6</v>
      </c>
      <c r="G492">
        <f t="shared" ca="1" si="52"/>
        <v>3</v>
      </c>
      <c r="H492">
        <f t="shared" ca="1" si="53"/>
        <v>0</v>
      </c>
      <c r="I492">
        <f t="shared" ca="1" si="54"/>
        <v>7</v>
      </c>
      <c r="J492">
        <v>3.5</v>
      </c>
      <c r="K492">
        <v>3</v>
      </c>
      <c r="L492">
        <v>14</v>
      </c>
      <c r="M492" s="3">
        <f t="shared" ca="1" si="56"/>
        <v>45423</v>
      </c>
      <c r="N492" s="3">
        <f t="shared" ca="1" si="56"/>
        <v>45418</v>
      </c>
      <c r="O492" s="3">
        <v>45368</v>
      </c>
    </row>
    <row r="493" spans="1:15" x14ac:dyDescent="0.3">
      <c r="A493" s="3">
        <v>45362</v>
      </c>
      <c r="B493" t="s">
        <v>20</v>
      </c>
      <c r="C493" t="s">
        <v>25</v>
      </c>
      <c r="D493" s="4" cm="1">
        <f t="array" aca="1" ref="D493" ca="1">IFERROR( _xlfn.XLOOKUP(B493, B$2:INDEX(B:B,ROW()-1), I$2:INDEX(I:I,ROW()-1), 0, 0, -1),0)</f>
        <v>4</v>
      </c>
      <c r="E493">
        <v>10</v>
      </c>
      <c r="F493">
        <f t="shared" ca="1" si="51"/>
        <v>4</v>
      </c>
      <c r="G493">
        <f t="shared" ca="1" si="52"/>
        <v>2</v>
      </c>
      <c r="H493">
        <f t="shared" ca="1" si="53"/>
        <v>0</v>
      </c>
      <c r="I493">
        <f t="shared" ca="1" si="54"/>
        <v>8</v>
      </c>
      <c r="J493">
        <v>4.5</v>
      </c>
      <c r="K493">
        <v>4</v>
      </c>
      <c r="L493">
        <v>10</v>
      </c>
      <c r="M493" s="3">
        <f t="shared" ca="1" si="56"/>
        <v>45372</v>
      </c>
      <c r="N493" s="3">
        <f t="shared" ca="1" si="56"/>
        <v>45327</v>
      </c>
      <c r="O493" s="3">
        <v>45293</v>
      </c>
    </row>
    <row r="494" spans="1:15" x14ac:dyDescent="0.3">
      <c r="A494" s="3">
        <v>45362</v>
      </c>
      <c r="B494" t="s">
        <v>39</v>
      </c>
      <c r="C494" t="s">
        <v>32</v>
      </c>
      <c r="D494" s="4" cm="1">
        <f t="array" aca="1" ref="D494" ca="1">IFERROR( _xlfn.XLOOKUP(B494, B$2:INDEX(B:B,ROW()-1), I$2:INDEX(I:I,ROW()-1), 0, 0, -1),0)</f>
        <v>7</v>
      </c>
      <c r="E494">
        <v>12</v>
      </c>
      <c r="F494">
        <f t="shared" ca="1" si="51"/>
        <v>11</v>
      </c>
      <c r="G494">
        <f t="shared" ca="1" si="52"/>
        <v>0</v>
      </c>
      <c r="H494">
        <f t="shared" ca="1" si="53"/>
        <v>1</v>
      </c>
      <c r="I494">
        <f t="shared" ca="1" si="54"/>
        <v>7</v>
      </c>
      <c r="J494">
        <v>3.5</v>
      </c>
      <c r="K494">
        <v>3</v>
      </c>
      <c r="L494">
        <v>14</v>
      </c>
      <c r="M494" s="3">
        <f t="shared" ca="1" si="56"/>
        <v>45431</v>
      </c>
      <c r="N494" s="3">
        <f t="shared" ca="1" si="56"/>
        <v>45424</v>
      </c>
      <c r="O494" s="3">
        <v>45340</v>
      </c>
    </row>
    <row r="495" spans="1:15" x14ac:dyDescent="0.3">
      <c r="A495" s="3">
        <v>45362</v>
      </c>
      <c r="B495" t="s">
        <v>82</v>
      </c>
      <c r="C495" t="s">
        <v>73</v>
      </c>
      <c r="D495" s="4" cm="1">
        <f t="array" aca="1" ref="D495" ca="1">IFERROR( _xlfn.XLOOKUP(B495, B$2:INDEX(B:B,ROW()-1), I$2:INDEX(I:I,ROW()-1), 0, 0, -1),0)</f>
        <v>3</v>
      </c>
      <c r="E495">
        <v>8</v>
      </c>
      <c r="F495">
        <f t="shared" ca="1" si="51"/>
        <v>1</v>
      </c>
      <c r="G495">
        <f t="shared" ca="1" si="52"/>
        <v>6</v>
      </c>
      <c r="H495">
        <f t="shared" ca="1" si="53"/>
        <v>1</v>
      </c>
      <c r="I495">
        <f t="shared" ca="1" si="54"/>
        <v>3</v>
      </c>
      <c r="J495">
        <v>2.5</v>
      </c>
      <c r="K495">
        <v>2</v>
      </c>
      <c r="L495">
        <v>5</v>
      </c>
      <c r="M495" s="3">
        <f t="shared" ca="1" si="56"/>
        <v>45306</v>
      </c>
      <c r="N495" s="3">
        <f t="shared" ca="1" si="56"/>
        <v>45396</v>
      </c>
      <c r="O495" s="3">
        <v>45293</v>
      </c>
    </row>
    <row r="496" spans="1:15" x14ac:dyDescent="0.3">
      <c r="A496" s="3">
        <v>45362</v>
      </c>
      <c r="B496" t="s">
        <v>71</v>
      </c>
      <c r="C496" t="s">
        <v>47</v>
      </c>
      <c r="D496" s="4" cm="1">
        <f t="array" aca="1" ref="D496" ca="1">IFERROR( _xlfn.XLOOKUP(B496, B$2:INDEX(B:B,ROW()-1), I$2:INDEX(I:I,ROW()-1), 0, 0, -1),0)</f>
        <v>8</v>
      </c>
      <c r="E496">
        <v>6</v>
      </c>
      <c r="F496">
        <f t="shared" ca="1" si="51"/>
        <v>5</v>
      </c>
      <c r="G496">
        <f t="shared" ca="1" si="52"/>
        <v>0</v>
      </c>
      <c r="H496">
        <f t="shared" ca="1" si="53"/>
        <v>0</v>
      </c>
      <c r="I496">
        <f t="shared" ca="1" si="54"/>
        <v>9</v>
      </c>
      <c r="J496">
        <v>4</v>
      </c>
      <c r="K496">
        <v>3</v>
      </c>
      <c r="L496">
        <v>7</v>
      </c>
      <c r="M496" s="3">
        <f t="shared" ca="1" si="56"/>
        <v>45348</v>
      </c>
      <c r="N496" s="3">
        <f t="shared" ca="1" si="56"/>
        <v>45395</v>
      </c>
      <c r="O496" s="3">
        <v>45437</v>
      </c>
    </row>
    <row r="497" spans="1:15" x14ac:dyDescent="0.3">
      <c r="A497" s="3">
        <v>45362</v>
      </c>
      <c r="B497" t="s">
        <v>55</v>
      </c>
      <c r="C497" t="s">
        <v>53</v>
      </c>
      <c r="D497" s="4" cm="1">
        <f t="array" aca="1" ref="D497" ca="1">IFERROR( _xlfn.XLOOKUP(B497, B$2:INDEX(B:B,ROW()-1), I$2:INDEX(I:I,ROW()-1), 0, 0, -1),0)</f>
        <v>4</v>
      </c>
      <c r="E497">
        <v>4</v>
      </c>
      <c r="F497">
        <f t="shared" ca="1" si="51"/>
        <v>2</v>
      </c>
      <c r="G497">
        <f t="shared" ca="1" si="52"/>
        <v>1</v>
      </c>
      <c r="H497">
        <f t="shared" ca="1" si="53"/>
        <v>0</v>
      </c>
      <c r="I497">
        <f t="shared" ca="1" si="54"/>
        <v>5</v>
      </c>
      <c r="J497">
        <v>8.5</v>
      </c>
      <c r="K497">
        <v>6</v>
      </c>
      <c r="L497">
        <v>7</v>
      </c>
      <c r="M497" s="3">
        <f t="shared" ca="1" si="56"/>
        <v>45299</v>
      </c>
      <c r="N497" s="3">
        <f t="shared" ca="1" si="56"/>
        <v>45366</v>
      </c>
      <c r="O497" s="3">
        <v>45361</v>
      </c>
    </row>
    <row r="498" spans="1:15" x14ac:dyDescent="0.3">
      <c r="A498" s="3">
        <v>45363</v>
      </c>
      <c r="B498" t="s">
        <v>68</v>
      </c>
      <c r="C498" t="s">
        <v>43</v>
      </c>
      <c r="D498" s="4" cm="1">
        <f t="array" aca="1" ref="D498" ca="1">IFERROR( _xlfn.XLOOKUP(B498, B$2:INDEX(B:B,ROW()-1), I$2:INDEX(I:I,ROW()-1), 0, 0, -1),0)</f>
        <v>12</v>
      </c>
      <c r="E498">
        <v>15</v>
      </c>
      <c r="F498">
        <f t="shared" ca="1" si="51"/>
        <v>13</v>
      </c>
      <c r="G498">
        <f t="shared" ca="1" si="52"/>
        <v>7</v>
      </c>
      <c r="H498">
        <f t="shared" ca="1" si="53"/>
        <v>1</v>
      </c>
      <c r="I498">
        <f t="shared" ca="1" si="54"/>
        <v>6</v>
      </c>
      <c r="J498">
        <v>4</v>
      </c>
      <c r="K498">
        <v>3</v>
      </c>
      <c r="L498">
        <v>14</v>
      </c>
      <c r="M498" s="3">
        <f t="shared" ca="1" si="56"/>
        <v>45317</v>
      </c>
      <c r="N498" s="3">
        <f t="shared" ca="1" si="56"/>
        <v>45294</v>
      </c>
      <c r="O498" s="3">
        <v>45327</v>
      </c>
    </row>
    <row r="499" spans="1:15" x14ac:dyDescent="0.3">
      <c r="A499" s="3">
        <v>45363</v>
      </c>
      <c r="B499" t="s">
        <v>69</v>
      </c>
      <c r="C499" t="s">
        <v>98</v>
      </c>
      <c r="D499" s="4" cm="1">
        <f t="array" aca="1" ref="D499" ca="1">IFERROR( _xlfn.XLOOKUP(B499, B$2:INDEX(B:B,ROW()-1), I$2:INDEX(I:I,ROW()-1), 0, 0, -1),0)</f>
        <v>7</v>
      </c>
      <c r="E499">
        <v>6</v>
      </c>
      <c r="F499">
        <f t="shared" ca="1" si="51"/>
        <v>2</v>
      </c>
      <c r="G499">
        <f t="shared" ca="1" si="52"/>
        <v>6</v>
      </c>
      <c r="H499">
        <f t="shared" ca="1" si="53"/>
        <v>0</v>
      </c>
      <c r="I499">
        <f t="shared" ca="1" si="54"/>
        <v>5</v>
      </c>
      <c r="J499">
        <v>4</v>
      </c>
      <c r="K499">
        <v>3</v>
      </c>
      <c r="L499">
        <v>7</v>
      </c>
      <c r="M499" s="3">
        <f t="shared" ca="1" si="56"/>
        <v>45347</v>
      </c>
      <c r="N499" s="3">
        <f t="shared" ca="1" si="56"/>
        <v>45391</v>
      </c>
      <c r="O499" s="3">
        <v>45432</v>
      </c>
    </row>
    <row r="500" spans="1:15" x14ac:dyDescent="0.3">
      <c r="A500" s="3">
        <v>45363</v>
      </c>
      <c r="B500" t="s">
        <v>39</v>
      </c>
      <c r="C500" t="s">
        <v>32</v>
      </c>
      <c r="D500" s="4" cm="1">
        <f t="array" aca="1" ref="D500" ca="1">IFERROR( _xlfn.XLOOKUP(B500, B$2:INDEX(B:B,ROW()-1), I$2:INDEX(I:I,ROW()-1), 0, 0, -1),0)</f>
        <v>7</v>
      </c>
      <c r="E500">
        <v>12</v>
      </c>
      <c r="F500">
        <f t="shared" ca="1" si="51"/>
        <v>11</v>
      </c>
      <c r="G500">
        <f t="shared" ca="1" si="52"/>
        <v>5</v>
      </c>
      <c r="H500">
        <f t="shared" ca="1" si="53"/>
        <v>0</v>
      </c>
      <c r="I500">
        <f t="shared" ca="1" si="54"/>
        <v>3</v>
      </c>
      <c r="J500">
        <v>3.5</v>
      </c>
      <c r="K500">
        <v>3</v>
      </c>
      <c r="L500">
        <v>14</v>
      </c>
      <c r="M500" s="3">
        <f t="shared" ca="1" si="56"/>
        <v>45383</v>
      </c>
      <c r="N500" s="3">
        <f t="shared" ca="1" si="56"/>
        <v>45437</v>
      </c>
      <c r="O500" s="3">
        <v>45342</v>
      </c>
    </row>
    <row r="501" spans="1:15" x14ac:dyDescent="0.3">
      <c r="A501" s="3">
        <v>45363</v>
      </c>
      <c r="B501" t="s">
        <v>22</v>
      </c>
      <c r="C501" t="s">
        <v>26</v>
      </c>
      <c r="D501" s="4" cm="1">
        <f t="array" aca="1" ref="D501" ca="1">IFERROR( _xlfn.XLOOKUP(B501, B$2:INDEX(B:B,ROW()-1), I$2:INDEX(I:I,ROW()-1), 0, 0, -1),0)</f>
        <v>7</v>
      </c>
      <c r="E501">
        <v>12</v>
      </c>
      <c r="F501">
        <f t="shared" ca="1" si="51"/>
        <v>1</v>
      </c>
      <c r="G501">
        <f t="shared" ca="1" si="52"/>
        <v>1</v>
      </c>
      <c r="H501">
        <f t="shared" ca="1" si="53"/>
        <v>8</v>
      </c>
      <c r="I501">
        <f t="shared" ca="1" si="54"/>
        <v>9</v>
      </c>
      <c r="J501">
        <v>3.5</v>
      </c>
      <c r="K501">
        <v>3</v>
      </c>
      <c r="L501">
        <v>14</v>
      </c>
      <c r="M501" s="3">
        <f t="shared" ca="1" si="56"/>
        <v>45350</v>
      </c>
      <c r="N501" s="3">
        <f t="shared" ca="1" si="56"/>
        <v>45425</v>
      </c>
      <c r="O501" s="3">
        <v>45296</v>
      </c>
    </row>
    <row r="502" spans="1:15" x14ac:dyDescent="0.3">
      <c r="A502" s="3">
        <v>45363</v>
      </c>
      <c r="B502" t="s">
        <v>19</v>
      </c>
      <c r="C502" t="s">
        <v>17</v>
      </c>
      <c r="D502" s="4" cm="1">
        <f t="array" aca="1" ref="D502" ca="1">IFERROR( _xlfn.XLOOKUP(B502, B$2:INDEX(B:B,ROW()-1), I$2:INDEX(I:I,ROW()-1), 0, 0, -1),0)</f>
        <v>6</v>
      </c>
      <c r="E502">
        <v>10</v>
      </c>
      <c r="F502">
        <f t="shared" ca="1" si="51"/>
        <v>5</v>
      </c>
      <c r="G502">
        <f t="shared" ca="1" si="52"/>
        <v>6</v>
      </c>
      <c r="H502">
        <f t="shared" ca="1" si="53"/>
        <v>2</v>
      </c>
      <c r="I502">
        <f t="shared" ca="1" si="54"/>
        <v>3</v>
      </c>
      <c r="J502">
        <v>4.5</v>
      </c>
      <c r="K502">
        <v>4</v>
      </c>
      <c r="L502">
        <v>10</v>
      </c>
      <c r="M502" s="3">
        <f t="shared" ref="M502:N521" ca="1" si="57">DATE(2024,1,1) + RANDBETWEEN(0, DATE(2024,5,25) - DATE(2024,1,1))</f>
        <v>45351</v>
      </c>
      <c r="N502" s="3">
        <f t="shared" ca="1" si="57"/>
        <v>45332</v>
      </c>
      <c r="O502" s="3">
        <v>45298</v>
      </c>
    </row>
    <row r="503" spans="1:15" x14ac:dyDescent="0.3">
      <c r="A503" s="3">
        <v>45363</v>
      </c>
      <c r="B503" t="s">
        <v>36</v>
      </c>
      <c r="C503" t="s">
        <v>33</v>
      </c>
      <c r="D503" s="4" cm="1">
        <f t="array" aca="1" ref="D503" ca="1">IFERROR( _xlfn.XLOOKUP(B503, B$2:INDEX(B:B,ROW()-1), I$2:INDEX(I:I,ROW()-1), 0, 0, -1),0)</f>
        <v>3</v>
      </c>
      <c r="E503">
        <v>12</v>
      </c>
      <c r="F503">
        <f t="shared" ca="1" si="51"/>
        <v>9</v>
      </c>
      <c r="G503">
        <f t="shared" ca="1" si="52"/>
        <v>2</v>
      </c>
      <c r="H503">
        <f t="shared" ca="1" si="53"/>
        <v>2</v>
      </c>
      <c r="I503">
        <f t="shared" ca="1" si="54"/>
        <v>2</v>
      </c>
      <c r="J503">
        <v>3.5</v>
      </c>
      <c r="K503">
        <v>3</v>
      </c>
      <c r="L503">
        <v>14</v>
      </c>
      <c r="M503" s="3">
        <f t="shared" ca="1" si="57"/>
        <v>45352</v>
      </c>
      <c r="N503" s="3">
        <f t="shared" ca="1" si="57"/>
        <v>45326</v>
      </c>
      <c r="O503" s="3">
        <v>45369</v>
      </c>
    </row>
    <row r="504" spans="1:15" x14ac:dyDescent="0.3">
      <c r="A504" s="3">
        <v>45363</v>
      </c>
      <c r="B504" t="s">
        <v>61</v>
      </c>
      <c r="C504" t="s">
        <v>95</v>
      </c>
      <c r="D504" s="4" cm="1">
        <f t="array" aca="1" ref="D504" ca="1">IFERROR( _xlfn.XLOOKUP(B504, B$2:INDEX(B:B,ROW()-1), I$2:INDEX(I:I,ROW()-1), 0, 0, -1),0)</f>
        <v>5</v>
      </c>
      <c r="E504">
        <v>10</v>
      </c>
      <c r="F504">
        <f t="shared" ca="1" si="51"/>
        <v>5</v>
      </c>
      <c r="G504">
        <f t="shared" ca="1" si="52"/>
        <v>2</v>
      </c>
      <c r="H504">
        <f t="shared" ca="1" si="53"/>
        <v>2</v>
      </c>
      <c r="I504">
        <f t="shared" ca="1" si="54"/>
        <v>6</v>
      </c>
      <c r="J504">
        <v>4</v>
      </c>
      <c r="K504">
        <v>3.5</v>
      </c>
      <c r="L504">
        <v>10</v>
      </c>
      <c r="M504" s="3">
        <f t="shared" ca="1" si="57"/>
        <v>45370</v>
      </c>
      <c r="N504" s="3">
        <f t="shared" ca="1" si="57"/>
        <v>45429</v>
      </c>
      <c r="O504" s="3">
        <v>45425</v>
      </c>
    </row>
    <row r="505" spans="1:15" x14ac:dyDescent="0.3">
      <c r="A505" s="3">
        <v>45363</v>
      </c>
      <c r="B505" t="s">
        <v>60</v>
      </c>
      <c r="C505" t="s">
        <v>94</v>
      </c>
      <c r="D505" s="4" cm="1">
        <f t="array" aca="1" ref="D505" ca="1">IFERROR( _xlfn.XLOOKUP(B505, B$2:INDEX(B:B,ROW()-1), I$2:INDEX(I:I,ROW()-1), 0, 0, -1),0)</f>
        <v>3</v>
      </c>
      <c r="E505">
        <v>10</v>
      </c>
      <c r="F505">
        <f t="shared" ca="1" si="51"/>
        <v>2</v>
      </c>
      <c r="G505">
        <f t="shared" ca="1" si="52"/>
        <v>0</v>
      </c>
      <c r="H505">
        <f t="shared" ca="1" si="53"/>
        <v>7</v>
      </c>
      <c r="I505">
        <f t="shared" ca="1" si="54"/>
        <v>4</v>
      </c>
      <c r="J505">
        <v>4</v>
      </c>
      <c r="K505">
        <v>3.5</v>
      </c>
      <c r="L505">
        <v>10</v>
      </c>
      <c r="M505" s="3">
        <f t="shared" ca="1" si="57"/>
        <v>45319</v>
      </c>
      <c r="N505" s="3">
        <f t="shared" ca="1" si="57"/>
        <v>45311</v>
      </c>
      <c r="O505" s="3">
        <v>45311</v>
      </c>
    </row>
    <row r="506" spans="1:15" x14ac:dyDescent="0.3">
      <c r="A506" s="3">
        <v>45364</v>
      </c>
      <c r="B506" t="s">
        <v>22</v>
      </c>
      <c r="C506" t="s">
        <v>26</v>
      </c>
      <c r="D506" s="4" cm="1">
        <f t="array" aca="1" ref="D506" ca="1">IFERROR( _xlfn.XLOOKUP(B506, B$2:INDEX(B:B,ROW()-1), I$2:INDEX(I:I,ROW()-1), 0, 0, -1),0)</f>
        <v>9</v>
      </c>
      <c r="E506">
        <v>12</v>
      </c>
      <c r="F506">
        <f t="shared" ca="1" si="51"/>
        <v>8</v>
      </c>
      <c r="G506">
        <f t="shared" ca="1" si="52"/>
        <v>8</v>
      </c>
      <c r="H506">
        <f t="shared" ca="1" si="53"/>
        <v>3</v>
      </c>
      <c r="I506">
        <f t="shared" ca="1" si="54"/>
        <v>2</v>
      </c>
      <c r="J506">
        <v>3.5</v>
      </c>
      <c r="K506">
        <v>3</v>
      </c>
      <c r="L506">
        <v>14</v>
      </c>
      <c r="M506" s="3">
        <f t="shared" ca="1" si="57"/>
        <v>45417</v>
      </c>
      <c r="N506" s="3">
        <f t="shared" ca="1" si="57"/>
        <v>45435</v>
      </c>
      <c r="O506" s="3">
        <v>45431</v>
      </c>
    </row>
    <row r="507" spans="1:15" x14ac:dyDescent="0.3">
      <c r="A507" s="3">
        <v>45364</v>
      </c>
      <c r="B507" t="s">
        <v>60</v>
      </c>
      <c r="C507" t="s">
        <v>94</v>
      </c>
      <c r="D507" s="4" cm="1">
        <f t="array" aca="1" ref="D507" ca="1">IFERROR( _xlfn.XLOOKUP(B507, B$2:INDEX(B:B,ROW()-1), I$2:INDEX(I:I,ROW()-1), 0, 0, -1),0)</f>
        <v>4</v>
      </c>
      <c r="E507">
        <v>10</v>
      </c>
      <c r="F507">
        <f t="shared" ca="1" si="51"/>
        <v>2</v>
      </c>
      <c r="G507">
        <f t="shared" ca="1" si="52"/>
        <v>2</v>
      </c>
      <c r="H507">
        <f t="shared" ca="1" si="53"/>
        <v>5</v>
      </c>
      <c r="I507">
        <f t="shared" ca="1" si="54"/>
        <v>5</v>
      </c>
      <c r="J507">
        <v>4</v>
      </c>
      <c r="K507">
        <v>3.5</v>
      </c>
      <c r="L507">
        <v>10</v>
      </c>
      <c r="M507" s="3">
        <f t="shared" ca="1" si="57"/>
        <v>45320</v>
      </c>
      <c r="N507" s="3">
        <f t="shared" ca="1" si="57"/>
        <v>45401</v>
      </c>
      <c r="O507" s="3">
        <v>45376</v>
      </c>
    </row>
    <row r="508" spans="1:15" x14ac:dyDescent="0.3">
      <c r="A508" s="3">
        <v>45364</v>
      </c>
      <c r="B508" t="s">
        <v>19</v>
      </c>
      <c r="C508" t="s">
        <v>17</v>
      </c>
      <c r="D508" s="4" cm="1">
        <f t="array" aca="1" ref="D508" ca="1">IFERROR( _xlfn.XLOOKUP(B508, B$2:INDEX(B:B,ROW()-1), I$2:INDEX(I:I,ROW()-1), 0, 0, -1),0)</f>
        <v>3</v>
      </c>
      <c r="E508">
        <v>10</v>
      </c>
      <c r="F508">
        <f t="shared" ca="1" si="51"/>
        <v>3</v>
      </c>
      <c r="G508">
        <f t="shared" ca="1" si="52"/>
        <v>5</v>
      </c>
      <c r="H508">
        <f t="shared" ca="1" si="53"/>
        <v>3</v>
      </c>
      <c r="I508">
        <f t="shared" ca="1" si="54"/>
        <v>2</v>
      </c>
      <c r="J508">
        <v>4.5</v>
      </c>
      <c r="K508">
        <v>4</v>
      </c>
      <c r="L508">
        <v>10</v>
      </c>
      <c r="M508" s="3">
        <f t="shared" ca="1" si="57"/>
        <v>45312</v>
      </c>
      <c r="N508" s="3">
        <f t="shared" ca="1" si="57"/>
        <v>45368</v>
      </c>
      <c r="O508" s="3">
        <v>45397</v>
      </c>
    </row>
    <row r="509" spans="1:15" x14ac:dyDescent="0.3">
      <c r="A509" s="3">
        <v>45364</v>
      </c>
      <c r="B509" t="s">
        <v>81</v>
      </c>
      <c r="C509" t="s">
        <v>50</v>
      </c>
      <c r="D509" s="4" cm="1">
        <f t="array" aca="1" ref="D509" ca="1">IFERROR( _xlfn.XLOOKUP(B509, B$2:INDEX(B:B,ROW()-1), I$2:INDEX(I:I,ROW()-1), 0, 0, -1),0)</f>
        <v>1</v>
      </c>
      <c r="E509">
        <v>8</v>
      </c>
      <c r="F509">
        <f t="shared" ca="1" si="51"/>
        <v>4</v>
      </c>
      <c r="G509">
        <f t="shared" ca="1" si="52"/>
        <v>3</v>
      </c>
      <c r="H509">
        <f t="shared" ca="1" si="53"/>
        <v>0</v>
      </c>
      <c r="I509">
        <f t="shared" ca="1" si="54"/>
        <v>2</v>
      </c>
      <c r="J509">
        <v>2.5</v>
      </c>
      <c r="K509">
        <v>2</v>
      </c>
      <c r="L509">
        <v>5</v>
      </c>
      <c r="M509" s="3">
        <f t="shared" ca="1" si="57"/>
        <v>45397</v>
      </c>
      <c r="N509" s="3">
        <f t="shared" ca="1" si="57"/>
        <v>45414</v>
      </c>
      <c r="O509" s="3">
        <v>45303</v>
      </c>
    </row>
    <row r="510" spans="1:15" x14ac:dyDescent="0.3">
      <c r="A510" s="3">
        <v>45364</v>
      </c>
      <c r="B510" t="s">
        <v>90</v>
      </c>
      <c r="C510" t="s">
        <v>87</v>
      </c>
      <c r="D510" s="4" cm="1">
        <f t="array" aca="1" ref="D510" ca="1">IFERROR( _xlfn.XLOOKUP(B510, B$2:INDEX(B:B,ROW()-1), I$2:INDEX(I:I,ROW()-1), 0, 0, -1),0)</f>
        <v>7</v>
      </c>
      <c r="E510">
        <v>12</v>
      </c>
      <c r="F510">
        <f t="shared" ca="1" si="51"/>
        <v>4</v>
      </c>
      <c r="G510">
        <f t="shared" ca="1" si="52"/>
        <v>4</v>
      </c>
      <c r="H510">
        <f t="shared" ca="1" si="53"/>
        <v>5</v>
      </c>
      <c r="I510">
        <f t="shared" ca="1" si="54"/>
        <v>6</v>
      </c>
      <c r="J510">
        <v>4.5</v>
      </c>
      <c r="K510">
        <v>4</v>
      </c>
      <c r="L510">
        <v>14</v>
      </c>
      <c r="M510" s="3">
        <f t="shared" ca="1" si="57"/>
        <v>45313</v>
      </c>
      <c r="N510" s="3">
        <f t="shared" ca="1" si="57"/>
        <v>45377</v>
      </c>
      <c r="O510" s="3">
        <v>45331</v>
      </c>
    </row>
    <row r="511" spans="1:15" x14ac:dyDescent="0.3">
      <c r="A511" s="3">
        <v>45364</v>
      </c>
      <c r="B511" t="s">
        <v>79</v>
      </c>
      <c r="C511" t="s">
        <v>104</v>
      </c>
      <c r="D511" s="4" cm="1">
        <f t="array" aca="1" ref="D511" ca="1">IFERROR( _xlfn.XLOOKUP(B511, B$2:INDEX(B:B,ROW()-1), I$2:INDEX(I:I,ROW()-1), 0, 0, -1),0)</f>
        <v>3</v>
      </c>
      <c r="E511">
        <v>8</v>
      </c>
      <c r="F511">
        <f t="shared" ca="1" si="51"/>
        <v>0</v>
      </c>
      <c r="G511">
        <f t="shared" ca="1" si="52"/>
        <v>5</v>
      </c>
      <c r="H511">
        <f t="shared" ca="1" si="53"/>
        <v>2</v>
      </c>
      <c r="I511">
        <f t="shared" ca="1" si="54"/>
        <v>4</v>
      </c>
      <c r="J511">
        <v>2.5</v>
      </c>
      <c r="K511">
        <v>2</v>
      </c>
      <c r="L511">
        <v>5</v>
      </c>
      <c r="M511" s="3">
        <f t="shared" ca="1" si="57"/>
        <v>45373</v>
      </c>
      <c r="N511" s="3">
        <f t="shared" ca="1" si="57"/>
        <v>45372</v>
      </c>
      <c r="O511" s="3">
        <v>45362</v>
      </c>
    </row>
    <row r="512" spans="1:15" x14ac:dyDescent="0.3">
      <c r="A512" s="3">
        <v>45364</v>
      </c>
      <c r="B512" t="s">
        <v>88</v>
      </c>
      <c r="C512" t="s">
        <v>102</v>
      </c>
      <c r="D512" s="4" cm="1">
        <f t="array" aca="1" ref="D512" ca="1">IFERROR( _xlfn.XLOOKUP(B512, B$2:INDEX(B:B,ROW()-1), I$2:INDEX(I:I,ROW()-1), 0, 0, -1),0)</f>
        <v>4</v>
      </c>
      <c r="E512">
        <v>8</v>
      </c>
      <c r="F512">
        <f t="shared" ca="1" si="51"/>
        <v>6</v>
      </c>
      <c r="G512">
        <f t="shared" ca="1" si="52"/>
        <v>3</v>
      </c>
      <c r="H512">
        <f t="shared" ca="1" si="53"/>
        <v>0</v>
      </c>
      <c r="I512">
        <f t="shared" ca="1" si="54"/>
        <v>3</v>
      </c>
      <c r="J512">
        <v>3.5</v>
      </c>
      <c r="K512">
        <v>3</v>
      </c>
      <c r="L512">
        <v>8</v>
      </c>
      <c r="M512" s="3">
        <f t="shared" ca="1" si="57"/>
        <v>45372</v>
      </c>
      <c r="N512" s="3">
        <f t="shared" ca="1" si="57"/>
        <v>45348</v>
      </c>
      <c r="O512" s="3">
        <v>45413</v>
      </c>
    </row>
    <row r="513" spans="1:15" x14ac:dyDescent="0.3">
      <c r="A513" s="3">
        <v>45364</v>
      </c>
      <c r="B513" t="s">
        <v>84</v>
      </c>
      <c r="C513" t="s">
        <v>101</v>
      </c>
      <c r="D513" s="4" cm="1">
        <f t="array" aca="1" ref="D513" ca="1">IFERROR( _xlfn.XLOOKUP(B513, B$2:INDEX(B:B,ROW()-1), I$2:INDEX(I:I,ROW()-1), 0, 0, -1),0)</f>
        <v>4</v>
      </c>
      <c r="E513">
        <v>8</v>
      </c>
      <c r="F513">
        <f t="shared" ca="1" si="51"/>
        <v>4</v>
      </c>
      <c r="G513">
        <f t="shared" ca="1" si="52"/>
        <v>1</v>
      </c>
      <c r="H513">
        <f t="shared" ca="1" si="53"/>
        <v>4</v>
      </c>
      <c r="I513">
        <f t="shared" ca="1" si="54"/>
        <v>3</v>
      </c>
      <c r="J513">
        <v>3.5</v>
      </c>
      <c r="K513">
        <v>3</v>
      </c>
      <c r="L513">
        <v>8</v>
      </c>
      <c r="M513" s="3">
        <f t="shared" ca="1" si="57"/>
        <v>45325</v>
      </c>
      <c r="N513" s="3">
        <f t="shared" ca="1" si="57"/>
        <v>45357</v>
      </c>
      <c r="O513" s="3">
        <v>45413</v>
      </c>
    </row>
    <row r="514" spans="1:15" x14ac:dyDescent="0.3">
      <c r="A514" s="3">
        <v>45365</v>
      </c>
      <c r="B514" t="s">
        <v>92</v>
      </c>
      <c r="C514" t="s">
        <v>91</v>
      </c>
      <c r="D514" s="4" cm="1">
        <f t="array" aca="1" ref="D514" ca="1">IFERROR( _xlfn.XLOOKUP(B514, B$2:INDEX(B:B,ROW()-1), I$2:INDEX(I:I,ROW()-1), 0, 0, -1),0)</f>
        <v>3</v>
      </c>
      <c r="E514">
        <v>6</v>
      </c>
      <c r="F514">
        <f t="shared" ref="F514:F577" ca="1" si="58">RANDBETWEEN(0, ROUND((D514+E514)*0.6,0))</f>
        <v>4</v>
      </c>
      <c r="G514">
        <f t="shared" ref="G514:G577" ca="1" si="59">RANDBETWEEN(0,ROUND((D514+E514-F514)*0.6,0))</f>
        <v>1</v>
      </c>
      <c r="H514">
        <f t="shared" ref="H514:H577" ca="1" si="60">RANDBETWEEN(0,ROUND((D514+E514-F514-G514)*0.6,0))</f>
        <v>0</v>
      </c>
      <c r="I514">
        <f t="shared" ref="I514:I577" ca="1" si="61">D514+E514-F514-G514-H514</f>
        <v>4</v>
      </c>
      <c r="J514">
        <v>4.5</v>
      </c>
      <c r="K514">
        <v>4</v>
      </c>
      <c r="L514">
        <v>14</v>
      </c>
      <c r="M514" s="3">
        <f t="shared" ca="1" si="57"/>
        <v>45315</v>
      </c>
      <c r="N514" s="3">
        <f t="shared" ca="1" si="57"/>
        <v>45398</v>
      </c>
      <c r="O514" s="3">
        <v>45422</v>
      </c>
    </row>
    <row r="515" spans="1:15" x14ac:dyDescent="0.3">
      <c r="A515" s="3">
        <v>45365</v>
      </c>
      <c r="B515" t="s">
        <v>65</v>
      </c>
      <c r="C515" t="s">
        <v>44</v>
      </c>
      <c r="D515" s="4" cm="1">
        <f t="array" aca="1" ref="D515" ca="1">IFERROR( _xlfn.XLOOKUP(B515, B$2:INDEX(B:B,ROW()-1), I$2:INDEX(I:I,ROW()-1), 0, 0, -1),0)</f>
        <v>9</v>
      </c>
      <c r="E515">
        <v>10</v>
      </c>
      <c r="F515">
        <f t="shared" ca="1" si="58"/>
        <v>2</v>
      </c>
      <c r="G515">
        <f t="shared" ca="1" si="59"/>
        <v>6</v>
      </c>
      <c r="H515">
        <f t="shared" ca="1" si="60"/>
        <v>3</v>
      </c>
      <c r="I515">
        <f t="shared" ca="1" si="61"/>
        <v>8</v>
      </c>
      <c r="J515">
        <v>3.5</v>
      </c>
      <c r="K515">
        <v>3</v>
      </c>
      <c r="L515">
        <v>8</v>
      </c>
      <c r="M515" s="3">
        <f t="shared" ca="1" si="57"/>
        <v>45306</v>
      </c>
      <c r="N515" s="3">
        <f t="shared" ca="1" si="57"/>
        <v>45409</v>
      </c>
      <c r="O515" s="3">
        <v>45430</v>
      </c>
    </row>
    <row r="516" spans="1:15" x14ac:dyDescent="0.3">
      <c r="A516" s="3">
        <v>45365</v>
      </c>
      <c r="B516" t="s">
        <v>38</v>
      </c>
      <c r="C516" t="s">
        <v>52</v>
      </c>
      <c r="D516" s="4" cm="1">
        <f t="array" aca="1" ref="D516" ca="1">IFERROR( _xlfn.XLOOKUP(B516, B$2:INDEX(B:B,ROW()-1), I$2:INDEX(I:I,ROW()-1), 0, 0, -1),0)</f>
        <v>5</v>
      </c>
      <c r="E516">
        <v>12</v>
      </c>
      <c r="F516">
        <f t="shared" ca="1" si="58"/>
        <v>3</v>
      </c>
      <c r="G516">
        <f t="shared" ca="1" si="59"/>
        <v>3</v>
      </c>
      <c r="H516">
        <f t="shared" ca="1" si="60"/>
        <v>2</v>
      </c>
      <c r="I516">
        <f t="shared" ca="1" si="61"/>
        <v>9</v>
      </c>
      <c r="J516">
        <v>3.5</v>
      </c>
      <c r="K516">
        <v>3</v>
      </c>
      <c r="L516">
        <v>14</v>
      </c>
      <c r="M516" s="3">
        <f t="shared" ca="1" si="57"/>
        <v>45324</v>
      </c>
      <c r="N516" s="3">
        <f t="shared" ca="1" si="57"/>
        <v>45369</v>
      </c>
      <c r="O516" s="3">
        <v>45340</v>
      </c>
    </row>
    <row r="517" spans="1:15" x14ac:dyDescent="0.3">
      <c r="A517" s="3">
        <v>45365</v>
      </c>
      <c r="B517" t="s">
        <v>16</v>
      </c>
      <c r="C517" t="s">
        <v>77</v>
      </c>
      <c r="D517" s="4" cm="1">
        <f t="array" aca="1" ref="D517" ca="1">IFERROR( _xlfn.XLOOKUP(B517, B$2:INDEX(B:B,ROW()-1), I$2:INDEX(I:I,ROW()-1), 0, 0, -1),0)</f>
        <v>4</v>
      </c>
      <c r="E517">
        <v>10</v>
      </c>
      <c r="F517">
        <f t="shared" ca="1" si="58"/>
        <v>8</v>
      </c>
      <c r="G517">
        <f t="shared" ca="1" si="59"/>
        <v>1</v>
      </c>
      <c r="H517">
        <f t="shared" ca="1" si="60"/>
        <v>0</v>
      </c>
      <c r="I517">
        <f t="shared" ca="1" si="61"/>
        <v>5</v>
      </c>
      <c r="J517">
        <v>5.5</v>
      </c>
      <c r="K517">
        <v>4.5</v>
      </c>
      <c r="L517">
        <v>7</v>
      </c>
      <c r="M517" s="3">
        <f t="shared" ca="1" si="57"/>
        <v>45325</v>
      </c>
      <c r="N517" s="3">
        <f t="shared" ca="1" si="57"/>
        <v>45354</v>
      </c>
      <c r="O517" s="3">
        <v>45381</v>
      </c>
    </row>
    <row r="518" spans="1:15" x14ac:dyDescent="0.3">
      <c r="A518" s="3">
        <v>45365</v>
      </c>
      <c r="B518" t="s">
        <v>92</v>
      </c>
      <c r="C518" t="s">
        <v>91</v>
      </c>
      <c r="D518" s="4" cm="1">
        <f t="array" aca="1" ref="D518" ca="1">IFERROR( _xlfn.XLOOKUP(B518, B$2:INDEX(B:B,ROW()-1), I$2:INDEX(I:I,ROW()-1), 0, 0, -1),0)</f>
        <v>4</v>
      </c>
      <c r="E518">
        <v>6</v>
      </c>
      <c r="F518">
        <f t="shared" ca="1" si="58"/>
        <v>2</v>
      </c>
      <c r="G518">
        <f t="shared" ca="1" si="59"/>
        <v>4</v>
      </c>
      <c r="H518">
        <f t="shared" ca="1" si="60"/>
        <v>1</v>
      </c>
      <c r="I518">
        <f t="shared" ca="1" si="61"/>
        <v>3</v>
      </c>
      <c r="J518">
        <v>4.5</v>
      </c>
      <c r="K518">
        <v>4</v>
      </c>
      <c r="L518">
        <v>14</v>
      </c>
      <c r="M518" s="3">
        <f t="shared" ca="1" si="57"/>
        <v>45305</v>
      </c>
      <c r="N518" s="3">
        <f t="shared" ca="1" si="57"/>
        <v>45360</v>
      </c>
      <c r="O518" s="3">
        <v>45435</v>
      </c>
    </row>
    <row r="519" spans="1:15" x14ac:dyDescent="0.3">
      <c r="A519" s="3">
        <v>45365</v>
      </c>
      <c r="B519" t="s">
        <v>66</v>
      </c>
      <c r="C519" t="s">
        <v>45</v>
      </c>
      <c r="D519" s="4" cm="1">
        <f t="array" aca="1" ref="D519" ca="1">IFERROR( _xlfn.XLOOKUP(B519, B$2:INDEX(B:B,ROW()-1), I$2:INDEX(I:I,ROW()-1), 0, 0, -1),0)</f>
        <v>10</v>
      </c>
      <c r="E519">
        <v>8</v>
      </c>
      <c r="F519">
        <f t="shared" ca="1" si="58"/>
        <v>10</v>
      </c>
      <c r="G519">
        <f t="shared" ca="1" si="59"/>
        <v>3</v>
      </c>
      <c r="H519">
        <f t="shared" ca="1" si="60"/>
        <v>1</v>
      </c>
      <c r="I519">
        <f t="shared" ca="1" si="61"/>
        <v>4</v>
      </c>
      <c r="J519">
        <v>3.5</v>
      </c>
      <c r="K519">
        <v>3</v>
      </c>
      <c r="L519">
        <v>8</v>
      </c>
      <c r="M519" s="3">
        <f t="shared" ca="1" si="57"/>
        <v>45362</v>
      </c>
      <c r="N519" s="3">
        <f t="shared" ca="1" si="57"/>
        <v>45402</v>
      </c>
      <c r="O519" s="3">
        <v>45391</v>
      </c>
    </row>
    <row r="520" spans="1:15" x14ac:dyDescent="0.3">
      <c r="A520" s="3">
        <v>45365</v>
      </c>
      <c r="B520" t="s">
        <v>59</v>
      </c>
      <c r="C520" t="s">
        <v>93</v>
      </c>
      <c r="D520" s="4" cm="1">
        <f t="array" aca="1" ref="D520" ca="1">IFERROR( _xlfn.XLOOKUP(B520, B$2:INDEX(B:B,ROW()-1), I$2:INDEX(I:I,ROW()-1), 0, 0, -1),0)</f>
        <v>5</v>
      </c>
      <c r="E520">
        <v>10</v>
      </c>
      <c r="F520">
        <f t="shared" ca="1" si="58"/>
        <v>8</v>
      </c>
      <c r="G520">
        <f t="shared" ca="1" si="59"/>
        <v>0</v>
      </c>
      <c r="H520">
        <f t="shared" ca="1" si="60"/>
        <v>1</v>
      </c>
      <c r="I520">
        <f t="shared" ca="1" si="61"/>
        <v>6</v>
      </c>
      <c r="J520">
        <v>4</v>
      </c>
      <c r="K520">
        <v>3.5</v>
      </c>
      <c r="L520">
        <v>10</v>
      </c>
      <c r="M520" s="3">
        <f t="shared" ca="1" si="57"/>
        <v>45388</v>
      </c>
      <c r="N520" s="3">
        <f t="shared" ca="1" si="57"/>
        <v>45373</v>
      </c>
      <c r="O520" s="3">
        <v>45356</v>
      </c>
    </row>
    <row r="521" spans="1:15" x14ac:dyDescent="0.3">
      <c r="A521" s="3">
        <v>45366</v>
      </c>
      <c r="B521" t="s">
        <v>63</v>
      </c>
      <c r="C521" t="s">
        <v>97</v>
      </c>
      <c r="D521" s="4" cm="1">
        <f t="array" aca="1" ref="D521" ca="1">IFERROR( _xlfn.XLOOKUP(B521, B$2:INDEX(B:B,ROW()-1), I$2:INDEX(I:I,ROW()-1), 0, 0, -1),0)</f>
        <v>6</v>
      </c>
      <c r="E521">
        <v>10</v>
      </c>
      <c r="F521">
        <f t="shared" ca="1" si="58"/>
        <v>8</v>
      </c>
      <c r="G521">
        <f t="shared" ca="1" si="59"/>
        <v>5</v>
      </c>
      <c r="H521">
        <f t="shared" ca="1" si="60"/>
        <v>2</v>
      </c>
      <c r="I521">
        <f t="shared" ca="1" si="61"/>
        <v>1</v>
      </c>
      <c r="J521">
        <v>4</v>
      </c>
      <c r="K521">
        <v>3.5</v>
      </c>
      <c r="L521">
        <v>10</v>
      </c>
      <c r="M521" s="3">
        <f t="shared" ca="1" si="57"/>
        <v>45317</v>
      </c>
      <c r="N521" s="3">
        <f t="shared" ca="1" si="57"/>
        <v>45327</v>
      </c>
      <c r="O521" s="3">
        <v>45324</v>
      </c>
    </row>
    <row r="522" spans="1:15" x14ac:dyDescent="0.3">
      <c r="A522" s="3">
        <v>45366</v>
      </c>
      <c r="B522" t="s">
        <v>57</v>
      </c>
      <c r="C522" t="s">
        <v>75</v>
      </c>
      <c r="D522" s="4" cm="1">
        <f t="array" aca="1" ref="D522" ca="1">IFERROR( _xlfn.XLOOKUP(B522, B$2:INDEX(B:B,ROW()-1), I$2:INDEX(I:I,ROW()-1), 0, 0, -1),0)</f>
        <v>4</v>
      </c>
      <c r="E522">
        <v>8</v>
      </c>
      <c r="F522">
        <f t="shared" ca="1" si="58"/>
        <v>3</v>
      </c>
      <c r="G522">
        <f t="shared" ca="1" si="59"/>
        <v>2</v>
      </c>
      <c r="H522">
        <f t="shared" ca="1" si="60"/>
        <v>0</v>
      </c>
      <c r="I522">
        <f t="shared" ca="1" si="61"/>
        <v>7</v>
      </c>
      <c r="J522">
        <v>6</v>
      </c>
      <c r="K522">
        <v>5.5</v>
      </c>
      <c r="L522">
        <v>20</v>
      </c>
      <c r="M522" s="3">
        <f t="shared" ref="M522:N541" ca="1" si="62">DATE(2024,1,1) + RANDBETWEEN(0, DATE(2024,5,25) - DATE(2024,1,1))</f>
        <v>45359</v>
      </c>
      <c r="N522" s="3">
        <f t="shared" ca="1" si="62"/>
        <v>45334</v>
      </c>
      <c r="O522" s="3">
        <v>45399</v>
      </c>
    </row>
    <row r="523" spans="1:15" x14ac:dyDescent="0.3">
      <c r="A523" s="3">
        <v>45366</v>
      </c>
      <c r="B523" t="s">
        <v>20</v>
      </c>
      <c r="C523" t="s">
        <v>25</v>
      </c>
      <c r="D523" s="4" cm="1">
        <f t="array" aca="1" ref="D523" ca="1">IFERROR( _xlfn.XLOOKUP(B523, B$2:INDEX(B:B,ROW()-1), I$2:INDEX(I:I,ROW()-1), 0, 0, -1),0)</f>
        <v>8</v>
      </c>
      <c r="E523">
        <v>10</v>
      </c>
      <c r="F523">
        <f t="shared" ca="1" si="58"/>
        <v>10</v>
      </c>
      <c r="G523">
        <f t="shared" ca="1" si="59"/>
        <v>5</v>
      </c>
      <c r="H523">
        <f t="shared" ca="1" si="60"/>
        <v>2</v>
      </c>
      <c r="I523">
        <f t="shared" ca="1" si="61"/>
        <v>1</v>
      </c>
      <c r="J523">
        <v>4.5</v>
      </c>
      <c r="K523">
        <v>4</v>
      </c>
      <c r="L523">
        <v>10</v>
      </c>
      <c r="M523" s="3">
        <f t="shared" ca="1" si="62"/>
        <v>45315</v>
      </c>
      <c r="N523" s="3">
        <f t="shared" ca="1" si="62"/>
        <v>45298</v>
      </c>
      <c r="O523" s="3">
        <v>45435</v>
      </c>
    </row>
    <row r="524" spans="1:15" x14ac:dyDescent="0.3">
      <c r="A524" s="3">
        <v>45366</v>
      </c>
      <c r="B524" t="s">
        <v>89</v>
      </c>
      <c r="C524" t="s">
        <v>103</v>
      </c>
      <c r="D524" s="4" cm="1">
        <f t="array" aca="1" ref="D524" ca="1">IFERROR( _xlfn.XLOOKUP(B524, B$2:INDEX(B:B,ROW()-1), I$2:INDEX(I:I,ROW()-1), 0, 0, -1),0)</f>
        <v>4</v>
      </c>
      <c r="E524">
        <v>8</v>
      </c>
      <c r="F524">
        <f t="shared" ca="1" si="58"/>
        <v>3</v>
      </c>
      <c r="G524">
        <f t="shared" ca="1" si="59"/>
        <v>5</v>
      </c>
      <c r="H524">
        <f t="shared" ca="1" si="60"/>
        <v>1</v>
      </c>
      <c r="I524">
        <f t="shared" ca="1" si="61"/>
        <v>3</v>
      </c>
      <c r="J524">
        <v>3.5</v>
      </c>
      <c r="K524">
        <v>3</v>
      </c>
      <c r="L524">
        <v>8</v>
      </c>
      <c r="M524" s="3">
        <f t="shared" ca="1" si="62"/>
        <v>45384</v>
      </c>
      <c r="N524" s="3">
        <f t="shared" ca="1" si="62"/>
        <v>45348</v>
      </c>
      <c r="O524" s="3">
        <v>45403</v>
      </c>
    </row>
    <row r="525" spans="1:15" x14ac:dyDescent="0.3">
      <c r="A525" s="3">
        <v>45366</v>
      </c>
      <c r="B525" t="s">
        <v>92</v>
      </c>
      <c r="C525" t="s">
        <v>91</v>
      </c>
      <c r="D525" s="4" cm="1">
        <f t="array" aca="1" ref="D525" ca="1">IFERROR( _xlfn.XLOOKUP(B525, B$2:INDEX(B:B,ROW()-1), I$2:INDEX(I:I,ROW()-1), 0, 0, -1),0)</f>
        <v>3</v>
      </c>
      <c r="E525">
        <v>6</v>
      </c>
      <c r="F525">
        <f t="shared" ca="1" si="58"/>
        <v>5</v>
      </c>
      <c r="G525">
        <f t="shared" ca="1" si="59"/>
        <v>2</v>
      </c>
      <c r="H525">
        <f t="shared" ca="1" si="60"/>
        <v>0</v>
      </c>
      <c r="I525">
        <f t="shared" ca="1" si="61"/>
        <v>2</v>
      </c>
      <c r="J525">
        <v>4.5</v>
      </c>
      <c r="K525">
        <v>4</v>
      </c>
      <c r="L525">
        <v>14</v>
      </c>
      <c r="M525" s="3">
        <f t="shared" ca="1" si="62"/>
        <v>45433</v>
      </c>
      <c r="N525" s="3">
        <f t="shared" ca="1" si="62"/>
        <v>45311</v>
      </c>
      <c r="O525" s="3">
        <v>45311</v>
      </c>
    </row>
    <row r="526" spans="1:15" x14ac:dyDescent="0.3">
      <c r="A526" s="3">
        <v>45367</v>
      </c>
      <c r="B526" t="s">
        <v>20</v>
      </c>
      <c r="C526" t="s">
        <v>25</v>
      </c>
      <c r="D526" s="4" cm="1">
        <f t="array" aca="1" ref="D526" ca="1">IFERROR( _xlfn.XLOOKUP(B526, B$2:INDEX(B:B,ROW()-1), I$2:INDEX(I:I,ROW()-1), 0, 0, -1),0)</f>
        <v>1</v>
      </c>
      <c r="E526">
        <v>10</v>
      </c>
      <c r="F526">
        <f t="shared" ca="1" si="58"/>
        <v>7</v>
      </c>
      <c r="G526">
        <f t="shared" ca="1" si="59"/>
        <v>1</v>
      </c>
      <c r="H526">
        <f t="shared" ca="1" si="60"/>
        <v>1</v>
      </c>
      <c r="I526">
        <f t="shared" ca="1" si="61"/>
        <v>2</v>
      </c>
      <c r="J526">
        <v>4.5</v>
      </c>
      <c r="K526">
        <v>4</v>
      </c>
      <c r="L526">
        <v>10</v>
      </c>
      <c r="M526" s="3">
        <f t="shared" ca="1" si="62"/>
        <v>45400</v>
      </c>
      <c r="N526" s="3">
        <f t="shared" ca="1" si="62"/>
        <v>45388</v>
      </c>
      <c r="O526" s="3">
        <v>45301</v>
      </c>
    </row>
    <row r="527" spans="1:15" x14ac:dyDescent="0.3">
      <c r="A527" s="3">
        <v>45367</v>
      </c>
      <c r="B527" t="s">
        <v>58</v>
      </c>
      <c r="C527" t="s">
        <v>76</v>
      </c>
      <c r="D527" s="4" cm="1">
        <f t="array" aca="1" ref="D527" ca="1">IFERROR( _xlfn.XLOOKUP(B527, B$2:INDEX(B:B,ROW()-1), I$2:INDEX(I:I,ROW()-1), 0, 0, -1),0)</f>
        <v>8</v>
      </c>
      <c r="E527">
        <v>15</v>
      </c>
      <c r="F527">
        <f t="shared" ca="1" si="58"/>
        <v>7</v>
      </c>
      <c r="G527">
        <f t="shared" ca="1" si="59"/>
        <v>10</v>
      </c>
      <c r="H527">
        <f t="shared" ca="1" si="60"/>
        <v>0</v>
      </c>
      <c r="I527">
        <f t="shared" ca="1" si="61"/>
        <v>6</v>
      </c>
      <c r="J527">
        <v>6</v>
      </c>
      <c r="K527">
        <v>5.5</v>
      </c>
      <c r="L527">
        <v>20</v>
      </c>
      <c r="M527" s="3">
        <f t="shared" ca="1" si="62"/>
        <v>45298</v>
      </c>
      <c r="N527" s="3">
        <f t="shared" ca="1" si="62"/>
        <v>45362</v>
      </c>
      <c r="O527" s="3">
        <v>45394</v>
      </c>
    </row>
    <row r="528" spans="1:15" x14ac:dyDescent="0.3">
      <c r="A528" s="3">
        <v>45367</v>
      </c>
      <c r="B528" t="s">
        <v>83</v>
      </c>
      <c r="C528" t="s">
        <v>100</v>
      </c>
      <c r="D528" s="4" cm="1">
        <f t="array" aca="1" ref="D528" ca="1">IFERROR( _xlfn.XLOOKUP(B528, B$2:INDEX(B:B,ROW()-1), I$2:INDEX(I:I,ROW()-1), 0, 0, -1),0)</f>
        <v>4</v>
      </c>
      <c r="E528">
        <v>10</v>
      </c>
      <c r="F528">
        <f t="shared" ca="1" si="58"/>
        <v>4</v>
      </c>
      <c r="G528">
        <f t="shared" ca="1" si="59"/>
        <v>3</v>
      </c>
      <c r="H528">
        <f t="shared" ca="1" si="60"/>
        <v>1</v>
      </c>
      <c r="I528">
        <f t="shared" ca="1" si="61"/>
        <v>6</v>
      </c>
      <c r="J528">
        <v>4.5</v>
      </c>
      <c r="K528">
        <v>4</v>
      </c>
      <c r="L528">
        <v>10</v>
      </c>
      <c r="M528" s="3">
        <f t="shared" ca="1" si="62"/>
        <v>45432</v>
      </c>
      <c r="N528" s="3">
        <f t="shared" ca="1" si="62"/>
        <v>45317</v>
      </c>
      <c r="O528" s="3">
        <v>45395</v>
      </c>
    </row>
    <row r="529" spans="1:15" x14ac:dyDescent="0.3">
      <c r="A529" s="3">
        <v>45367</v>
      </c>
      <c r="B529" t="s">
        <v>41</v>
      </c>
      <c r="C529" t="s">
        <v>86</v>
      </c>
      <c r="D529" s="4" cm="1">
        <f t="array" aca="1" ref="D529" ca="1">IFERROR( _xlfn.XLOOKUP(B529, B$2:INDEX(B:B,ROW()-1), I$2:INDEX(I:I,ROW()-1), 0, 0, -1),0)</f>
        <v>5</v>
      </c>
      <c r="E529">
        <v>15</v>
      </c>
      <c r="F529">
        <f t="shared" ca="1" si="58"/>
        <v>1</v>
      </c>
      <c r="G529">
        <f t="shared" ca="1" si="59"/>
        <v>6</v>
      </c>
      <c r="H529">
        <f t="shared" ca="1" si="60"/>
        <v>5</v>
      </c>
      <c r="I529">
        <f t="shared" ca="1" si="61"/>
        <v>8</v>
      </c>
      <c r="J529">
        <v>3</v>
      </c>
      <c r="K529">
        <v>2.5</v>
      </c>
      <c r="L529">
        <v>14</v>
      </c>
      <c r="M529" s="3">
        <f t="shared" ca="1" si="62"/>
        <v>45292</v>
      </c>
      <c r="N529" s="3">
        <f t="shared" ca="1" si="62"/>
        <v>45324</v>
      </c>
      <c r="O529" s="3">
        <v>45418</v>
      </c>
    </row>
    <row r="530" spans="1:15" x14ac:dyDescent="0.3">
      <c r="A530" s="3">
        <v>45367</v>
      </c>
      <c r="B530" t="s">
        <v>56</v>
      </c>
      <c r="C530" t="s">
        <v>54</v>
      </c>
      <c r="D530" s="4" cm="1">
        <f t="array" aca="1" ref="D530" ca="1">IFERROR( _xlfn.XLOOKUP(B530, B$2:INDEX(B:B,ROW()-1), I$2:INDEX(I:I,ROW()-1), 0, 0, -1),0)</f>
        <v>2</v>
      </c>
      <c r="E530">
        <v>8</v>
      </c>
      <c r="F530">
        <f t="shared" ca="1" si="58"/>
        <v>4</v>
      </c>
      <c r="G530">
        <f t="shared" ca="1" si="59"/>
        <v>2</v>
      </c>
      <c r="H530">
        <f t="shared" ca="1" si="60"/>
        <v>1</v>
      </c>
      <c r="I530">
        <f t="shared" ca="1" si="61"/>
        <v>3</v>
      </c>
      <c r="J530">
        <v>6</v>
      </c>
      <c r="K530">
        <v>5.5</v>
      </c>
      <c r="L530">
        <v>20</v>
      </c>
      <c r="M530" s="3">
        <f t="shared" ca="1" si="62"/>
        <v>45331</v>
      </c>
      <c r="N530" s="3">
        <f t="shared" ca="1" si="62"/>
        <v>45356</v>
      </c>
      <c r="O530" s="3">
        <v>45388</v>
      </c>
    </row>
    <row r="531" spans="1:15" x14ac:dyDescent="0.3">
      <c r="A531" s="3">
        <v>45367</v>
      </c>
      <c r="B531" t="s">
        <v>39</v>
      </c>
      <c r="C531" t="s">
        <v>32</v>
      </c>
      <c r="D531" s="4" cm="1">
        <f t="array" aca="1" ref="D531" ca="1">IFERROR( _xlfn.XLOOKUP(B531, B$2:INDEX(B:B,ROW()-1), I$2:INDEX(I:I,ROW()-1), 0, 0, -1),0)</f>
        <v>3</v>
      </c>
      <c r="E531">
        <v>12</v>
      </c>
      <c r="F531">
        <f t="shared" ca="1" si="58"/>
        <v>5</v>
      </c>
      <c r="G531">
        <f t="shared" ca="1" si="59"/>
        <v>1</v>
      </c>
      <c r="H531">
        <f t="shared" ca="1" si="60"/>
        <v>5</v>
      </c>
      <c r="I531">
        <f t="shared" ca="1" si="61"/>
        <v>4</v>
      </c>
      <c r="J531">
        <v>3.5</v>
      </c>
      <c r="K531">
        <v>3</v>
      </c>
      <c r="L531">
        <v>14</v>
      </c>
      <c r="M531" s="3">
        <f t="shared" ca="1" si="62"/>
        <v>45320</v>
      </c>
      <c r="N531" s="3">
        <f t="shared" ca="1" si="62"/>
        <v>45415</v>
      </c>
      <c r="O531" s="3">
        <v>45405</v>
      </c>
    </row>
    <row r="532" spans="1:15" x14ac:dyDescent="0.3">
      <c r="A532" s="3">
        <v>45367</v>
      </c>
      <c r="B532" t="s">
        <v>82</v>
      </c>
      <c r="C532" t="s">
        <v>73</v>
      </c>
      <c r="D532" s="4" cm="1">
        <f t="array" aca="1" ref="D532" ca="1">IFERROR( _xlfn.XLOOKUP(B532, B$2:INDEX(B:B,ROW()-1), I$2:INDEX(I:I,ROW()-1), 0, 0, -1),0)</f>
        <v>3</v>
      </c>
      <c r="E532">
        <v>8</v>
      </c>
      <c r="F532">
        <f t="shared" ca="1" si="58"/>
        <v>1</v>
      </c>
      <c r="G532">
        <f t="shared" ca="1" si="59"/>
        <v>1</v>
      </c>
      <c r="H532">
        <f t="shared" ca="1" si="60"/>
        <v>0</v>
      </c>
      <c r="I532">
        <f t="shared" ca="1" si="61"/>
        <v>9</v>
      </c>
      <c r="J532">
        <v>2.5</v>
      </c>
      <c r="K532">
        <v>2</v>
      </c>
      <c r="L532">
        <v>5</v>
      </c>
      <c r="M532" s="3">
        <f t="shared" ca="1" si="62"/>
        <v>45365</v>
      </c>
      <c r="N532" s="3">
        <f t="shared" ca="1" si="62"/>
        <v>45395</v>
      </c>
      <c r="O532" s="3">
        <v>45435</v>
      </c>
    </row>
    <row r="533" spans="1:15" x14ac:dyDescent="0.3">
      <c r="A533" s="3">
        <v>45368</v>
      </c>
      <c r="B533" t="s">
        <v>60</v>
      </c>
      <c r="C533" t="s">
        <v>94</v>
      </c>
      <c r="D533" s="4" cm="1">
        <f t="array" aca="1" ref="D533" ca="1">IFERROR( _xlfn.XLOOKUP(B533, B$2:INDEX(B:B,ROW()-1), I$2:INDEX(I:I,ROW()-1), 0, 0, -1),0)</f>
        <v>5</v>
      </c>
      <c r="E533">
        <v>10</v>
      </c>
      <c r="F533">
        <f t="shared" ca="1" si="58"/>
        <v>1</v>
      </c>
      <c r="G533">
        <f t="shared" ca="1" si="59"/>
        <v>3</v>
      </c>
      <c r="H533">
        <f t="shared" ca="1" si="60"/>
        <v>6</v>
      </c>
      <c r="I533">
        <f t="shared" ca="1" si="61"/>
        <v>5</v>
      </c>
      <c r="J533">
        <v>4</v>
      </c>
      <c r="K533">
        <v>3.5</v>
      </c>
      <c r="L533">
        <v>10</v>
      </c>
      <c r="M533" s="3">
        <f t="shared" ca="1" si="62"/>
        <v>45306</v>
      </c>
      <c r="N533" s="3">
        <f t="shared" ca="1" si="62"/>
        <v>45404</v>
      </c>
      <c r="O533" s="3">
        <v>45399</v>
      </c>
    </row>
    <row r="534" spans="1:15" x14ac:dyDescent="0.3">
      <c r="A534" s="3">
        <v>45368</v>
      </c>
      <c r="B534" t="s">
        <v>38</v>
      </c>
      <c r="C534" t="s">
        <v>52</v>
      </c>
      <c r="D534" s="4" cm="1">
        <f t="array" aca="1" ref="D534" ca="1">IFERROR( _xlfn.XLOOKUP(B534, B$2:INDEX(B:B,ROW()-1), I$2:INDEX(I:I,ROW()-1), 0, 0, -1),0)</f>
        <v>9</v>
      </c>
      <c r="E534">
        <v>12</v>
      </c>
      <c r="F534">
        <f t="shared" ca="1" si="58"/>
        <v>2</v>
      </c>
      <c r="G534">
        <f t="shared" ca="1" si="59"/>
        <v>3</v>
      </c>
      <c r="H534">
        <f t="shared" ca="1" si="60"/>
        <v>10</v>
      </c>
      <c r="I534">
        <f t="shared" ca="1" si="61"/>
        <v>6</v>
      </c>
      <c r="J534">
        <v>3.5</v>
      </c>
      <c r="K534">
        <v>3</v>
      </c>
      <c r="L534">
        <v>14</v>
      </c>
      <c r="M534" s="3">
        <f t="shared" ca="1" si="62"/>
        <v>45347</v>
      </c>
      <c r="N534" s="3">
        <f t="shared" ca="1" si="62"/>
        <v>45400</v>
      </c>
      <c r="O534" s="3">
        <v>45437</v>
      </c>
    </row>
    <row r="535" spans="1:15" x14ac:dyDescent="0.3">
      <c r="A535" s="3">
        <v>45368</v>
      </c>
      <c r="B535" t="s">
        <v>57</v>
      </c>
      <c r="C535" t="s">
        <v>75</v>
      </c>
      <c r="D535" s="4" cm="1">
        <f t="array" aca="1" ref="D535" ca="1">IFERROR( _xlfn.XLOOKUP(B535, B$2:INDEX(B:B,ROW()-1), I$2:INDEX(I:I,ROW()-1), 0, 0, -1),0)</f>
        <v>7</v>
      </c>
      <c r="E535">
        <v>8</v>
      </c>
      <c r="F535">
        <f t="shared" ca="1" si="58"/>
        <v>5</v>
      </c>
      <c r="G535">
        <f t="shared" ca="1" si="59"/>
        <v>0</v>
      </c>
      <c r="H535">
        <f t="shared" ca="1" si="60"/>
        <v>3</v>
      </c>
      <c r="I535">
        <f t="shared" ca="1" si="61"/>
        <v>7</v>
      </c>
      <c r="J535">
        <v>6</v>
      </c>
      <c r="K535">
        <v>5.5</v>
      </c>
      <c r="L535">
        <v>20</v>
      </c>
      <c r="M535" s="3">
        <f t="shared" ca="1" si="62"/>
        <v>45348</v>
      </c>
      <c r="N535" s="3">
        <f t="shared" ca="1" si="62"/>
        <v>45308</v>
      </c>
      <c r="O535" s="3">
        <v>45309</v>
      </c>
    </row>
    <row r="536" spans="1:15" x14ac:dyDescent="0.3">
      <c r="A536" s="3">
        <v>45368</v>
      </c>
      <c r="B536" t="s">
        <v>80</v>
      </c>
      <c r="C536" t="s">
        <v>49</v>
      </c>
      <c r="D536" s="4" cm="1">
        <f t="array" aca="1" ref="D536" ca="1">IFERROR( _xlfn.XLOOKUP(B536, B$2:INDEX(B:B,ROW()-1), I$2:INDEX(I:I,ROW()-1), 0, 0, -1),0)</f>
        <v>8</v>
      </c>
      <c r="E536">
        <v>8</v>
      </c>
      <c r="F536">
        <f t="shared" ca="1" si="58"/>
        <v>2</v>
      </c>
      <c r="G536">
        <f t="shared" ca="1" si="59"/>
        <v>3</v>
      </c>
      <c r="H536">
        <f t="shared" ca="1" si="60"/>
        <v>0</v>
      </c>
      <c r="I536">
        <f t="shared" ca="1" si="61"/>
        <v>11</v>
      </c>
      <c r="J536">
        <v>2.5</v>
      </c>
      <c r="K536">
        <v>2</v>
      </c>
      <c r="L536">
        <v>5</v>
      </c>
      <c r="M536" s="3">
        <f t="shared" ca="1" si="62"/>
        <v>45305</v>
      </c>
      <c r="N536" s="3">
        <f t="shared" ca="1" si="62"/>
        <v>45361</v>
      </c>
      <c r="O536" s="3">
        <v>45380</v>
      </c>
    </row>
    <row r="537" spans="1:15" x14ac:dyDescent="0.3">
      <c r="A537" s="3">
        <v>45368</v>
      </c>
      <c r="B537" t="s">
        <v>79</v>
      </c>
      <c r="C537" t="s">
        <v>104</v>
      </c>
      <c r="D537" s="4" cm="1">
        <f t="array" aca="1" ref="D537" ca="1">IFERROR( _xlfn.XLOOKUP(B537, B$2:INDEX(B:B,ROW()-1), I$2:INDEX(I:I,ROW()-1), 0, 0, -1),0)</f>
        <v>4</v>
      </c>
      <c r="E537">
        <v>8</v>
      </c>
      <c r="F537">
        <f t="shared" ca="1" si="58"/>
        <v>4</v>
      </c>
      <c r="G537">
        <f t="shared" ca="1" si="59"/>
        <v>2</v>
      </c>
      <c r="H537">
        <f t="shared" ca="1" si="60"/>
        <v>0</v>
      </c>
      <c r="I537">
        <f t="shared" ca="1" si="61"/>
        <v>6</v>
      </c>
      <c r="J537">
        <v>2.5</v>
      </c>
      <c r="K537">
        <v>2</v>
      </c>
      <c r="L537">
        <v>5</v>
      </c>
      <c r="M537" s="3">
        <f t="shared" ca="1" si="62"/>
        <v>45426</v>
      </c>
      <c r="N537" s="3">
        <f t="shared" ca="1" si="62"/>
        <v>45311</v>
      </c>
      <c r="O537" s="3">
        <v>45352</v>
      </c>
    </row>
    <row r="538" spans="1:15" x14ac:dyDescent="0.3">
      <c r="A538" s="3">
        <v>45368</v>
      </c>
      <c r="B538" t="s">
        <v>16</v>
      </c>
      <c r="C538" t="s">
        <v>77</v>
      </c>
      <c r="D538" s="4" cm="1">
        <f t="array" aca="1" ref="D538" ca="1">IFERROR( _xlfn.XLOOKUP(B538, B$2:INDEX(B:B,ROW()-1), I$2:INDEX(I:I,ROW()-1), 0, 0, -1),0)</f>
        <v>5</v>
      </c>
      <c r="E538">
        <v>10</v>
      </c>
      <c r="F538">
        <f t="shared" ca="1" si="58"/>
        <v>4</v>
      </c>
      <c r="G538">
        <f t="shared" ca="1" si="59"/>
        <v>7</v>
      </c>
      <c r="H538">
        <f t="shared" ca="1" si="60"/>
        <v>2</v>
      </c>
      <c r="I538">
        <f t="shared" ca="1" si="61"/>
        <v>2</v>
      </c>
      <c r="J538">
        <v>5.5</v>
      </c>
      <c r="K538">
        <v>4.5</v>
      </c>
      <c r="L538">
        <v>7</v>
      </c>
      <c r="M538" s="3">
        <f t="shared" ca="1" si="62"/>
        <v>45337</v>
      </c>
      <c r="N538" s="3">
        <f t="shared" ca="1" si="62"/>
        <v>45436</v>
      </c>
      <c r="O538" s="3">
        <v>45363</v>
      </c>
    </row>
    <row r="539" spans="1:15" x14ac:dyDescent="0.3">
      <c r="A539" s="3">
        <v>45368</v>
      </c>
      <c r="B539" t="s">
        <v>66</v>
      </c>
      <c r="C539" t="s">
        <v>45</v>
      </c>
      <c r="D539" s="4" cm="1">
        <f t="array" aca="1" ref="D539" ca="1">IFERROR( _xlfn.XLOOKUP(B539, B$2:INDEX(B:B,ROW()-1), I$2:INDEX(I:I,ROW()-1), 0, 0, -1),0)</f>
        <v>4</v>
      </c>
      <c r="E539">
        <v>8</v>
      </c>
      <c r="F539">
        <f t="shared" ca="1" si="58"/>
        <v>1</v>
      </c>
      <c r="G539">
        <f t="shared" ca="1" si="59"/>
        <v>7</v>
      </c>
      <c r="H539">
        <f t="shared" ca="1" si="60"/>
        <v>0</v>
      </c>
      <c r="I539">
        <f t="shared" ca="1" si="61"/>
        <v>4</v>
      </c>
      <c r="J539">
        <v>3.5</v>
      </c>
      <c r="K539">
        <v>3</v>
      </c>
      <c r="L539">
        <v>8</v>
      </c>
      <c r="M539" s="3">
        <f t="shared" ca="1" si="62"/>
        <v>45358</v>
      </c>
      <c r="N539" s="3">
        <f t="shared" ca="1" si="62"/>
        <v>45356</v>
      </c>
      <c r="O539" s="3">
        <v>45327</v>
      </c>
    </row>
    <row r="540" spans="1:15" x14ac:dyDescent="0.3">
      <c r="A540" s="3">
        <v>45369</v>
      </c>
      <c r="B540" t="s">
        <v>34</v>
      </c>
      <c r="C540" t="s">
        <v>30</v>
      </c>
      <c r="D540" s="4" cm="1">
        <f t="array" aca="1" ref="D540" ca="1">IFERROR( _xlfn.XLOOKUP(B540, B$2:INDEX(B:B,ROW()-1), I$2:INDEX(I:I,ROW()-1), 0, 0, -1),0)</f>
        <v>4</v>
      </c>
      <c r="E540">
        <v>6</v>
      </c>
      <c r="F540">
        <f t="shared" ca="1" si="58"/>
        <v>3</v>
      </c>
      <c r="G540">
        <f t="shared" ca="1" si="59"/>
        <v>3</v>
      </c>
      <c r="H540">
        <f t="shared" ca="1" si="60"/>
        <v>0</v>
      </c>
      <c r="I540">
        <f t="shared" ca="1" si="61"/>
        <v>4</v>
      </c>
      <c r="J540">
        <v>3.5</v>
      </c>
      <c r="K540">
        <v>3</v>
      </c>
      <c r="L540">
        <v>10</v>
      </c>
      <c r="M540" s="3">
        <f t="shared" ca="1" si="62"/>
        <v>45367</v>
      </c>
      <c r="N540" s="3">
        <f t="shared" ca="1" si="62"/>
        <v>45402</v>
      </c>
      <c r="O540" s="3">
        <v>45436</v>
      </c>
    </row>
    <row r="541" spans="1:15" x14ac:dyDescent="0.3">
      <c r="A541" s="3">
        <v>45369</v>
      </c>
      <c r="B541" t="s">
        <v>38</v>
      </c>
      <c r="C541" t="s">
        <v>52</v>
      </c>
      <c r="D541" s="4" cm="1">
        <f t="array" aca="1" ref="D541" ca="1">IFERROR( _xlfn.XLOOKUP(B541, B$2:INDEX(B:B,ROW()-1), I$2:INDEX(I:I,ROW()-1), 0, 0, -1),0)</f>
        <v>6</v>
      </c>
      <c r="E541">
        <v>12</v>
      </c>
      <c r="F541">
        <f t="shared" ca="1" si="58"/>
        <v>10</v>
      </c>
      <c r="G541">
        <f t="shared" ca="1" si="59"/>
        <v>1</v>
      </c>
      <c r="H541">
        <f t="shared" ca="1" si="60"/>
        <v>2</v>
      </c>
      <c r="I541">
        <f t="shared" ca="1" si="61"/>
        <v>5</v>
      </c>
      <c r="J541">
        <v>3.5</v>
      </c>
      <c r="K541">
        <v>3</v>
      </c>
      <c r="L541">
        <v>14</v>
      </c>
      <c r="M541" s="3">
        <f t="shared" ca="1" si="62"/>
        <v>45341</v>
      </c>
      <c r="N541" s="3">
        <f t="shared" ca="1" si="62"/>
        <v>45306</v>
      </c>
      <c r="O541" s="3">
        <v>45377</v>
      </c>
    </row>
    <row r="542" spans="1:15" x14ac:dyDescent="0.3">
      <c r="A542" s="3">
        <v>45369</v>
      </c>
      <c r="B542" t="s">
        <v>80</v>
      </c>
      <c r="C542" t="s">
        <v>49</v>
      </c>
      <c r="D542" s="4" cm="1">
        <f t="array" aca="1" ref="D542" ca="1">IFERROR( _xlfn.XLOOKUP(B542, B$2:INDEX(B:B,ROW()-1), I$2:INDEX(I:I,ROW()-1), 0, 0, -1),0)</f>
        <v>11</v>
      </c>
      <c r="E542">
        <v>8</v>
      </c>
      <c r="F542">
        <f t="shared" ca="1" si="58"/>
        <v>9</v>
      </c>
      <c r="G542">
        <f t="shared" ca="1" si="59"/>
        <v>3</v>
      </c>
      <c r="H542">
        <f t="shared" ca="1" si="60"/>
        <v>1</v>
      </c>
      <c r="I542">
        <f t="shared" ca="1" si="61"/>
        <v>6</v>
      </c>
      <c r="J542">
        <v>2.5</v>
      </c>
      <c r="K542">
        <v>2</v>
      </c>
      <c r="L542">
        <v>5</v>
      </c>
      <c r="M542" s="3">
        <f t="shared" ref="M542:N561" ca="1" si="63">DATE(2024,1,1) + RANDBETWEEN(0, DATE(2024,5,25) - DATE(2024,1,1))</f>
        <v>45383</v>
      </c>
      <c r="N542" s="3">
        <f t="shared" ca="1" si="63"/>
        <v>45358</v>
      </c>
      <c r="O542" s="3">
        <v>45300</v>
      </c>
    </row>
    <row r="543" spans="1:15" x14ac:dyDescent="0.3">
      <c r="A543" s="3">
        <v>45369</v>
      </c>
      <c r="B543" t="s">
        <v>40</v>
      </c>
      <c r="C543" t="s">
        <v>85</v>
      </c>
      <c r="D543" s="4" cm="1">
        <f t="array" aca="1" ref="D543" ca="1">IFERROR( _xlfn.XLOOKUP(B543, B$2:INDEX(B:B,ROW()-1), I$2:INDEX(I:I,ROW()-1), 0, 0, -1),0)</f>
        <v>6</v>
      </c>
      <c r="E543">
        <v>15</v>
      </c>
      <c r="F543">
        <f t="shared" ca="1" si="58"/>
        <v>9</v>
      </c>
      <c r="G543">
        <f t="shared" ca="1" si="59"/>
        <v>1</v>
      </c>
      <c r="H543">
        <f t="shared" ca="1" si="60"/>
        <v>6</v>
      </c>
      <c r="I543">
        <f t="shared" ca="1" si="61"/>
        <v>5</v>
      </c>
      <c r="J543">
        <v>3</v>
      </c>
      <c r="K543">
        <v>2.5</v>
      </c>
      <c r="L543">
        <v>14</v>
      </c>
      <c r="M543" s="3">
        <f t="shared" ca="1" si="63"/>
        <v>45327</v>
      </c>
      <c r="N543" s="3">
        <f t="shared" ca="1" si="63"/>
        <v>45301</v>
      </c>
      <c r="O543" s="3">
        <v>45359</v>
      </c>
    </row>
    <row r="544" spans="1:15" x14ac:dyDescent="0.3">
      <c r="A544" s="3">
        <v>45369</v>
      </c>
      <c r="B544" t="s">
        <v>24</v>
      </c>
      <c r="C544" t="s">
        <v>29</v>
      </c>
      <c r="D544" s="4" cm="1">
        <f t="array" aca="1" ref="D544" ca="1">IFERROR( _xlfn.XLOOKUP(B544, B$2:INDEX(B:B,ROW()-1), I$2:INDEX(I:I,ROW()-1), 0, 0, -1),0)</f>
        <v>5</v>
      </c>
      <c r="E544">
        <v>8</v>
      </c>
      <c r="F544">
        <f t="shared" ca="1" si="58"/>
        <v>7</v>
      </c>
      <c r="G544">
        <f t="shared" ca="1" si="59"/>
        <v>2</v>
      </c>
      <c r="H544">
        <f t="shared" ca="1" si="60"/>
        <v>2</v>
      </c>
      <c r="I544">
        <f t="shared" ca="1" si="61"/>
        <v>2</v>
      </c>
      <c r="J544">
        <v>7.5</v>
      </c>
      <c r="K544">
        <v>5.5</v>
      </c>
      <c r="L544">
        <v>7</v>
      </c>
      <c r="M544" s="3">
        <f t="shared" ca="1" si="63"/>
        <v>45344</v>
      </c>
      <c r="N544" s="3">
        <f t="shared" ca="1" si="63"/>
        <v>45306</v>
      </c>
      <c r="O544" s="3">
        <v>45367</v>
      </c>
    </row>
    <row r="545" spans="1:15" x14ac:dyDescent="0.3">
      <c r="A545" s="3">
        <v>45369</v>
      </c>
      <c r="B545" t="s">
        <v>66</v>
      </c>
      <c r="C545" t="s">
        <v>45</v>
      </c>
      <c r="D545" s="4" cm="1">
        <f t="array" aca="1" ref="D545" ca="1">IFERROR( _xlfn.XLOOKUP(B545, B$2:INDEX(B:B,ROW()-1), I$2:INDEX(I:I,ROW()-1), 0, 0, -1),0)</f>
        <v>4</v>
      </c>
      <c r="E545">
        <v>8</v>
      </c>
      <c r="F545">
        <f t="shared" ca="1" si="58"/>
        <v>7</v>
      </c>
      <c r="G545">
        <f t="shared" ca="1" si="59"/>
        <v>0</v>
      </c>
      <c r="H545">
        <f t="shared" ca="1" si="60"/>
        <v>1</v>
      </c>
      <c r="I545">
        <f t="shared" ca="1" si="61"/>
        <v>4</v>
      </c>
      <c r="J545">
        <v>3.5</v>
      </c>
      <c r="K545">
        <v>3</v>
      </c>
      <c r="L545">
        <v>8</v>
      </c>
      <c r="M545" s="3">
        <f t="shared" ca="1" si="63"/>
        <v>45431</v>
      </c>
      <c r="N545" s="3">
        <f t="shared" ca="1" si="63"/>
        <v>45341</v>
      </c>
      <c r="O545" s="3">
        <v>45310</v>
      </c>
    </row>
    <row r="546" spans="1:15" x14ac:dyDescent="0.3">
      <c r="A546" s="3">
        <v>45369</v>
      </c>
      <c r="B546" t="s">
        <v>16</v>
      </c>
      <c r="C546" t="s">
        <v>77</v>
      </c>
      <c r="D546" s="4" cm="1">
        <f t="array" aca="1" ref="D546" ca="1">IFERROR( _xlfn.XLOOKUP(B546, B$2:INDEX(B:B,ROW()-1), I$2:INDEX(I:I,ROW()-1), 0, 0, -1),0)</f>
        <v>2</v>
      </c>
      <c r="E546">
        <v>10</v>
      </c>
      <c r="F546">
        <f t="shared" ca="1" si="58"/>
        <v>3</v>
      </c>
      <c r="G546">
        <f t="shared" ca="1" si="59"/>
        <v>4</v>
      </c>
      <c r="H546">
        <f t="shared" ca="1" si="60"/>
        <v>1</v>
      </c>
      <c r="I546">
        <f t="shared" ca="1" si="61"/>
        <v>4</v>
      </c>
      <c r="J546">
        <v>5.5</v>
      </c>
      <c r="K546">
        <v>4.5</v>
      </c>
      <c r="L546">
        <v>7</v>
      </c>
      <c r="M546" s="3">
        <f t="shared" ca="1" si="63"/>
        <v>45334</v>
      </c>
      <c r="N546" s="3">
        <f t="shared" ca="1" si="63"/>
        <v>45383</v>
      </c>
      <c r="O546" s="3">
        <v>45421</v>
      </c>
    </row>
    <row r="547" spans="1:15" x14ac:dyDescent="0.3">
      <c r="A547" s="3">
        <v>45369</v>
      </c>
      <c r="B547" t="s">
        <v>71</v>
      </c>
      <c r="C547" t="s">
        <v>47</v>
      </c>
      <c r="D547" s="4" cm="1">
        <f t="array" aca="1" ref="D547" ca="1">IFERROR( _xlfn.XLOOKUP(B547, B$2:INDEX(B:B,ROW()-1), I$2:INDEX(I:I,ROW()-1), 0, 0, -1),0)</f>
        <v>9</v>
      </c>
      <c r="E547">
        <v>6</v>
      </c>
      <c r="F547">
        <f t="shared" ca="1" si="58"/>
        <v>6</v>
      </c>
      <c r="G547">
        <f t="shared" ca="1" si="59"/>
        <v>2</v>
      </c>
      <c r="H547">
        <f t="shared" ca="1" si="60"/>
        <v>0</v>
      </c>
      <c r="I547">
        <f t="shared" ca="1" si="61"/>
        <v>7</v>
      </c>
      <c r="J547">
        <v>4</v>
      </c>
      <c r="K547">
        <v>3</v>
      </c>
      <c r="L547">
        <v>7</v>
      </c>
      <c r="M547" s="3">
        <f t="shared" ca="1" si="63"/>
        <v>45375</v>
      </c>
      <c r="N547" s="3">
        <f t="shared" ca="1" si="63"/>
        <v>45297</v>
      </c>
      <c r="O547" s="3">
        <v>45435</v>
      </c>
    </row>
    <row r="548" spans="1:15" x14ac:dyDescent="0.3">
      <c r="A548" s="3">
        <v>45370</v>
      </c>
      <c r="B548" t="s">
        <v>20</v>
      </c>
      <c r="C548" t="s">
        <v>25</v>
      </c>
      <c r="D548" s="4" cm="1">
        <f t="array" aca="1" ref="D548" ca="1">IFERROR( _xlfn.XLOOKUP(B548, B$2:INDEX(B:B,ROW()-1), I$2:INDEX(I:I,ROW()-1), 0, 0, -1),0)</f>
        <v>2</v>
      </c>
      <c r="E548">
        <v>10</v>
      </c>
      <c r="F548">
        <f t="shared" ca="1" si="58"/>
        <v>1</v>
      </c>
      <c r="G548">
        <f t="shared" ca="1" si="59"/>
        <v>0</v>
      </c>
      <c r="H548">
        <f t="shared" ca="1" si="60"/>
        <v>6</v>
      </c>
      <c r="I548">
        <f t="shared" ca="1" si="61"/>
        <v>5</v>
      </c>
      <c r="J548">
        <v>4.5</v>
      </c>
      <c r="K548">
        <v>4</v>
      </c>
      <c r="L548">
        <v>10</v>
      </c>
      <c r="M548" s="3">
        <f t="shared" ca="1" si="63"/>
        <v>45311</v>
      </c>
      <c r="N548" s="3">
        <f t="shared" ca="1" si="63"/>
        <v>45387</v>
      </c>
      <c r="O548" s="3">
        <v>45318</v>
      </c>
    </row>
    <row r="549" spans="1:15" x14ac:dyDescent="0.3">
      <c r="A549" s="3">
        <v>45370</v>
      </c>
      <c r="B549" t="s">
        <v>58</v>
      </c>
      <c r="C549" t="s">
        <v>76</v>
      </c>
      <c r="D549" s="4" cm="1">
        <f t="array" aca="1" ref="D549" ca="1">IFERROR( _xlfn.XLOOKUP(B549, B$2:INDEX(B:B,ROW()-1), I$2:INDEX(I:I,ROW()-1), 0, 0, -1),0)</f>
        <v>6</v>
      </c>
      <c r="E549">
        <v>15</v>
      </c>
      <c r="F549">
        <f t="shared" ca="1" si="58"/>
        <v>12</v>
      </c>
      <c r="G549">
        <f t="shared" ca="1" si="59"/>
        <v>0</v>
      </c>
      <c r="H549">
        <f t="shared" ca="1" si="60"/>
        <v>4</v>
      </c>
      <c r="I549">
        <f t="shared" ca="1" si="61"/>
        <v>5</v>
      </c>
      <c r="J549">
        <v>6</v>
      </c>
      <c r="K549">
        <v>5.5</v>
      </c>
      <c r="L549">
        <v>20</v>
      </c>
      <c r="M549" s="3">
        <f t="shared" ca="1" si="63"/>
        <v>45394</v>
      </c>
      <c r="N549" s="3">
        <f t="shared" ca="1" si="63"/>
        <v>45314</v>
      </c>
      <c r="O549" s="3">
        <v>45330</v>
      </c>
    </row>
    <row r="550" spans="1:15" x14ac:dyDescent="0.3">
      <c r="A550" s="3">
        <v>45370</v>
      </c>
      <c r="B550" t="s">
        <v>71</v>
      </c>
      <c r="C550" t="s">
        <v>47</v>
      </c>
      <c r="D550" s="4" cm="1">
        <f t="array" aca="1" ref="D550" ca="1">IFERROR( _xlfn.XLOOKUP(B550, B$2:INDEX(B:B,ROW()-1), I$2:INDEX(I:I,ROW()-1), 0, 0, -1),0)</f>
        <v>7</v>
      </c>
      <c r="E550">
        <v>6</v>
      </c>
      <c r="F550">
        <f t="shared" ca="1" si="58"/>
        <v>3</v>
      </c>
      <c r="G550">
        <f t="shared" ca="1" si="59"/>
        <v>2</v>
      </c>
      <c r="H550">
        <f t="shared" ca="1" si="60"/>
        <v>3</v>
      </c>
      <c r="I550">
        <f t="shared" ca="1" si="61"/>
        <v>5</v>
      </c>
      <c r="J550">
        <v>4</v>
      </c>
      <c r="K550">
        <v>3</v>
      </c>
      <c r="L550">
        <v>7</v>
      </c>
      <c r="M550" s="3">
        <f t="shared" ca="1" si="63"/>
        <v>45338</v>
      </c>
      <c r="N550" s="3">
        <f t="shared" ca="1" si="63"/>
        <v>45432</v>
      </c>
      <c r="O550" s="3">
        <v>45384</v>
      </c>
    </row>
    <row r="551" spans="1:15" x14ac:dyDescent="0.3">
      <c r="A551" s="3">
        <v>45370</v>
      </c>
      <c r="B551" t="s">
        <v>79</v>
      </c>
      <c r="C551" t="s">
        <v>104</v>
      </c>
      <c r="D551" s="4" cm="1">
        <f t="array" aca="1" ref="D551" ca="1">IFERROR( _xlfn.XLOOKUP(B551, B$2:INDEX(B:B,ROW()-1), I$2:INDEX(I:I,ROW()-1), 0, 0, -1),0)</f>
        <v>6</v>
      </c>
      <c r="E551">
        <v>8</v>
      </c>
      <c r="F551">
        <f t="shared" ca="1" si="58"/>
        <v>3</v>
      </c>
      <c r="G551">
        <f t="shared" ca="1" si="59"/>
        <v>7</v>
      </c>
      <c r="H551">
        <f t="shared" ca="1" si="60"/>
        <v>2</v>
      </c>
      <c r="I551">
        <f t="shared" ca="1" si="61"/>
        <v>2</v>
      </c>
      <c r="J551">
        <v>2.5</v>
      </c>
      <c r="K551">
        <v>2</v>
      </c>
      <c r="L551">
        <v>5</v>
      </c>
      <c r="M551" s="3">
        <f t="shared" ca="1" si="63"/>
        <v>45300</v>
      </c>
      <c r="N551" s="3">
        <f t="shared" ca="1" si="63"/>
        <v>45313</v>
      </c>
      <c r="O551" s="3">
        <v>45382</v>
      </c>
    </row>
    <row r="552" spans="1:15" x14ac:dyDescent="0.3">
      <c r="A552" s="3">
        <v>45370</v>
      </c>
      <c r="B552" t="s">
        <v>92</v>
      </c>
      <c r="C552" t="s">
        <v>91</v>
      </c>
      <c r="D552" s="4" cm="1">
        <f t="array" aca="1" ref="D552" ca="1">IFERROR( _xlfn.XLOOKUP(B552, B$2:INDEX(B:B,ROW()-1), I$2:INDEX(I:I,ROW()-1), 0, 0, -1),0)</f>
        <v>2</v>
      </c>
      <c r="E552">
        <v>6</v>
      </c>
      <c r="F552">
        <f t="shared" ca="1" si="58"/>
        <v>1</v>
      </c>
      <c r="G552">
        <f t="shared" ca="1" si="59"/>
        <v>2</v>
      </c>
      <c r="H552">
        <f t="shared" ca="1" si="60"/>
        <v>3</v>
      </c>
      <c r="I552">
        <f t="shared" ca="1" si="61"/>
        <v>2</v>
      </c>
      <c r="J552">
        <v>4.5</v>
      </c>
      <c r="K552">
        <v>4</v>
      </c>
      <c r="L552">
        <v>14</v>
      </c>
      <c r="M552" s="3">
        <f t="shared" ca="1" si="63"/>
        <v>45437</v>
      </c>
      <c r="N552" s="3">
        <f t="shared" ca="1" si="63"/>
        <v>45368</v>
      </c>
      <c r="O552" s="3">
        <v>45387</v>
      </c>
    </row>
    <row r="553" spans="1:15" x14ac:dyDescent="0.3">
      <c r="A553" s="3">
        <v>45371</v>
      </c>
      <c r="B553" t="s">
        <v>34</v>
      </c>
      <c r="C553" t="s">
        <v>30</v>
      </c>
      <c r="D553" s="4" cm="1">
        <f t="array" aca="1" ref="D553" ca="1">IFERROR( _xlfn.XLOOKUP(B553, B$2:INDEX(B:B,ROW()-1), I$2:INDEX(I:I,ROW()-1), 0, 0, -1),0)</f>
        <v>4</v>
      </c>
      <c r="E553">
        <v>6</v>
      </c>
      <c r="F553">
        <f t="shared" ca="1" si="58"/>
        <v>2</v>
      </c>
      <c r="G553">
        <f t="shared" ca="1" si="59"/>
        <v>1</v>
      </c>
      <c r="H553">
        <f t="shared" ca="1" si="60"/>
        <v>0</v>
      </c>
      <c r="I553">
        <f t="shared" ca="1" si="61"/>
        <v>7</v>
      </c>
      <c r="J553">
        <v>3.5</v>
      </c>
      <c r="K553">
        <v>3</v>
      </c>
      <c r="L553">
        <v>10</v>
      </c>
      <c r="M553" s="3">
        <f t="shared" ca="1" si="63"/>
        <v>45301</v>
      </c>
      <c r="N553" s="3">
        <f t="shared" ca="1" si="63"/>
        <v>45352</v>
      </c>
      <c r="O553" s="3">
        <v>45410</v>
      </c>
    </row>
    <row r="554" spans="1:15" x14ac:dyDescent="0.3">
      <c r="A554" s="3">
        <v>45371</v>
      </c>
      <c r="B554" t="s">
        <v>60</v>
      </c>
      <c r="C554" t="s">
        <v>94</v>
      </c>
      <c r="D554" s="4" cm="1">
        <f t="array" aca="1" ref="D554" ca="1">IFERROR( _xlfn.XLOOKUP(B554, B$2:INDEX(B:B,ROW()-1), I$2:INDEX(I:I,ROW()-1), 0, 0, -1),0)</f>
        <v>5</v>
      </c>
      <c r="E554">
        <v>10</v>
      </c>
      <c r="F554">
        <f t="shared" ca="1" si="58"/>
        <v>9</v>
      </c>
      <c r="G554">
        <f t="shared" ca="1" si="59"/>
        <v>3</v>
      </c>
      <c r="H554">
        <f t="shared" ca="1" si="60"/>
        <v>0</v>
      </c>
      <c r="I554">
        <f t="shared" ca="1" si="61"/>
        <v>3</v>
      </c>
      <c r="J554">
        <v>4</v>
      </c>
      <c r="K554">
        <v>3.5</v>
      </c>
      <c r="L554">
        <v>10</v>
      </c>
      <c r="M554" s="3">
        <f t="shared" ca="1" si="63"/>
        <v>45394</v>
      </c>
      <c r="N554" s="3">
        <f t="shared" ca="1" si="63"/>
        <v>45342</v>
      </c>
      <c r="O554" s="3">
        <v>45353</v>
      </c>
    </row>
    <row r="555" spans="1:15" x14ac:dyDescent="0.3">
      <c r="A555" s="3">
        <v>45371</v>
      </c>
      <c r="B555" t="s">
        <v>67</v>
      </c>
      <c r="C555" t="s">
        <v>46</v>
      </c>
      <c r="D555" s="4" cm="1">
        <f t="array" aca="1" ref="D555" ca="1">IFERROR( _xlfn.XLOOKUP(B555, B$2:INDEX(B:B,ROW()-1), I$2:INDEX(I:I,ROW()-1), 0, 0, -1),0)</f>
        <v>3</v>
      </c>
      <c r="E555">
        <v>8</v>
      </c>
      <c r="F555">
        <f t="shared" ca="1" si="58"/>
        <v>3</v>
      </c>
      <c r="G555">
        <f t="shared" ca="1" si="59"/>
        <v>0</v>
      </c>
      <c r="H555">
        <f t="shared" ca="1" si="60"/>
        <v>5</v>
      </c>
      <c r="I555">
        <f t="shared" ca="1" si="61"/>
        <v>3</v>
      </c>
      <c r="J555">
        <v>3.5</v>
      </c>
      <c r="K555">
        <v>3</v>
      </c>
      <c r="L555">
        <v>8</v>
      </c>
      <c r="M555" s="3">
        <f t="shared" ca="1" si="63"/>
        <v>45306</v>
      </c>
      <c r="N555" s="3">
        <f t="shared" ca="1" si="63"/>
        <v>45314</v>
      </c>
      <c r="O555" s="3">
        <v>45296</v>
      </c>
    </row>
    <row r="556" spans="1:15" x14ac:dyDescent="0.3">
      <c r="A556" s="3">
        <v>45371</v>
      </c>
      <c r="B556" t="s">
        <v>10</v>
      </c>
      <c r="C556" t="s">
        <v>18</v>
      </c>
      <c r="D556" s="4" cm="1">
        <f t="array" aca="1" ref="D556" ca="1">IFERROR( _xlfn.XLOOKUP(B556, B$2:INDEX(B:B,ROW()-1), I$2:INDEX(I:I,ROW()-1), 0, 0, -1),0)</f>
        <v>4</v>
      </c>
      <c r="E556">
        <v>10</v>
      </c>
      <c r="F556">
        <f t="shared" ca="1" si="58"/>
        <v>5</v>
      </c>
      <c r="G556">
        <f t="shared" ca="1" si="59"/>
        <v>1</v>
      </c>
      <c r="H556">
        <f t="shared" ca="1" si="60"/>
        <v>1</v>
      </c>
      <c r="I556">
        <f t="shared" ca="1" si="61"/>
        <v>7</v>
      </c>
      <c r="J556">
        <v>5.5</v>
      </c>
      <c r="K556">
        <v>4.5</v>
      </c>
      <c r="L556">
        <v>7</v>
      </c>
      <c r="M556" s="3">
        <f t="shared" ca="1" si="63"/>
        <v>45323</v>
      </c>
      <c r="N556" s="3">
        <f t="shared" ca="1" si="63"/>
        <v>45397</v>
      </c>
      <c r="O556" s="3">
        <v>45423</v>
      </c>
    </row>
    <row r="557" spans="1:15" x14ac:dyDescent="0.3">
      <c r="A557" s="3">
        <v>45372</v>
      </c>
      <c r="B557" t="s">
        <v>34</v>
      </c>
      <c r="C557" t="s">
        <v>30</v>
      </c>
      <c r="D557" s="4" cm="1">
        <f t="array" aca="1" ref="D557" ca="1">IFERROR( _xlfn.XLOOKUP(B557, B$2:INDEX(B:B,ROW()-1), I$2:INDEX(I:I,ROW()-1), 0, 0, -1),0)</f>
        <v>7</v>
      </c>
      <c r="E557">
        <v>6</v>
      </c>
      <c r="F557">
        <f t="shared" ca="1" si="58"/>
        <v>0</v>
      </c>
      <c r="G557">
        <f t="shared" ca="1" si="59"/>
        <v>3</v>
      </c>
      <c r="H557">
        <f t="shared" ca="1" si="60"/>
        <v>6</v>
      </c>
      <c r="I557">
        <f t="shared" ca="1" si="61"/>
        <v>4</v>
      </c>
      <c r="J557">
        <v>3.5</v>
      </c>
      <c r="K557">
        <v>3</v>
      </c>
      <c r="L557">
        <v>10</v>
      </c>
      <c r="M557" s="3">
        <f t="shared" ca="1" si="63"/>
        <v>45365</v>
      </c>
      <c r="N557" s="3">
        <f t="shared" ca="1" si="63"/>
        <v>45373</v>
      </c>
      <c r="O557" s="3">
        <v>45350</v>
      </c>
    </row>
    <row r="558" spans="1:15" x14ac:dyDescent="0.3">
      <c r="A558" s="3">
        <v>45372</v>
      </c>
      <c r="B558" t="s">
        <v>16</v>
      </c>
      <c r="C558" t="s">
        <v>77</v>
      </c>
      <c r="D558" s="4" cm="1">
        <f t="array" aca="1" ref="D558" ca="1">IFERROR( _xlfn.XLOOKUP(B558, B$2:INDEX(B:B,ROW()-1), I$2:INDEX(I:I,ROW()-1), 0, 0, -1),0)</f>
        <v>4</v>
      </c>
      <c r="E558">
        <v>10</v>
      </c>
      <c r="F558">
        <f t="shared" ca="1" si="58"/>
        <v>4</v>
      </c>
      <c r="G558">
        <f t="shared" ca="1" si="59"/>
        <v>3</v>
      </c>
      <c r="H558">
        <f t="shared" ca="1" si="60"/>
        <v>0</v>
      </c>
      <c r="I558">
        <f t="shared" ca="1" si="61"/>
        <v>7</v>
      </c>
      <c r="J558">
        <v>5.5</v>
      </c>
      <c r="K558">
        <v>4.5</v>
      </c>
      <c r="L558">
        <v>7</v>
      </c>
      <c r="M558" s="3">
        <f t="shared" ca="1" si="63"/>
        <v>45397</v>
      </c>
      <c r="N558" s="3">
        <f t="shared" ca="1" si="63"/>
        <v>45320</v>
      </c>
      <c r="O558" s="3">
        <v>45292</v>
      </c>
    </row>
    <row r="559" spans="1:15" x14ac:dyDescent="0.3">
      <c r="A559" s="3">
        <v>45372</v>
      </c>
      <c r="B559" t="s">
        <v>66</v>
      </c>
      <c r="C559" t="s">
        <v>45</v>
      </c>
      <c r="D559" s="4" cm="1">
        <f t="array" aca="1" ref="D559" ca="1">IFERROR( _xlfn.XLOOKUP(B559, B$2:INDEX(B:B,ROW()-1), I$2:INDEX(I:I,ROW()-1), 0, 0, -1),0)</f>
        <v>4</v>
      </c>
      <c r="E559">
        <v>8</v>
      </c>
      <c r="F559">
        <f t="shared" ca="1" si="58"/>
        <v>7</v>
      </c>
      <c r="G559">
        <f t="shared" ca="1" si="59"/>
        <v>1</v>
      </c>
      <c r="H559">
        <f t="shared" ca="1" si="60"/>
        <v>2</v>
      </c>
      <c r="I559">
        <f t="shared" ca="1" si="61"/>
        <v>2</v>
      </c>
      <c r="J559">
        <v>3.5</v>
      </c>
      <c r="K559">
        <v>3</v>
      </c>
      <c r="L559">
        <v>8</v>
      </c>
      <c r="M559" s="3">
        <f t="shared" ca="1" si="63"/>
        <v>45437</v>
      </c>
      <c r="N559" s="3">
        <f t="shared" ca="1" si="63"/>
        <v>45410</v>
      </c>
      <c r="O559" s="3">
        <v>45326</v>
      </c>
    </row>
    <row r="560" spans="1:15" x14ac:dyDescent="0.3">
      <c r="A560" s="3">
        <v>45373</v>
      </c>
      <c r="B560" t="s">
        <v>67</v>
      </c>
      <c r="C560" t="s">
        <v>46</v>
      </c>
      <c r="D560" s="4" cm="1">
        <f t="array" aca="1" ref="D560" ca="1">IFERROR( _xlfn.XLOOKUP(B560, B$2:INDEX(B:B,ROW()-1), I$2:INDEX(I:I,ROW()-1), 0, 0, -1),0)</f>
        <v>3</v>
      </c>
      <c r="E560">
        <v>8</v>
      </c>
      <c r="F560">
        <f t="shared" ca="1" si="58"/>
        <v>0</v>
      </c>
      <c r="G560">
        <f t="shared" ca="1" si="59"/>
        <v>6</v>
      </c>
      <c r="H560">
        <f t="shared" ca="1" si="60"/>
        <v>2</v>
      </c>
      <c r="I560">
        <f t="shared" ca="1" si="61"/>
        <v>3</v>
      </c>
      <c r="J560">
        <v>3.5</v>
      </c>
      <c r="K560">
        <v>3</v>
      </c>
      <c r="L560">
        <v>8</v>
      </c>
      <c r="M560" s="3">
        <f t="shared" ca="1" si="63"/>
        <v>45358</v>
      </c>
      <c r="N560" s="3">
        <f t="shared" ca="1" si="63"/>
        <v>45344</v>
      </c>
      <c r="O560" s="3">
        <v>45426</v>
      </c>
    </row>
    <row r="561" spans="1:15" x14ac:dyDescent="0.3">
      <c r="A561" s="3">
        <v>45373</v>
      </c>
      <c r="B561" t="s">
        <v>21</v>
      </c>
      <c r="C561" t="s">
        <v>27</v>
      </c>
      <c r="D561" s="4" cm="1">
        <f t="array" aca="1" ref="D561" ca="1">IFERROR( _xlfn.XLOOKUP(B561, B$2:INDEX(B:B,ROW()-1), I$2:INDEX(I:I,ROW()-1), 0, 0, -1),0)</f>
        <v>5</v>
      </c>
      <c r="E561">
        <v>8</v>
      </c>
      <c r="F561">
        <f t="shared" ca="1" si="58"/>
        <v>7</v>
      </c>
      <c r="G561">
        <f t="shared" ca="1" si="59"/>
        <v>2</v>
      </c>
      <c r="H561">
        <f t="shared" ca="1" si="60"/>
        <v>1</v>
      </c>
      <c r="I561">
        <f t="shared" ca="1" si="61"/>
        <v>3</v>
      </c>
      <c r="J561">
        <v>4</v>
      </c>
      <c r="K561">
        <v>3</v>
      </c>
      <c r="L561">
        <v>14</v>
      </c>
      <c r="M561" s="3">
        <f t="shared" ca="1" si="63"/>
        <v>45372</v>
      </c>
      <c r="N561" s="3">
        <f t="shared" ca="1" si="63"/>
        <v>45360</v>
      </c>
      <c r="O561" s="3">
        <v>45389</v>
      </c>
    </row>
    <row r="562" spans="1:15" x14ac:dyDescent="0.3">
      <c r="A562" s="3">
        <v>45373</v>
      </c>
      <c r="B562" t="s">
        <v>69</v>
      </c>
      <c r="C562" t="s">
        <v>98</v>
      </c>
      <c r="D562" s="4" cm="1">
        <f t="array" aca="1" ref="D562" ca="1">IFERROR( _xlfn.XLOOKUP(B562, B$2:INDEX(B:B,ROW()-1), I$2:INDEX(I:I,ROW()-1), 0, 0, -1),0)</f>
        <v>5</v>
      </c>
      <c r="E562">
        <v>6</v>
      </c>
      <c r="F562">
        <f t="shared" ca="1" si="58"/>
        <v>6</v>
      </c>
      <c r="G562">
        <f t="shared" ca="1" si="59"/>
        <v>3</v>
      </c>
      <c r="H562">
        <f t="shared" ca="1" si="60"/>
        <v>1</v>
      </c>
      <c r="I562">
        <f t="shared" ca="1" si="61"/>
        <v>1</v>
      </c>
      <c r="J562">
        <v>4</v>
      </c>
      <c r="K562">
        <v>3</v>
      </c>
      <c r="L562">
        <v>7</v>
      </c>
      <c r="M562" s="3">
        <f t="shared" ref="M562:N581" ca="1" si="64">DATE(2024,1,1) + RANDBETWEEN(0, DATE(2024,5,25) - DATE(2024,1,1))</f>
        <v>45376</v>
      </c>
      <c r="N562" s="3">
        <f t="shared" ca="1" si="64"/>
        <v>45413</v>
      </c>
      <c r="O562" s="3">
        <v>45415</v>
      </c>
    </row>
    <row r="563" spans="1:15" x14ac:dyDescent="0.3">
      <c r="A563" s="3">
        <v>45373</v>
      </c>
      <c r="B563" t="s">
        <v>34</v>
      </c>
      <c r="C563" t="s">
        <v>30</v>
      </c>
      <c r="D563" s="4" cm="1">
        <f t="array" aca="1" ref="D563" ca="1">IFERROR( _xlfn.XLOOKUP(B563, B$2:INDEX(B:B,ROW()-1), I$2:INDEX(I:I,ROW()-1), 0, 0, -1),0)</f>
        <v>4</v>
      </c>
      <c r="E563">
        <v>6</v>
      </c>
      <c r="F563">
        <f t="shared" ca="1" si="58"/>
        <v>5</v>
      </c>
      <c r="G563">
        <f t="shared" ca="1" si="59"/>
        <v>0</v>
      </c>
      <c r="H563">
        <f t="shared" ca="1" si="60"/>
        <v>3</v>
      </c>
      <c r="I563">
        <f t="shared" ca="1" si="61"/>
        <v>2</v>
      </c>
      <c r="J563">
        <v>3.5</v>
      </c>
      <c r="K563">
        <v>3</v>
      </c>
      <c r="L563">
        <v>10</v>
      </c>
      <c r="M563" s="3">
        <f t="shared" ca="1" si="64"/>
        <v>45348</v>
      </c>
      <c r="N563" s="3">
        <f t="shared" ca="1" si="64"/>
        <v>45423</v>
      </c>
      <c r="O563" s="3">
        <v>45311</v>
      </c>
    </row>
    <row r="564" spans="1:15" x14ac:dyDescent="0.3">
      <c r="A564" s="3">
        <v>45373</v>
      </c>
      <c r="B564" t="s">
        <v>41</v>
      </c>
      <c r="C564" t="s">
        <v>86</v>
      </c>
      <c r="D564" s="4" cm="1">
        <f t="array" aca="1" ref="D564" ca="1">IFERROR( _xlfn.XLOOKUP(B564, B$2:INDEX(B:B,ROW()-1), I$2:INDEX(I:I,ROW()-1), 0, 0, -1),0)</f>
        <v>8</v>
      </c>
      <c r="E564">
        <v>15</v>
      </c>
      <c r="F564">
        <f t="shared" ca="1" si="58"/>
        <v>7</v>
      </c>
      <c r="G564">
        <f t="shared" ca="1" si="59"/>
        <v>0</v>
      </c>
      <c r="H564">
        <f t="shared" ca="1" si="60"/>
        <v>2</v>
      </c>
      <c r="I564">
        <f t="shared" ca="1" si="61"/>
        <v>14</v>
      </c>
      <c r="J564">
        <v>3</v>
      </c>
      <c r="K564">
        <v>2.5</v>
      </c>
      <c r="L564">
        <v>14</v>
      </c>
      <c r="M564" s="3">
        <f t="shared" ca="1" si="64"/>
        <v>45398</v>
      </c>
      <c r="N564" s="3">
        <f t="shared" ca="1" si="64"/>
        <v>45423</v>
      </c>
      <c r="O564" s="3">
        <v>45384</v>
      </c>
    </row>
    <row r="565" spans="1:15" x14ac:dyDescent="0.3">
      <c r="A565" s="3">
        <v>45373</v>
      </c>
      <c r="B565" t="s">
        <v>37</v>
      </c>
      <c r="C565" t="s">
        <v>51</v>
      </c>
      <c r="D565" s="4" cm="1">
        <f t="array" aca="1" ref="D565" ca="1">IFERROR( _xlfn.XLOOKUP(B565, B$2:INDEX(B:B,ROW()-1), I$2:INDEX(I:I,ROW()-1), 0, 0, -1),0)</f>
        <v>4</v>
      </c>
      <c r="E565">
        <v>12</v>
      </c>
      <c r="F565">
        <f t="shared" ca="1" si="58"/>
        <v>8</v>
      </c>
      <c r="G565">
        <f t="shared" ca="1" si="59"/>
        <v>1</v>
      </c>
      <c r="H565">
        <f t="shared" ca="1" si="60"/>
        <v>3</v>
      </c>
      <c r="I565">
        <f t="shared" ca="1" si="61"/>
        <v>4</v>
      </c>
      <c r="J565">
        <v>3.5</v>
      </c>
      <c r="K565">
        <v>3</v>
      </c>
      <c r="L565">
        <v>14</v>
      </c>
      <c r="M565" s="3">
        <f t="shared" ca="1" si="64"/>
        <v>45324</v>
      </c>
      <c r="N565" s="3">
        <f t="shared" ca="1" si="64"/>
        <v>45363</v>
      </c>
      <c r="O565" s="3">
        <v>45387</v>
      </c>
    </row>
    <row r="566" spans="1:15" x14ac:dyDescent="0.3">
      <c r="A566" s="3">
        <v>45373</v>
      </c>
      <c r="B566" t="s">
        <v>20</v>
      </c>
      <c r="C566" t="s">
        <v>25</v>
      </c>
      <c r="D566" s="4" cm="1">
        <f t="array" aca="1" ref="D566" ca="1">IFERROR( _xlfn.XLOOKUP(B566, B$2:INDEX(B:B,ROW()-1), I$2:INDEX(I:I,ROW()-1), 0, 0, -1),0)</f>
        <v>5</v>
      </c>
      <c r="E566">
        <v>10</v>
      </c>
      <c r="F566">
        <f t="shared" ca="1" si="58"/>
        <v>9</v>
      </c>
      <c r="G566">
        <f t="shared" ca="1" si="59"/>
        <v>2</v>
      </c>
      <c r="H566">
        <f t="shared" ca="1" si="60"/>
        <v>1</v>
      </c>
      <c r="I566">
        <f t="shared" ca="1" si="61"/>
        <v>3</v>
      </c>
      <c r="J566">
        <v>4.5</v>
      </c>
      <c r="K566">
        <v>4</v>
      </c>
      <c r="L566">
        <v>10</v>
      </c>
      <c r="M566" s="3">
        <f t="shared" ca="1" si="64"/>
        <v>45314</v>
      </c>
      <c r="N566" s="3">
        <f t="shared" ca="1" si="64"/>
        <v>45390</v>
      </c>
      <c r="O566" s="3">
        <v>45391</v>
      </c>
    </row>
    <row r="567" spans="1:15" x14ac:dyDescent="0.3">
      <c r="A567" s="3">
        <v>45373</v>
      </c>
      <c r="B567" t="s">
        <v>72</v>
      </c>
      <c r="C567" t="s">
        <v>48</v>
      </c>
      <c r="D567" s="4" cm="1">
        <f t="array" aca="1" ref="D567" ca="1">IFERROR( _xlfn.XLOOKUP(B567, B$2:INDEX(B:B,ROW()-1), I$2:INDEX(I:I,ROW()-1), 0, 0, -1),0)</f>
        <v>0</v>
      </c>
      <c r="E567">
        <v>6</v>
      </c>
      <c r="F567">
        <f t="shared" ca="1" si="58"/>
        <v>4</v>
      </c>
      <c r="G567">
        <f t="shared" ca="1" si="59"/>
        <v>1</v>
      </c>
      <c r="H567">
        <f t="shared" ca="1" si="60"/>
        <v>0</v>
      </c>
      <c r="I567">
        <f t="shared" ca="1" si="61"/>
        <v>1</v>
      </c>
      <c r="J567">
        <v>4</v>
      </c>
      <c r="K567">
        <v>3</v>
      </c>
      <c r="L567">
        <v>7</v>
      </c>
      <c r="M567" s="3">
        <f t="shared" ca="1" si="64"/>
        <v>45295</v>
      </c>
      <c r="N567" s="3">
        <f t="shared" ca="1" si="64"/>
        <v>45390</v>
      </c>
      <c r="O567" s="3">
        <v>45298</v>
      </c>
    </row>
    <row r="568" spans="1:15" x14ac:dyDescent="0.3">
      <c r="A568" s="3">
        <v>45373</v>
      </c>
      <c r="B568" t="s">
        <v>68</v>
      </c>
      <c r="C568" t="s">
        <v>43</v>
      </c>
      <c r="D568" s="4" cm="1">
        <f t="array" aca="1" ref="D568" ca="1">IFERROR( _xlfn.XLOOKUP(B568, B$2:INDEX(B:B,ROW()-1), I$2:INDEX(I:I,ROW()-1), 0, 0, -1),0)</f>
        <v>2</v>
      </c>
      <c r="E568">
        <v>15</v>
      </c>
      <c r="F568">
        <f t="shared" ca="1" si="58"/>
        <v>8</v>
      </c>
      <c r="G568">
        <f t="shared" ca="1" si="59"/>
        <v>2</v>
      </c>
      <c r="H568">
        <f t="shared" ca="1" si="60"/>
        <v>3</v>
      </c>
      <c r="I568">
        <f t="shared" ca="1" si="61"/>
        <v>4</v>
      </c>
      <c r="J568">
        <v>4</v>
      </c>
      <c r="K568">
        <v>3</v>
      </c>
      <c r="L568">
        <v>14</v>
      </c>
      <c r="M568" s="3">
        <f t="shared" ca="1" si="64"/>
        <v>45376</v>
      </c>
      <c r="N568" s="3">
        <f t="shared" ca="1" si="64"/>
        <v>45400</v>
      </c>
      <c r="O568" s="3">
        <v>45418</v>
      </c>
    </row>
    <row r="569" spans="1:15" x14ac:dyDescent="0.3">
      <c r="A569" s="3">
        <v>45374</v>
      </c>
      <c r="B569" t="s">
        <v>65</v>
      </c>
      <c r="C569" t="s">
        <v>44</v>
      </c>
      <c r="D569" s="4" cm="1">
        <f t="array" aca="1" ref="D569" ca="1">IFERROR( _xlfn.XLOOKUP(B569, B$2:INDEX(B:B,ROW()-1), I$2:INDEX(I:I,ROW()-1), 0, 0, -1),0)</f>
        <v>8</v>
      </c>
      <c r="E569">
        <v>10</v>
      </c>
      <c r="F569">
        <f t="shared" ca="1" si="58"/>
        <v>0</v>
      </c>
      <c r="G569">
        <f t="shared" ca="1" si="59"/>
        <v>11</v>
      </c>
      <c r="H569">
        <f t="shared" ca="1" si="60"/>
        <v>2</v>
      </c>
      <c r="I569">
        <f t="shared" ca="1" si="61"/>
        <v>5</v>
      </c>
      <c r="J569">
        <v>3.5</v>
      </c>
      <c r="K569">
        <v>3</v>
      </c>
      <c r="L569">
        <v>8</v>
      </c>
      <c r="M569" s="3">
        <f t="shared" ca="1" si="64"/>
        <v>45382</v>
      </c>
      <c r="N569" s="3">
        <f t="shared" ca="1" si="64"/>
        <v>45313</v>
      </c>
      <c r="O569" s="3">
        <v>45387</v>
      </c>
    </row>
    <row r="570" spans="1:15" x14ac:dyDescent="0.3">
      <c r="A570" s="3">
        <v>45374</v>
      </c>
      <c r="B570" t="s">
        <v>67</v>
      </c>
      <c r="C570" t="s">
        <v>46</v>
      </c>
      <c r="D570" s="4" cm="1">
        <f t="array" aca="1" ref="D570" ca="1">IFERROR( _xlfn.XLOOKUP(B570, B$2:INDEX(B:B,ROW()-1), I$2:INDEX(I:I,ROW()-1), 0, 0, -1),0)</f>
        <v>3</v>
      </c>
      <c r="E570">
        <v>8</v>
      </c>
      <c r="F570">
        <f t="shared" ca="1" si="58"/>
        <v>6</v>
      </c>
      <c r="G570">
        <f t="shared" ca="1" si="59"/>
        <v>1</v>
      </c>
      <c r="H570">
        <f t="shared" ca="1" si="60"/>
        <v>1</v>
      </c>
      <c r="I570">
        <f t="shared" ca="1" si="61"/>
        <v>3</v>
      </c>
      <c r="J570">
        <v>3.5</v>
      </c>
      <c r="K570">
        <v>3</v>
      </c>
      <c r="L570">
        <v>8</v>
      </c>
      <c r="M570" s="3">
        <f t="shared" ca="1" si="64"/>
        <v>45355</v>
      </c>
      <c r="N570" s="3">
        <f t="shared" ca="1" si="64"/>
        <v>45299</v>
      </c>
      <c r="O570" s="3">
        <v>45366</v>
      </c>
    </row>
    <row r="571" spans="1:15" x14ac:dyDescent="0.3">
      <c r="A571" s="3">
        <v>45374</v>
      </c>
      <c r="B571" t="s">
        <v>90</v>
      </c>
      <c r="C571" t="s">
        <v>87</v>
      </c>
      <c r="D571" s="4" cm="1">
        <f t="array" aca="1" ref="D571" ca="1">IFERROR( _xlfn.XLOOKUP(B571, B$2:INDEX(B:B,ROW()-1), I$2:INDEX(I:I,ROW()-1), 0, 0, -1),0)</f>
        <v>6</v>
      </c>
      <c r="E571">
        <v>12</v>
      </c>
      <c r="F571">
        <f t="shared" ca="1" si="58"/>
        <v>9</v>
      </c>
      <c r="G571">
        <f t="shared" ca="1" si="59"/>
        <v>1</v>
      </c>
      <c r="H571">
        <f t="shared" ca="1" si="60"/>
        <v>4</v>
      </c>
      <c r="I571">
        <f t="shared" ca="1" si="61"/>
        <v>4</v>
      </c>
      <c r="J571">
        <v>4.5</v>
      </c>
      <c r="K571">
        <v>4</v>
      </c>
      <c r="L571">
        <v>14</v>
      </c>
      <c r="M571" s="3">
        <f t="shared" ca="1" si="64"/>
        <v>45363</v>
      </c>
      <c r="N571" s="3">
        <f t="shared" ca="1" si="64"/>
        <v>45305</v>
      </c>
      <c r="O571" s="3">
        <v>45337</v>
      </c>
    </row>
    <row r="572" spans="1:15" x14ac:dyDescent="0.3">
      <c r="A572" s="3">
        <v>45374</v>
      </c>
      <c r="B572" t="s">
        <v>58</v>
      </c>
      <c r="C572" t="s">
        <v>76</v>
      </c>
      <c r="D572" s="4" cm="1">
        <f t="array" aca="1" ref="D572" ca="1">IFERROR( _xlfn.XLOOKUP(B572, B$2:INDEX(B:B,ROW()-1), I$2:INDEX(I:I,ROW()-1), 0, 0, -1),0)</f>
        <v>5</v>
      </c>
      <c r="E572">
        <v>15</v>
      </c>
      <c r="F572">
        <f t="shared" ca="1" si="58"/>
        <v>1</v>
      </c>
      <c r="G572">
        <f t="shared" ca="1" si="59"/>
        <v>8</v>
      </c>
      <c r="H572">
        <f t="shared" ca="1" si="60"/>
        <v>5</v>
      </c>
      <c r="I572">
        <f t="shared" ca="1" si="61"/>
        <v>6</v>
      </c>
      <c r="J572">
        <v>6</v>
      </c>
      <c r="K572">
        <v>5.5</v>
      </c>
      <c r="L572">
        <v>20</v>
      </c>
      <c r="M572" s="3">
        <f t="shared" ca="1" si="64"/>
        <v>45303</v>
      </c>
      <c r="N572" s="3">
        <f t="shared" ca="1" si="64"/>
        <v>45426</v>
      </c>
      <c r="O572" s="3">
        <v>45405</v>
      </c>
    </row>
    <row r="573" spans="1:15" x14ac:dyDescent="0.3">
      <c r="A573" s="3">
        <v>45374</v>
      </c>
      <c r="B573" t="s">
        <v>56</v>
      </c>
      <c r="C573" t="s">
        <v>54</v>
      </c>
      <c r="D573" s="4" cm="1">
        <f t="array" aca="1" ref="D573" ca="1">IFERROR( _xlfn.XLOOKUP(B573, B$2:INDEX(B:B,ROW()-1), I$2:INDEX(I:I,ROW()-1), 0, 0, -1),0)</f>
        <v>3</v>
      </c>
      <c r="E573">
        <v>8</v>
      </c>
      <c r="F573">
        <f t="shared" ca="1" si="58"/>
        <v>2</v>
      </c>
      <c r="G573">
        <f t="shared" ca="1" si="59"/>
        <v>0</v>
      </c>
      <c r="H573">
        <f t="shared" ca="1" si="60"/>
        <v>5</v>
      </c>
      <c r="I573">
        <f t="shared" ca="1" si="61"/>
        <v>4</v>
      </c>
      <c r="J573">
        <v>6</v>
      </c>
      <c r="K573">
        <v>5.5</v>
      </c>
      <c r="L573">
        <v>20</v>
      </c>
      <c r="M573" s="3">
        <f t="shared" ca="1" si="64"/>
        <v>45357</v>
      </c>
      <c r="N573" s="3">
        <f t="shared" ca="1" si="64"/>
        <v>45340</v>
      </c>
      <c r="O573" s="3">
        <v>45424</v>
      </c>
    </row>
    <row r="574" spans="1:15" x14ac:dyDescent="0.3">
      <c r="A574" s="3">
        <v>45375</v>
      </c>
      <c r="B574" t="s">
        <v>58</v>
      </c>
      <c r="C574" t="s">
        <v>76</v>
      </c>
      <c r="D574" s="4" cm="1">
        <f t="array" aca="1" ref="D574" ca="1">IFERROR( _xlfn.XLOOKUP(B574, B$2:INDEX(B:B,ROW()-1), I$2:INDEX(I:I,ROW()-1), 0, 0, -1),0)</f>
        <v>6</v>
      </c>
      <c r="E574">
        <v>15</v>
      </c>
      <c r="F574">
        <f t="shared" ca="1" si="58"/>
        <v>1</v>
      </c>
      <c r="G574">
        <f t="shared" ca="1" si="59"/>
        <v>10</v>
      </c>
      <c r="H574">
        <f t="shared" ca="1" si="60"/>
        <v>5</v>
      </c>
      <c r="I574">
        <f t="shared" ca="1" si="61"/>
        <v>5</v>
      </c>
      <c r="J574">
        <v>6</v>
      </c>
      <c r="K574">
        <v>5.5</v>
      </c>
      <c r="L574">
        <v>20</v>
      </c>
      <c r="M574" s="3">
        <f t="shared" ca="1" si="64"/>
        <v>45313</v>
      </c>
      <c r="N574" s="3">
        <f t="shared" ca="1" si="64"/>
        <v>45366</v>
      </c>
      <c r="O574" s="3">
        <v>45312</v>
      </c>
    </row>
    <row r="575" spans="1:15" x14ac:dyDescent="0.3">
      <c r="A575" s="3">
        <v>45375</v>
      </c>
      <c r="B575" t="s">
        <v>23</v>
      </c>
      <c r="C575" t="s">
        <v>28</v>
      </c>
      <c r="D575" s="4" cm="1">
        <f t="array" aca="1" ref="D575" ca="1">IFERROR( _xlfn.XLOOKUP(B575, B$2:INDEX(B:B,ROW()-1), I$2:INDEX(I:I,ROW()-1), 0, 0, -1),0)</f>
        <v>4</v>
      </c>
      <c r="E575">
        <v>9</v>
      </c>
      <c r="F575">
        <f t="shared" ca="1" si="58"/>
        <v>8</v>
      </c>
      <c r="G575">
        <f t="shared" ca="1" si="59"/>
        <v>0</v>
      </c>
      <c r="H575">
        <f t="shared" ca="1" si="60"/>
        <v>3</v>
      </c>
      <c r="I575">
        <f t="shared" ca="1" si="61"/>
        <v>2</v>
      </c>
      <c r="J575">
        <v>6.5</v>
      </c>
      <c r="K575">
        <v>5.5</v>
      </c>
      <c r="L575">
        <v>9</v>
      </c>
      <c r="M575" s="3">
        <f t="shared" ca="1" si="64"/>
        <v>45310</v>
      </c>
      <c r="N575" s="3">
        <f t="shared" ca="1" si="64"/>
        <v>45362</v>
      </c>
      <c r="O575" s="3">
        <v>45304</v>
      </c>
    </row>
    <row r="576" spans="1:15" x14ac:dyDescent="0.3">
      <c r="A576" s="3">
        <v>45375</v>
      </c>
      <c r="B576" t="s">
        <v>92</v>
      </c>
      <c r="C576" t="s">
        <v>91</v>
      </c>
      <c r="D576" s="4" cm="1">
        <f t="array" aca="1" ref="D576" ca="1">IFERROR( _xlfn.XLOOKUP(B576, B$2:INDEX(B:B,ROW()-1), I$2:INDEX(I:I,ROW()-1), 0, 0, -1),0)</f>
        <v>2</v>
      </c>
      <c r="E576">
        <v>6</v>
      </c>
      <c r="F576">
        <f t="shared" ca="1" si="58"/>
        <v>5</v>
      </c>
      <c r="G576">
        <f t="shared" ca="1" si="59"/>
        <v>2</v>
      </c>
      <c r="H576">
        <f t="shared" ca="1" si="60"/>
        <v>0</v>
      </c>
      <c r="I576">
        <f t="shared" ca="1" si="61"/>
        <v>1</v>
      </c>
      <c r="J576">
        <v>4.5</v>
      </c>
      <c r="K576">
        <v>4</v>
      </c>
      <c r="L576">
        <v>14</v>
      </c>
      <c r="M576" s="3">
        <f t="shared" ca="1" si="64"/>
        <v>45382</v>
      </c>
      <c r="N576" s="3">
        <f t="shared" ca="1" si="64"/>
        <v>45369</v>
      </c>
      <c r="O576" s="3">
        <v>45307</v>
      </c>
    </row>
    <row r="577" spans="1:15" x14ac:dyDescent="0.3">
      <c r="A577" s="3">
        <v>45375</v>
      </c>
      <c r="B577" t="s">
        <v>57</v>
      </c>
      <c r="C577" t="s">
        <v>75</v>
      </c>
      <c r="D577" s="4" cm="1">
        <f t="array" aca="1" ref="D577" ca="1">IFERROR( _xlfn.XLOOKUP(B577, B$2:INDEX(B:B,ROW()-1), I$2:INDEX(I:I,ROW()-1), 0, 0, -1),0)</f>
        <v>7</v>
      </c>
      <c r="E577">
        <v>8</v>
      </c>
      <c r="F577">
        <f t="shared" ca="1" si="58"/>
        <v>4</v>
      </c>
      <c r="G577">
        <f t="shared" ca="1" si="59"/>
        <v>6</v>
      </c>
      <c r="H577">
        <f t="shared" ca="1" si="60"/>
        <v>0</v>
      </c>
      <c r="I577">
        <f t="shared" ca="1" si="61"/>
        <v>5</v>
      </c>
      <c r="J577">
        <v>6</v>
      </c>
      <c r="K577">
        <v>5.5</v>
      </c>
      <c r="L577">
        <v>20</v>
      </c>
      <c r="M577" s="3">
        <f t="shared" ca="1" si="64"/>
        <v>45435</v>
      </c>
      <c r="N577" s="3">
        <f t="shared" ca="1" si="64"/>
        <v>45426</v>
      </c>
      <c r="O577" s="3">
        <v>45324</v>
      </c>
    </row>
    <row r="578" spans="1:15" x14ac:dyDescent="0.3">
      <c r="A578" s="3">
        <v>45375</v>
      </c>
      <c r="B578" t="s">
        <v>22</v>
      </c>
      <c r="C578" t="s">
        <v>26</v>
      </c>
      <c r="D578" s="4" cm="1">
        <f t="array" aca="1" ref="D578" ca="1">IFERROR( _xlfn.XLOOKUP(B578, B$2:INDEX(B:B,ROW()-1), I$2:INDEX(I:I,ROW()-1), 0, 0, -1),0)</f>
        <v>2</v>
      </c>
      <c r="E578">
        <v>12</v>
      </c>
      <c r="F578">
        <f t="shared" ref="F578:F641" ca="1" si="65">RANDBETWEEN(0, ROUND((D578+E578)*0.6,0))</f>
        <v>6</v>
      </c>
      <c r="G578">
        <f t="shared" ref="G578:G641" ca="1" si="66">RANDBETWEEN(0,ROUND((D578+E578-F578)*0.6,0))</f>
        <v>1</v>
      </c>
      <c r="H578">
        <f t="shared" ref="H578:H641" ca="1" si="67">RANDBETWEEN(0,ROUND((D578+E578-F578-G578)*0.6,0))</f>
        <v>4</v>
      </c>
      <c r="I578">
        <f t="shared" ref="I578:I641" ca="1" si="68">D578+E578-F578-G578-H578</f>
        <v>3</v>
      </c>
      <c r="J578">
        <v>3.5</v>
      </c>
      <c r="K578">
        <v>3</v>
      </c>
      <c r="L578">
        <v>14</v>
      </c>
      <c r="M578" s="3">
        <f t="shared" ca="1" si="64"/>
        <v>45397</v>
      </c>
      <c r="N578" s="3">
        <f t="shared" ca="1" si="64"/>
        <v>45343</v>
      </c>
      <c r="O578" s="3">
        <v>45306</v>
      </c>
    </row>
    <row r="579" spans="1:15" x14ac:dyDescent="0.3">
      <c r="A579" s="3">
        <v>45375</v>
      </c>
      <c r="B579" t="s">
        <v>66</v>
      </c>
      <c r="C579" t="s">
        <v>45</v>
      </c>
      <c r="D579" s="4" cm="1">
        <f t="array" aca="1" ref="D579" ca="1">IFERROR( _xlfn.XLOOKUP(B579, B$2:INDEX(B:B,ROW()-1), I$2:INDEX(I:I,ROW()-1), 0, 0, -1),0)</f>
        <v>2</v>
      </c>
      <c r="E579">
        <v>8</v>
      </c>
      <c r="F579">
        <f t="shared" ca="1" si="65"/>
        <v>2</v>
      </c>
      <c r="G579">
        <f t="shared" ca="1" si="66"/>
        <v>1</v>
      </c>
      <c r="H579">
        <f t="shared" ca="1" si="67"/>
        <v>1</v>
      </c>
      <c r="I579">
        <f t="shared" ca="1" si="68"/>
        <v>6</v>
      </c>
      <c r="J579">
        <v>3.5</v>
      </c>
      <c r="K579">
        <v>3</v>
      </c>
      <c r="L579">
        <v>8</v>
      </c>
      <c r="M579" s="3">
        <f t="shared" ca="1" si="64"/>
        <v>45409</v>
      </c>
      <c r="N579" s="3">
        <f t="shared" ca="1" si="64"/>
        <v>45323</v>
      </c>
      <c r="O579" s="3">
        <v>45361</v>
      </c>
    </row>
    <row r="580" spans="1:15" x14ac:dyDescent="0.3">
      <c r="A580" s="3">
        <v>45375</v>
      </c>
      <c r="B580" t="s">
        <v>38</v>
      </c>
      <c r="C580" t="s">
        <v>52</v>
      </c>
      <c r="D580" s="4" cm="1">
        <f t="array" aca="1" ref="D580" ca="1">IFERROR( _xlfn.XLOOKUP(B580, B$2:INDEX(B:B,ROW()-1), I$2:INDEX(I:I,ROW()-1), 0, 0, -1),0)</f>
        <v>5</v>
      </c>
      <c r="E580">
        <v>12</v>
      </c>
      <c r="F580">
        <f t="shared" ca="1" si="65"/>
        <v>0</v>
      </c>
      <c r="G580">
        <f t="shared" ca="1" si="66"/>
        <v>3</v>
      </c>
      <c r="H580">
        <f t="shared" ca="1" si="67"/>
        <v>1</v>
      </c>
      <c r="I580">
        <f t="shared" ca="1" si="68"/>
        <v>13</v>
      </c>
      <c r="J580">
        <v>3.5</v>
      </c>
      <c r="K580">
        <v>3</v>
      </c>
      <c r="L580">
        <v>14</v>
      </c>
      <c r="M580" s="3">
        <f t="shared" ca="1" si="64"/>
        <v>45294</v>
      </c>
      <c r="N580" s="3">
        <f t="shared" ca="1" si="64"/>
        <v>45417</v>
      </c>
      <c r="O580" s="3">
        <v>45380</v>
      </c>
    </row>
    <row r="581" spans="1:15" x14ac:dyDescent="0.3">
      <c r="A581" s="3">
        <v>45376</v>
      </c>
      <c r="B581" t="s">
        <v>92</v>
      </c>
      <c r="C581" t="s">
        <v>91</v>
      </c>
      <c r="D581" s="4" cm="1">
        <f t="array" aca="1" ref="D581" ca="1">IFERROR( _xlfn.XLOOKUP(B581, B$2:INDEX(B:B,ROW()-1), I$2:INDEX(I:I,ROW()-1), 0, 0, -1),0)</f>
        <v>1</v>
      </c>
      <c r="E581">
        <v>6</v>
      </c>
      <c r="F581">
        <f t="shared" ca="1" si="65"/>
        <v>0</v>
      </c>
      <c r="G581">
        <f t="shared" ca="1" si="66"/>
        <v>2</v>
      </c>
      <c r="H581">
        <f t="shared" ca="1" si="67"/>
        <v>3</v>
      </c>
      <c r="I581">
        <f t="shared" ca="1" si="68"/>
        <v>2</v>
      </c>
      <c r="J581">
        <v>4.5</v>
      </c>
      <c r="K581">
        <v>4</v>
      </c>
      <c r="L581">
        <v>14</v>
      </c>
      <c r="M581" s="3">
        <f t="shared" ca="1" si="64"/>
        <v>45294</v>
      </c>
      <c r="N581" s="3">
        <f t="shared" ca="1" si="64"/>
        <v>45339</v>
      </c>
      <c r="O581" s="3">
        <v>45371</v>
      </c>
    </row>
    <row r="582" spans="1:15" x14ac:dyDescent="0.3">
      <c r="A582" s="3">
        <v>45376</v>
      </c>
      <c r="B582" t="s">
        <v>23</v>
      </c>
      <c r="C582" t="s">
        <v>28</v>
      </c>
      <c r="D582" s="4" cm="1">
        <f t="array" aca="1" ref="D582" ca="1">IFERROR( _xlfn.XLOOKUP(B582, B$2:INDEX(B:B,ROW()-1), I$2:INDEX(I:I,ROW()-1), 0, 0, -1),0)</f>
        <v>2</v>
      </c>
      <c r="E582">
        <v>9</v>
      </c>
      <c r="F582">
        <f t="shared" ca="1" si="65"/>
        <v>7</v>
      </c>
      <c r="G582">
        <f t="shared" ca="1" si="66"/>
        <v>2</v>
      </c>
      <c r="H582">
        <f t="shared" ca="1" si="67"/>
        <v>1</v>
      </c>
      <c r="I582">
        <f t="shared" ca="1" si="68"/>
        <v>1</v>
      </c>
      <c r="J582">
        <v>6.5</v>
      </c>
      <c r="K582">
        <v>5.5</v>
      </c>
      <c r="L582">
        <v>9</v>
      </c>
      <c r="M582" s="3">
        <f t="shared" ref="M582:N601" ca="1" si="69">DATE(2024,1,1) + RANDBETWEEN(0, DATE(2024,5,25) - DATE(2024,1,1))</f>
        <v>45432</v>
      </c>
      <c r="N582" s="3">
        <f t="shared" ca="1" si="69"/>
        <v>45391</v>
      </c>
      <c r="O582" s="3">
        <v>45408</v>
      </c>
    </row>
    <row r="583" spans="1:15" x14ac:dyDescent="0.3">
      <c r="A583" s="3">
        <v>45376</v>
      </c>
      <c r="B583" t="s">
        <v>83</v>
      </c>
      <c r="C583" t="s">
        <v>100</v>
      </c>
      <c r="D583" s="4" cm="1">
        <f t="array" aca="1" ref="D583" ca="1">IFERROR( _xlfn.XLOOKUP(B583, B$2:INDEX(B:B,ROW()-1), I$2:INDEX(I:I,ROW()-1), 0, 0, -1),0)</f>
        <v>6</v>
      </c>
      <c r="E583">
        <v>10</v>
      </c>
      <c r="F583">
        <f t="shared" ca="1" si="65"/>
        <v>9</v>
      </c>
      <c r="G583">
        <f t="shared" ca="1" si="66"/>
        <v>3</v>
      </c>
      <c r="H583">
        <f t="shared" ca="1" si="67"/>
        <v>0</v>
      </c>
      <c r="I583">
        <f t="shared" ca="1" si="68"/>
        <v>4</v>
      </c>
      <c r="J583">
        <v>4.5</v>
      </c>
      <c r="K583">
        <v>4</v>
      </c>
      <c r="L583">
        <v>10</v>
      </c>
      <c r="M583" s="3">
        <f t="shared" ca="1" si="69"/>
        <v>45355</v>
      </c>
      <c r="N583" s="3">
        <f t="shared" ca="1" si="69"/>
        <v>45348</v>
      </c>
      <c r="O583" s="3">
        <v>45357</v>
      </c>
    </row>
    <row r="584" spans="1:15" x14ac:dyDescent="0.3">
      <c r="A584" s="3">
        <v>45376</v>
      </c>
      <c r="B584" t="s">
        <v>35</v>
      </c>
      <c r="C584" t="s">
        <v>31</v>
      </c>
      <c r="D584" s="4" cm="1">
        <f t="array" aca="1" ref="D584" ca="1">IFERROR( _xlfn.XLOOKUP(B584, B$2:INDEX(B:B,ROW()-1), I$2:INDEX(I:I,ROW()-1), 0, 0, -1),0)</f>
        <v>3</v>
      </c>
      <c r="E584">
        <v>8</v>
      </c>
      <c r="F584">
        <f t="shared" ca="1" si="65"/>
        <v>3</v>
      </c>
      <c r="G584">
        <f t="shared" ca="1" si="66"/>
        <v>5</v>
      </c>
      <c r="H584">
        <f t="shared" ca="1" si="67"/>
        <v>0</v>
      </c>
      <c r="I584">
        <f t="shared" ca="1" si="68"/>
        <v>3</v>
      </c>
      <c r="J584">
        <v>3.5</v>
      </c>
      <c r="K584">
        <v>3</v>
      </c>
      <c r="L584">
        <v>14</v>
      </c>
      <c r="M584" s="3">
        <f t="shared" ca="1" si="69"/>
        <v>45405</v>
      </c>
      <c r="N584" s="3">
        <f t="shared" ca="1" si="69"/>
        <v>45416</v>
      </c>
      <c r="O584" s="3">
        <v>45395</v>
      </c>
    </row>
    <row r="585" spans="1:15" x14ac:dyDescent="0.3">
      <c r="A585" s="3">
        <v>45376</v>
      </c>
      <c r="B585" t="s">
        <v>67</v>
      </c>
      <c r="C585" t="s">
        <v>46</v>
      </c>
      <c r="D585" s="4" cm="1">
        <f t="array" aca="1" ref="D585" ca="1">IFERROR( _xlfn.XLOOKUP(B585, B$2:INDEX(B:B,ROW()-1), I$2:INDEX(I:I,ROW()-1), 0, 0, -1),0)</f>
        <v>3</v>
      </c>
      <c r="E585">
        <v>8</v>
      </c>
      <c r="F585">
        <f t="shared" ca="1" si="65"/>
        <v>6</v>
      </c>
      <c r="G585">
        <f t="shared" ca="1" si="66"/>
        <v>1</v>
      </c>
      <c r="H585">
        <f t="shared" ca="1" si="67"/>
        <v>0</v>
      </c>
      <c r="I585">
        <f t="shared" ca="1" si="68"/>
        <v>4</v>
      </c>
      <c r="J585">
        <v>3.5</v>
      </c>
      <c r="K585">
        <v>3</v>
      </c>
      <c r="L585">
        <v>8</v>
      </c>
      <c r="M585" s="3">
        <f t="shared" ca="1" si="69"/>
        <v>45417</v>
      </c>
      <c r="N585" s="3">
        <f t="shared" ca="1" si="69"/>
        <v>45343</v>
      </c>
      <c r="O585" s="3">
        <v>45307</v>
      </c>
    </row>
    <row r="586" spans="1:15" x14ac:dyDescent="0.3">
      <c r="A586" s="3">
        <v>45376</v>
      </c>
      <c r="B586" t="s">
        <v>58</v>
      </c>
      <c r="C586" t="s">
        <v>76</v>
      </c>
      <c r="D586" s="4" cm="1">
        <f t="array" aca="1" ref="D586" ca="1">IFERROR( _xlfn.XLOOKUP(B586, B$2:INDEX(B:B,ROW()-1), I$2:INDEX(I:I,ROW()-1), 0, 0, -1),0)</f>
        <v>5</v>
      </c>
      <c r="E586">
        <v>15</v>
      </c>
      <c r="F586">
        <f t="shared" ca="1" si="65"/>
        <v>7</v>
      </c>
      <c r="G586">
        <f t="shared" ca="1" si="66"/>
        <v>1</v>
      </c>
      <c r="H586">
        <f t="shared" ca="1" si="67"/>
        <v>6</v>
      </c>
      <c r="I586">
        <f t="shared" ca="1" si="68"/>
        <v>6</v>
      </c>
      <c r="J586">
        <v>6</v>
      </c>
      <c r="K586">
        <v>5.5</v>
      </c>
      <c r="L586">
        <v>20</v>
      </c>
      <c r="M586" s="3">
        <f t="shared" ca="1" si="69"/>
        <v>45363</v>
      </c>
      <c r="N586" s="3">
        <f t="shared" ca="1" si="69"/>
        <v>45340</v>
      </c>
      <c r="O586" s="3">
        <v>45334</v>
      </c>
    </row>
    <row r="587" spans="1:15" x14ac:dyDescent="0.3">
      <c r="A587" s="3">
        <v>45376</v>
      </c>
      <c r="B587" t="s">
        <v>20</v>
      </c>
      <c r="C587" t="s">
        <v>25</v>
      </c>
      <c r="D587" s="4" cm="1">
        <f t="array" aca="1" ref="D587" ca="1">IFERROR( _xlfn.XLOOKUP(B587, B$2:INDEX(B:B,ROW()-1), I$2:INDEX(I:I,ROW()-1), 0, 0, -1),0)</f>
        <v>3</v>
      </c>
      <c r="E587">
        <v>10</v>
      </c>
      <c r="F587">
        <f t="shared" ca="1" si="65"/>
        <v>2</v>
      </c>
      <c r="G587">
        <f t="shared" ca="1" si="66"/>
        <v>2</v>
      </c>
      <c r="H587">
        <f t="shared" ca="1" si="67"/>
        <v>5</v>
      </c>
      <c r="I587">
        <f t="shared" ca="1" si="68"/>
        <v>4</v>
      </c>
      <c r="J587">
        <v>4.5</v>
      </c>
      <c r="K587">
        <v>4</v>
      </c>
      <c r="L587">
        <v>10</v>
      </c>
      <c r="M587" s="3">
        <f t="shared" ca="1" si="69"/>
        <v>45316</v>
      </c>
      <c r="N587" s="3">
        <f t="shared" ca="1" si="69"/>
        <v>45404</v>
      </c>
      <c r="O587" s="3">
        <v>45430</v>
      </c>
    </row>
    <row r="588" spans="1:15" x14ac:dyDescent="0.3">
      <c r="A588" s="3">
        <v>45376</v>
      </c>
      <c r="B588" t="s">
        <v>22</v>
      </c>
      <c r="C588" t="s">
        <v>26</v>
      </c>
      <c r="D588" s="4" cm="1">
        <f t="array" aca="1" ref="D588" ca="1">IFERROR( _xlfn.XLOOKUP(B588, B$2:INDEX(B:B,ROW()-1), I$2:INDEX(I:I,ROW()-1), 0, 0, -1),0)</f>
        <v>3</v>
      </c>
      <c r="E588">
        <v>12</v>
      </c>
      <c r="F588">
        <f t="shared" ca="1" si="65"/>
        <v>4</v>
      </c>
      <c r="G588">
        <f t="shared" ca="1" si="66"/>
        <v>7</v>
      </c>
      <c r="H588">
        <f t="shared" ca="1" si="67"/>
        <v>1</v>
      </c>
      <c r="I588">
        <f t="shared" ca="1" si="68"/>
        <v>3</v>
      </c>
      <c r="J588">
        <v>3.5</v>
      </c>
      <c r="K588">
        <v>3</v>
      </c>
      <c r="L588">
        <v>14</v>
      </c>
      <c r="M588" s="3">
        <f t="shared" ca="1" si="69"/>
        <v>45369</v>
      </c>
      <c r="N588" s="3">
        <f t="shared" ca="1" si="69"/>
        <v>45433</v>
      </c>
      <c r="O588" s="3">
        <v>45414</v>
      </c>
    </row>
    <row r="589" spans="1:15" x14ac:dyDescent="0.3">
      <c r="A589" s="3">
        <v>45377</v>
      </c>
      <c r="B589" t="s">
        <v>57</v>
      </c>
      <c r="C589" t="s">
        <v>75</v>
      </c>
      <c r="D589" s="4" cm="1">
        <f t="array" aca="1" ref="D589" ca="1">IFERROR( _xlfn.XLOOKUP(B589, B$2:INDEX(B:B,ROW()-1), I$2:INDEX(I:I,ROW()-1), 0, 0, -1),0)</f>
        <v>5</v>
      </c>
      <c r="E589">
        <v>8</v>
      </c>
      <c r="F589">
        <f t="shared" ca="1" si="65"/>
        <v>0</v>
      </c>
      <c r="G589">
        <f t="shared" ca="1" si="66"/>
        <v>4</v>
      </c>
      <c r="H589">
        <f t="shared" ca="1" si="67"/>
        <v>4</v>
      </c>
      <c r="I589">
        <f t="shared" ca="1" si="68"/>
        <v>5</v>
      </c>
      <c r="J589">
        <v>6</v>
      </c>
      <c r="K589">
        <v>5.5</v>
      </c>
      <c r="L589">
        <v>20</v>
      </c>
      <c r="M589" s="3">
        <f t="shared" ca="1" si="69"/>
        <v>45299</v>
      </c>
      <c r="N589" s="3">
        <f t="shared" ca="1" si="69"/>
        <v>45353</v>
      </c>
      <c r="O589" s="3">
        <v>45301</v>
      </c>
    </row>
    <row r="590" spans="1:15" x14ac:dyDescent="0.3">
      <c r="A590" s="3">
        <v>45377</v>
      </c>
      <c r="B590" t="s">
        <v>82</v>
      </c>
      <c r="C590" t="s">
        <v>73</v>
      </c>
      <c r="D590" s="4" cm="1">
        <f t="array" aca="1" ref="D590" ca="1">IFERROR( _xlfn.XLOOKUP(B590, B$2:INDEX(B:B,ROW()-1), I$2:INDEX(I:I,ROW()-1), 0, 0, -1),0)</f>
        <v>9</v>
      </c>
      <c r="E590">
        <v>8</v>
      </c>
      <c r="F590">
        <f t="shared" ca="1" si="65"/>
        <v>2</v>
      </c>
      <c r="G590">
        <f t="shared" ca="1" si="66"/>
        <v>4</v>
      </c>
      <c r="H590">
        <f t="shared" ca="1" si="67"/>
        <v>4</v>
      </c>
      <c r="I590">
        <f t="shared" ca="1" si="68"/>
        <v>7</v>
      </c>
      <c r="J590">
        <v>2.5</v>
      </c>
      <c r="K590">
        <v>2</v>
      </c>
      <c r="L590">
        <v>5</v>
      </c>
      <c r="M590" s="3">
        <f t="shared" ca="1" si="69"/>
        <v>45386</v>
      </c>
      <c r="N590" s="3">
        <f t="shared" ca="1" si="69"/>
        <v>45298</v>
      </c>
      <c r="O590" s="3">
        <v>45407</v>
      </c>
    </row>
    <row r="591" spans="1:15" x14ac:dyDescent="0.3">
      <c r="A591" s="3">
        <v>45377</v>
      </c>
      <c r="B591" t="s">
        <v>72</v>
      </c>
      <c r="C591" t="s">
        <v>48</v>
      </c>
      <c r="D591" s="4" cm="1">
        <f t="array" aca="1" ref="D591" ca="1">IFERROR( _xlfn.XLOOKUP(B591, B$2:INDEX(B:B,ROW()-1), I$2:INDEX(I:I,ROW()-1), 0, 0, -1),0)</f>
        <v>1</v>
      </c>
      <c r="E591">
        <v>6</v>
      </c>
      <c r="F591">
        <f t="shared" ca="1" si="65"/>
        <v>1</v>
      </c>
      <c r="G591">
        <f t="shared" ca="1" si="66"/>
        <v>2</v>
      </c>
      <c r="H591">
        <f t="shared" ca="1" si="67"/>
        <v>2</v>
      </c>
      <c r="I591">
        <f t="shared" ca="1" si="68"/>
        <v>2</v>
      </c>
      <c r="J591">
        <v>4</v>
      </c>
      <c r="K591">
        <v>3</v>
      </c>
      <c r="L591">
        <v>7</v>
      </c>
      <c r="M591" s="3">
        <f t="shared" ca="1" si="69"/>
        <v>45401</v>
      </c>
      <c r="N591" s="3">
        <f t="shared" ca="1" si="69"/>
        <v>45403</v>
      </c>
      <c r="O591" s="3">
        <v>45402</v>
      </c>
    </row>
    <row r="592" spans="1:15" x14ac:dyDescent="0.3">
      <c r="A592" s="3">
        <v>45377</v>
      </c>
      <c r="B592" t="s">
        <v>60</v>
      </c>
      <c r="C592" t="s">
        <v>94</v>
      </c>
      <c r="D592" s="4" cm="1">
        <f t="array" aca="1" ref="D592" ca="1">IFERROR( _xlfn.XLOOKUP(B592, B$2:INDEX(B:B,ROW()-1), I$2:INDEX(I:I,ROW()-1), 0, 0, -1),0)</f>
        <v>3</v>
      </c>
      <c r="E592">
        <v>10</v>
      </c>
      <c r="F592">
        <f t="shared" ca="1" si="65"/>
        <v>4</v>
      </c>
      <c r="G592">
        <f t="shared" ca="1" si="66"/>
        <v>5</v>
      </c>
      <c r="H592">
        <f t="shared" ca="1" si="67"/>
        <v>1</v>
      </c>
      <c r="I592">
        <f t="shared" ca="1" si="68"/>
        <v>3</v>
      </c>
      <c r="J592">
        <v>4</v>
      </c>
      <c r="K592">
        <v>3.5</v>
      </c>
      <c r="L592">
        <v>10</v>
      </c>
      <c r="M592" s="3">
        <f t="shared" ca="1" si="69"/>
        <v>45398</v>
      </c>
      <c r="N592" s="3">
        <f t="shared" ca="1" si="69"/>
        <v>45345</v>
      </c>
      <c r="O592" s="3">
        <v>45302</v>
      </c>
    </row>
    <row r="593" spans="1:15" x14ac:dyDescent="0.3">
      <c r="A593" s="3">
        <v>45378</v>
      </c>
      <c r="B593" t="s">
        <v>60</v>
      </c>
      <c r="C593" t="s">
        <v>94</v>
      </c>
      <c r="D593" s="4" cm="1">
        <f t="array" aca="1" ref="D593" ca="1">IFERROR( _xlfn.XLOOKUP(B593, B$2:INDEX(B:B,ROW()-1), I$2:INDEX(I:I,ROW()-1), 0, 0, -1),0)</f>
        <v>3</v>
      </c>
      <c r="E593">
        <v>10</v>
      </c>
      <c r="F593">
        <f t="shared" ca="1" si="65"/>
        <v>1</v>
      </c>
      <c r="G593">
        <f t="shared" ca="1" si="66"/>
        <v>0</v>
      </c>
      <c r="H593">
        <f t="shared" ca="1" si="67"/>
        <v>2</v>
      </c>
      <c r="I593">
        <f t="shared" ca="1" si="68"/>
        <v>10</v>
      </c>
      <c r="J593">
        <v>4</v>
      </c>
      <c r="K593">
        <v>3.5</v>
      </c>
      <c r="L593">
        <v>10</v>
      </c>
      <c r="M593" s="3">
        <f t="shared" ca="1" si="69"/>
        <v>45402</v>
      </c>
      <c r="N593" s="3">
        <f t="shared" ca="1" si="69"/>
        <v>45313</v>
      </c>
      <c r="O593" s="3">
        <v>45411</v>
      </c>
    </row>
    <row r="594" spans="1:15" x14ac:dyDescent="0.3">
      <c r="A594" s="3">
        <v>45378</v>
      </c>
      <c r="B594" t="s">
        <v>89</v>
      </c>
      <c r="C594" t="s">
        <v>103</v>
      </c>
      <c r="D594" s="4" cm="1">
        <f t="array" aca="1" ref="D594" ca="1">IFERROR( _xlfn.XLOOKUP(B594, B$2:INDEX(B:B,ROW()-1), I$2:INDEX(I:I,ROW()-1), 0, 0, -1),0)</f>
        <v>3</v>
      </c>
      <c r="E594">
        <v>8</v>
      </c>
      <c r="F594">
        <f t="shared" ca="1" si="65"/>
        <v>6</v>
      </c>
      <c r="G594">
        <f t="shared" ca="1" si="66"/>
        <v>3</v>
      </c>
      <c r="H594">
        <f t="shared" ca="1" si="67"/>
        <v>0</v>
      </c>
      <c r="I594">
        <f t="shared" ca="1" si="68"/>
        <v>2</v>
      </c>
      <c r="J594">
        <v>3.5</v>
      </c>
      <c r="K594">
        <v>3</v>
      </c>
      <c r="L594">
        <v>8</v>
      </c>
      <c r="M594" s="3">
        <f t="shared" ca="1" si="69"/>
        <v>45348</v>
      </c>
      <c r="N594" s="3">
        <f t="shared" ca="1" si="69"/>
        <v>45332</v>
      </c>
      <c r="O594" s="3">
        <v>45346</v>
      </c>
    </row>
    <row r="595" spans="1:15" x14ac:dyDescent="0.3">
      <c r="A595" s="3">
        <v>45378</v>
      </c>
      <c r="B595" t="s">
        <v>61</v>
      </c>
      <c r="C595" t="s">
        <v>95</v>
      </c>
      <c r="D595" s="4" cm="1">
        <f t="array" aca="1" ref="D595" ca="1">IFERROR( _xlfn.XLOOKUP(B595, B$2:INDEX(B:B,ROW()-1), I$2:INDEX(I:I,ROW()-1), 0, 0, -1),0)</f>
        <v>6</v>
      </c>
      <c r="E595">
        <v>10</v>
      </c>
      <c r="F595">
        <f t="shared" ca="1" si="65"/>
        <v>2</v>
      </c>
      <c r="G595">
        <f t="shared" ca="1" si="66"/>
        <v>8</v>
      </c>
      <c r="H595">
        <f t="shared" ca="1" si="67"/>
        <v>3</v>
      </c>
      <c r="I595">
        <f t="shared" ca="1" si="68"/>
        <v>3</v>
      </c>
      <c r="J595">
        <v>4</v>
      </c>
      <c r="K595">
        <v>3.5</v>
      </c>
      <c r="L595">
        <v>10</v>
      </c>
      <c r="M595" s="3">
        <f t="shared" ca="1" si="69"/>
        <v>45296</v>
      </c>
      <c r="N595" s="3">
        <f t="shared" ca="1" si="69"/>
        <v>45310</v>
      </c>
      <c r="O595" s="3">
        <v>45434</v>
      </c>
    </row>
    <row r="596" spans="1:15" x14ac:dyDescent="0.3">
      <c r="A596" s="3">
        <v>45379</v>
      </c>
      <c r="B596" t="s">
        <v>71</v>
      </c>
      <c r="C596" t="s">
        <v>47</v>
      </c>
      <c r="D596" s="4" cm="1">
        <f t="array" aca="1" ref="D596" ca="1">IFERROR( _xlfn.XLOOKUP(B596, B$2:INDEX(B:B,ROW()-1), I$2:INDEX(I:I,ROW()-1), 0, 0, -1),0)</f>
        <v>5</v>
      </c>
      <c r="E596">
        <v>6</v>
      </c>
      <c r="F596">
        <f t="shared" ca="1" si="65"/>
        <v>4</v>
      </c>
      <c r="G596">
        <f t="shared" ca="1" si="66"/>
        <v>0</v>
      </c>
      <c r="H596">
        <f t="shared" ca="1" si="67"/>
        <v>4</v>
      </c>
      <c r="I596">
        <f t="shared" ca="1" si="68"/>
        <v>3</v>
      </c>
      <c r="J596">
        <v>4</v>
      </c>
      <c r="K596">
        <v>3</v>
      </c>
      <c r="L596">
        <v>7</v>
      </c>
      <c r="M596" s="3">
        <f t="shared" ca="1" si="69"/>
        <v>45430</v>
      </c>
      <c r="N596" s="3">
        <f t="shared" ca="1" si="69"/>
        <v>45312</v>
      </c>
      <c r="O596" s="3">
        <v>45317</v>
      </c>
    </row>
    <row r="597" spans="1:15" x14ac:dyDescent="0.3">
      <c r="A597" s="3">
        <v>45379</v>
      </c>
      <c r="B597" t="s">
        <v>57</v>
      </c>
      <c r="C597" t="s">
        <v>75</v>
      </c>
      <c r="D597" s="4" cm="1">
        <f t="array" aca="1" ref="D597" ca="1">IFERROR( _xlfn.XLOOKUP(B597, B$2:INDEX(B:B,ROW()-1), I$2:INDEX(I:I,ROW()-1), 0, 0, -1),0)</f>
        <v>5</v>
      </c>
      <c r="E597">
        <v>8</v>
      </c>
      <c r="F597">
        <f t="shared" ca="1" si="65"/>
        <v>5</v>
      </c>
      <c r="G597">
        <f t="shared" ca="1" si="66"/>
        <v>3</v>
      </c>
      <c r="H597">
        <f t="shared" ca="1" si="67"/>
        <v>3</v>
      </c>
      <c r="I597">
        <f t="shared" ca="1" si="68"/>
        <v>2</v>
      </c>
      <c r="J597">
        <v>6</v>
      </c>
      <c r="K597">
        <v>5.5</v>
      </c>
      <c r="L597">
        <v>20</v>
      </c>
      <c r="M597" s="3">
        <f t="shared" ca="1" si="69"/>
        <v>45420</v>
      </c>
      <c r="N597" s="3">
        <f t="shared" ca="1" si="69"/>
        <v>45403</v>
      </c>
      <c r="O597" s="3">
        <v>45436</v>
      </c>
    </row>
    <row r="598" spans="1:15" x14ac:dyDescent="0.3">
      <c r="A598" s="3">
        <v>45379</v>
      </c>
      <c r="B598" t="s">
        <v>70</v>
      </c>
      <c r="C598" t="s">
        <v>99</v>
      </c>
      <c r="D598" s="4" cm="1">
        <f t="array" aca="1" ref="D598" ca="1">IFERROR( _xlfn.XLOOKUP(B598, B$2:INDEX(B:B,ROW()-1), I$2:INDEX(I:I,ROW()-1), 0, 0, -1),0)</f>
        <v>1</v>
      </c>
      <c r="E598">
        <v>6</v>
      </c>
      <c r="F598">
        <f t="shared" ca="1" si="65"/>
        <v>0</v>
      </c>
      <c r="G598">
        <f t="shared" ca="1" si="66"/>
        <v>1</v>
      </c>
      <c r="H598">
        <f t="shared" ca="1" si="67"/>
        <v>1</v>
      </c>
      <c r="I598">
        <f t="shared" ca="1" si="68"/>
        <v>5</v>
      </c>
      <c r="J598">
        <v>4</v>
      </c>
      <c r="K598">
        <v>3</v>
      </c>
      <c r="L598">
        <v>7</v>
      </c>
      <c r="M598" s="3">
        <f t="shared" ca="1" si="69"/>
        <v>45341</v>
      </c>
      <c r="N598" s="3">
        <f t="shared" ca="1" si="69"/>
        <v>45308</v>
      </c>
      <c r="O598" s="3">
        <v>45431</v>
      </c>
    </row>
    <row r="599" spans="1:15" x14ac:dyDescent="0.3">
      <c r="A599" s="3">
        <v>45379</v>
      </c>
      <c r="B599" t="s">
        <v>10</v>
      </c>
      <c r="C599" t="s">
        <v>18</v>
      </c>
      <c r="D599" s="4" cm="1">
        <f t="array" aca="1" ref="D599" ca="1">IFERROR( _xlfn.XLOOKUP(B599, B$2:INDEX(B:B,ROW()-1), I$2:INDEX(I:I,ROW()-1), 0, 0, -1),0)</f>
        <v>7</v>
      </c>
      <c r="E599">
        <v>10</v>
      </c>
      <c r="F599">
        <f t="shared" ca="1" si="65"/>
        <v>3</v>
      </c>
      <c r="G599">
        <f t="shared" ca="1" si="66"/>
        <v>0</v>
      </c>
      <c r="H599">
        <f t="shared" ca="1" si="67"/>
        <v>7</v>
      </c>
      <c r="I599">
        <f t="shared" ca="1" si="68"/>
        <v>7</v>
      </c>
      <c r="J599">
        <v>5.5</v>
      </c>
      <c r="K599">
        <v>4.5</v>
      </c>
      <c r="L599">
        <v>7</v>
      </c>
      <c r="M599" s="3">
        <f t="shared" ca="1" si="69"/>
        <v>45403</v>
      </c>
      <c r="N599" s="3">
        <f t="shared" ca="1" si="69"/>
        <v>45397</v>
      </c>
      <c r="O599" s="3">
        <v>45300</v>
      </c>
    </row>
    <row r="600" spans="1:15" x14ac:dyDescent="0.3">
      <c r="A600" s="3">
        <v>45380</v>
      </c>
      <c r="B600" t="s">
        <v>34</v>
      </c>
      <c r="C600" t="s">
        <v>30</v>
      </c>
      <c r="D600" s="4" cm="1">
        <f t="array" aca="1" ref="D600" ca="1">IFERROR( _xlfn.XLOOKUP(B600, B$2:INDEX(B:B,ROW()-1), I$2:INDEX(I:I,ROW()-1), 0, 0, -1),0)</f>
        <v>2</v>
      </c>
      <c r="E600">
        <v>6</v>
      </c>
      <c r="F600">
        <f t="shared" ca="1" si="65"/>
        <v>1</v>
      </c>
      <c r="G600">
        <f t="shared" ca="1" si="66"/>
        <v>0</v>
      </c>
      <c r="H600">
        <f t="shared" ca="1" si="67"/>
        <v>2</v>
      </c>
      <c r="I600">
        <f t="shared" ca="1" si="68"/>
        <v>5</v>
      </c>
      <c r="J600">
        <v>3.5</v>
      </c>
      <c r="K600">
        <v>3</v>
      </c>
      <c r="L600">
        <v>10</v>
      </c>
      <c r="M600" s="3">
        <f t="shared" ca="1" si="69"/>
        <v>45355</v>
      </c>
      <c r="N600" s="3">
        <f t="shared" ca="1" si="69"/>
        <v>45353</v>
      </c>
      <c r="O600" s="3">
        <v>45407</v>
      </c>
    </row>
    <row r="601" spans="1:15" x14ac:dyDescent="0.3">
      <c r="A601" s="3">
        <v>45380</v>
      </c>
      <c r="B601" t="s">
        <v>68</v>
      </c>
      <c r="C601" t="s">
        <v>43</v>
      </c>
      <c r="D601" s="4" cm="1">
        <f t="array" aca="1" ref="D601" ca="1">IFERROR( _xlfn.XLOOKUP(B601, B$2:INDEX(B:B,ROW()-1), I$2:INDEX(I:I,ROW()-1), 0, 0, -1),0)</f>
        <v>4</v>
      </c>
      <c r="E601">
        <v>15</v>
      </c>
      <c r="F601">
        <f t="shared" ca="1" si="65"/>
        <v>4</v>
      </c>
      <c r="G601">
        <f t="shared" ca="1" si="66"/>
        <v>4</v>
      </c>
      <c r="H601">
        <f t="shared" ca="1" si="67"/>
        <v>0</v>
      </c>
      <c r="I601">
        <f t="shared" ca="1" si="68"/>
        <v>11</v>
      </c>
      <c r="J601">
        <v>4</v>
      </c>
      <c r="K601">
        <v>3</v>
      </c>
      <c r="L601">
        <v>14</v>
      </c>
      <c r="M601" s="3">
        <f t="shared" ca="1" si="69"/>
        <v>45313</v>
      </c>
      <c r="N601" s="3">
        <f t="shared" ca="1" si="69"/>
        <v>45298</v>
      </c>
      <c r="O601" s="3">
        <v>45373</v>
      </c>
    </row>
    <row r="602" spans="1:15" x14ac:dyDescent="0.3">
      <c r="A602" s="3">
        <v>45380</v>
      </c>
      <c r="B602" t="s">
        <v>70</v>
      </c>
      <c r="C602" t="s">
        <v>99</v>
      </c>
      <c r="D602" s="4" cm="1">
        <f t="array" aca="1" ref="D602" ca="1">IFERROR( _xlfn.XLOOKUP(B602, B$2:INDEX(B:B,ROW()-1), I$2:INDEX(I:I,ROW()-1), 0, 0, -1),0)</f>
        <v>5</v>
      </c>
      <c r="E602">
        <v>6</v>
      </c>
      <c r="F602">
        <f t="shared" ca="1" si="65"/>
        <v>7</v>
      </c>
      <c r="G602">
        <f t="shared" ca="1" si="66"/>
        <v>0</v>
      </c>
      <c r="H602">
        <f t="shared" ca="1" si="67"/>
        <v>2</v>
      </c>
      <c r="I602">
        <f t="shared" ca="1" si="68"/>
        <v>2</v>
      </c>
      <c r="J602">
        <v>4</v>
      </c>
      <c r="K602">
        <v>3</v>
      </c>
      <c r="L602">
        <v>7</v>
      </c>
      <c r="M602" s="3">
        <f t="shared" ref="M602:N621" ca="1" si="70">DATE(2024,1,1) + RANDBETWEEN(0, DATE(2024,5,25) - DATE(2024,1,1))</f>
        <v>45411</v>
      </c>
      <c r="N602" s="3">
        <f t="shared" ca="1" si="70"/>
        <v>45382</v>
      </c>
      <c r="O602" s="3">
        <v>45292</v>
      </c>
    </row>
    <row r="603" spans="1:15" x14ac:dyDescent="0.3">
      <c r="A603" s="3">
        <v>45380</v>
      </c>
      <c r="B603" t="s">
        <v>34</v>
      </c>
      <c r="C603" t="s">
        <v>30</v>
      </c>
      <c r="D603" s="4" cm="1">
        <f t="array" aca="1" ref="D603" ca="1">IFERROR( _xlfn.XLOOKUP(B603, B$2:INDEX(B:B,ROW()-1), I$2:INDEX(I:I,ROW()-1), 0, 0, -1),0)</f>
        <v>5</v>
      </c>
      <c r="E603">
        <v>6</v>
      </c>
      <c r="F603">
        <f t="shared" ca="1" si="65"/>
        <v>7</v>
      </c>
      <c r="G603">
        <f t="shared" ca="1" si="66"/>
        <v>0</v>
      </c>
      <c r="H603">
        <f t="shared" ca="1" si="67"/>
        <v>2</v>
      </c>
      <c r="I603">
        <f t="shared" ca="1" si="68"/>
        <v>2</v>
      </c>
      <c r="J603">
        <v>3.5</v>
      </c>
      <c r="K603">
        <v>3</v>
      </c>
      <c r="L603">
        <v>10</v>
      </c>
      <c r="M603" s="3">
        <f t="shared" ca="1" si="70"/>
        <v>45350</v>
      </c>
      <c r="N603" s="3">
        <f t="shared" ca="1" si="70"/>
        <v>45300</v>
      </c>
      <c r="O603" s="3">
        <v>45435</v>
      </c>
    </row>
    <row r="604" spans="1:15" x14ac:dyDescent="0.3">
      <c r="A604" s="3">
        <v>45380</v>
      </c>
      <c r="B604" t="s">
        <v>64</v>
      </c>
      <c r="C604" t="s">
        <v>42</v>
      </c>
      <c r="D604" s="4" cm="1">
        <f t="array" aca="1" ref="D604" ca="1">IFERROR( _xlfn.XLOOKUP(B604, B$2:INDEX(B:B,ROW()-1), I$2:INDEX(I:I,ROW()-1), 0, 0, -1),0)</f>
        <v>2</v>
      </c>
      <c r="E604">
        <v>8</v>
      </c>
      <c r="F604">
        <f t="shared" ca="1" si="65"/>
        <v>2</v>
      </c>
      <c r="G604">
        <f t="shared" ca="1" si="66"/>
        <v>1</v>
      </c>
      <c r="H604">
        <f t="shared" ca="1" si="67"/>
        <v>3</v>
      </c>
      <c r="I604">
        <f t="shared" ca="1" si="68"/>
        <v>4</v>
      </c>
      <c r="J604">
        <v>3.5</v>
      </c>
      <c r="K604">
        <v>3</v>
      </c>
      <c r="L604">
        <v>8</v>
      </c>
      <c r="M604" s="3">
        <f t="shared" ca="1" si="70"/>
        <v>45410</v>
      </c>
      <c r="N604" s="3">
        <f t="shared" ca="1" si="70"/>
        <v>45381</v>
      </c>
      <c r="O604" s="3">
        <v>45365</v>
      </c>
    </row>
    <row r="605" spans="1:15" x14ac:dyDescent="0.3">
      <c r="A605" s="3">
        <v>45380</v>
      </c>
      <c r="B605" t="s">
        <v>10</v>
      </c>
      <c r="C605" t="s">
        <v>18</v>
      </c>
      <c r="D605" s="4" cm="1">
        <f t="array" aca="1" ref="D605" ca="1">IFERROR( _xlfn.XLOOKUP(B605, B$2:INDEX(B:B,ROW()-1), I$2:INDEX(I:I,ROW()-1), 0, 0, -1),0)</f>
        <v>7</v>
      </c>
      <c r="E605">
        <v>10</v>
      </c>
      <c r="F605">
        <f t="shared" ca="1" si="65"/>
        <v>0</v>
      </c>
      <c r="G605">
        <f t="shared" ca="1" si="66"/>
        <v>3</v>
      </c>
      <c r="H605">
        <f t="shared" ca="1" si="67"/>
        <v>6</v>
      </c>
      <c r="I605">
        <f t="shared" ca="1" si="68"/>
        <v>8</v>
      </c>
      <c r="J605">
        <v>5.5</v>
      </c>
      <c r="K605">
        <v>4.5</v>
      </c>
      <c r="L605">
        <v>7</v>
      </c>
      <c r="M605" s="3">
        <f t="shared" ca="1" si="70"/>
        <v>45301</v>
      </c>
      <c r="N605" s="3">
        <f t="shared" ca="1" si="70"/>
        <v>45316</v>
      </c>
      <c r="O605" s="3">
        <v>45308</v>
      </c>
    </row>
    <row r="606" spans="1:15" x14ac:dyDescent="0.3">
      <c r="A606" s="3">
        <v>45380</v>
      </c>
      <c r="B606" t="s">
        <v>81</v>
      </c>
      <c r="C606" t="s">
        <v>50</v>
      </c>
      <c r="D606" s="4" cm="1">
        <f t="array" aca="1" ref="D606" ca="1">IFERROR( _xlfn.XLOOKUP(B606, B$2:INDEX(B:B,ROW()-1), I$2:INDEX(I:I,ROW()-1), 0, 0, -1),0)</f>
        <v>2</v>
      </c>
      <c r="E606">
        <v>8</v>
      </c>
      <c r="F606">
        <f t="shared" ca="1" si="65"/>
        <v>5</v>
      </c>
      <c r="G606">
        <f t="shared" ca="1" si="66"/>
        <v>3</v>
      </c>
      <c r="H606">
        <f t="shared" ca="1" si="67"/>
        <v>1</v>
      </c>
      <c r="I606">
        <f t="shared" ca="1" si="68"/>
        <v>1</v>
      </c>
      <c r="J606">
        <v>2.5</v>
      </c>
      <c r="K606">
        <v>2</v>
      </c>
      <c r="L606">
        <v>5</v>
      </c>
      <c r="M606" s="3">
        <f t="shared" ca="1" si="70"/>
        <v>45430</v>
      </c>
      <c r="N606" s="3">
        <f t="shared" ca="1" si="70"/>
        <v>45369</v>
      </c>
      <c r="O606" s="3">
        <v>45350</v>
      </c>
    </row>
    <row r="607" spans="1:15" x14ac:dyDescent="0.3">
      <c r="A607" s="3">
        <v>45380</v>
      </c>
      <c r="B607" t="s">
        <v>66</v>
      </c>
      <c r="C607" t="s">
        <v>45</v>
      </c>
      <c r="D607" s="4" cm="1">
        <f t="array" aca="1" ref="D607" ca="1">IFERROR( _xlfn.XLOOKUP(B607, B$2:INDEX(B:B,ROW()-1), I$2:INDEX(I:I,ROW()-1), 0, 0, -1),0)</f>
        <v>6</v>
      </c>
      <c r="E607">
        <v>8</v>
      </c>
      <c r="F607">
        <f t="shared" ca="1" si="65"/>
        <v>3</v>
      </c>
      <c r="G607">
        <f t="shared" ca="1" si="66"/>
        <v>3</v>
      </c>
      <c r="H607">
        <f t="shared" ca="1" si="67"/>
        <v>5</v>
      </c>
      <c r="I607">
        <f t="shared" ca="1" si="68"/>
        <v>3</v>
      </c>
      <c r="J607">
        <v>3.5</v>
      </c>
      <c r="K607">
        <v>3</v>
      </c>
      <c r="L607">
        <v>8</v>
      </c>
      <c r="M607" s="3">
        <f t="shared" ca="1" si="70"/>
        <v>45340</v>
      </c>
      <c r="N607" s="3">
        <f t="shared" ca="1" si="70"/>
        <v>45375</v>
      </c>
      <c r="O607" s="3">
        <v>45367</v>
      </c>
    </row>
    <row r="608" spans="1:15" x14ac:dyDescent="0.3">
      <c r="A608" s="3">
        <v>45381</v>
      </c>
      <c r="B608" t="s">
        <v>69</v>
      </c>
      <c r="C608" t="s">
        <v>98</v>
      </c>
      <c r="D608" s="4" cm="1">
        <f t="array" aca="1" ref="D608" ca="1">IFERROR( _xlfn.XLOOKUP(B608, B$2:INDEX(B:B,ROW()-1), I$2:INDEX(I:I,ROW()-1), 0, 0, -1),0)</f>
        <v>1</v>
      </c>
      <c r="E608">
        <v>6</v>
      </c>
      <c r="F608">
        <f t="shared" ca="1" si="65"/>
        <v>2</v>
      </c>
      <c r="G608">
        <f t="shared" ca="1" si="66"/>
        <v>2</v>
      </c>
      <c r="H608">
        <f t="shared" ca="1" si="67"/>
        <v>2</v>
      </c>
      <c r="I608">
        <f t="shared" ca="1" si="68"/>
        <v>1</v>
      </c>
      <c r="J608">
        <v>4</v>
      </c>
      <c r="K608">
        <v>3</v>
      </c>
      <c r="L608">
        <v>7</v>
      </c>
      <c r="M608" s="3">
        <f t="shared" ca="1" si="70"/>
        <v>45406</v>
      </c>
      <c r="N608" s="3">
        <f t="shared" ca="1" si="70"/>
        <v>45389</v>
      </c>
      <c r="O608" s="3">
        <v>45352</v>
      </c>
    </row>
    <row r="609" spans="1:15" x14ac:dyDescent="0.3">
      <c r="A609" s="3">
        <v>45381</v>
      </c>
      <c r="B609" t="s">
        <v>41</v>
      </c>
      <c r="C609" t="s">
        <v>86</v>
      </c>
      <c r="D609" s="4" cm="1">
        <f t="array" aca="1" ref="D609" ca="1">IFERROR( _xlfn.XLOOKUP(B609, B$2:INDEX(B:B,ROW()-1), I$2:INDEX(I:I,ROW()-1), 0, 0, -1),0)</f>
        <v>14</v>
      </c>
      <c r="E609">
        <v>15</v>
      </c>
      <c r="F609">
        <f t="shared" ca="1" si="65"/>
        <v>13</v>
      </c>
      <c r="G609">
        <f t="shared" ca="1" si="66"/>
        <v>5</v>
      </c>
      <c r="H609">
        <f t="shared" ca="1" si="67"/>
        <v>5</v>
      </c>
      <c r="I609">
        <f t="shared" ca="1" si="68"/>
        <v>6</v>
      </c>
      <c r="J609">
        <v>3</v>
      </c>
      <c r="K609">
        <v>2.5</v>
      </c>
      <c r="L609">
        <v>14</v>
      </c>
      <c r="M609" s="3">
        <f t="shared" ca="1" si="70"/>
        <v>45410</v>
      </c>
      <c r="N609" s="3">
        <f t="shared" ca="1" si="70"/>
        <v>45342</v>
      </c>
      <c r="O609" s="3">
        <v>45292</v>
      </c>
    </row>
    <row r="610" spans="1:15" x14ac:dyDescent="0.3">
      <c r="A610" s="3">
        <v>45381</v>
      </c>
      <c r="B610" t="s">
        <v>34</v>
      </c>
      <c r="C610" t="s">
        <v>30</v>
      </c>
      <c r="D610" s="4" cm="1">
        <f t="array" aca="1" ref="D610" ca="1">IFERROR( _xlfn.XLOOKUP(B610, B$2:INDEX(B:B,ROW()-1), I$2:INDEX(I:I,ROW()-1), 0, 0, -1),0)</f>
        <v>2</v>
      </c>
      <c r="E610">
        <v>6</v>
      </c>
      <c r="F610">
        <f t="shared" ca="1" si="65"/>
        <v>1</v>
      </c>
      <c r="G610">
        <f t="shared" ca="1" si="66"/>
        <v>4</v>
      </c>
      <c r="H610">
        <f t="shared" ca="1" si="67"/>
        <v>2</v>
      </c>
      <c r="I610">
        <f t="shared" ca="1" si="68"/>
        <v>1</v>
      </c>
      <c r="J610">
        <v>3.5</v>
      </c>
      <c r="K610">
        <v>3</v>
      </c>
      <c r="L610">
        <v>10</v>
      </c>
      <c r="M610" s="3">
        <f t="shared" ca="1" si="70"/>
        <v>45352</v>
      </c>
      <c r="N610" s="3">
        <f t="shared" ca="1" si="70"/>
        <v>45416</v>
      </c>
      <c r="O610" s="3">
        <v>45422</v>
      </c>
    </row>
    <row r="611" spans="1:15" x14ac:dyDescent="0.3">
      <c r="A611" s="3">
        <v>45381</v>
      </c>
      <c r="B611" t="s">
        <v>82</v>
      </c>
      <c r="C611" t="s">
        <v>73</v>
      </c>
      <c r="D611" s="4" cm="1">
        <f t="array" aca="1" ref="D611" ca="1">IFERROR( _xlfn.XLOOKUP(B611, B$2:INDEX(B:B,ROW()-1), I$2:INDEX(I:I,ROW()-1), 0, 0, -1),0)</f>
        <v>7</v>
      </c>
      <c r="E611">
        <v>8</v>
      </c>
      <c r="F611">
        <f t="shared" ca="1" si="65"/>
        <v>6</v>
      </c>
      <c r="G611">
        <f t="shared" ca="1" si="66"/>
        <v>5</v>
      </c>
      <c r="H611">
        <f t="shared" ca="1" si="67"/>
        <v>1</v>
      </c>
      <c r="I611">
        <f t="shared" ca="1" si="68"/>
        <v>3</v>
      </c>
      <c r="J611">
        <v>2.5</v>
      </c>
      <c r="K611">
        <v>2</v>
      </c>
      <c r="L611">
        <v>5</v>
      </c>
      <c r="M611" s="3">
        <f t="shared" ca="1" si="70"/>
        <v>45321</v>
      </c>
      <c r="N611" s="3">
        <f t="shared" ca="1" si="70"/>
        <v>45425</v>
      </c>
      <c r="O611" s="3">
        <v>45294</v>
      </c>
    </row>
    <row r="612" spans="1:15" x14ac:dyDescent="0.3">
      <c r="A612" s="3">
        <v>45381</v>
      </c>
      <c r="B612" t="s">
        <v>78</v>
      </c>
      <c r="C612" t="s">
        <v>74</v>
      </c>
      <c r="D612" s="4" cm="1">
        <f t="array" aca="1" ref="D612" ca="1">IFERROR( _xlfn.XLOOKUP(B612, B$2:INDEX(B:B,ROW()-1), I$2:INDEX(I:I,ROW()-1), 0, 0, -1),0)</f>
        <v>1</v>
      </c>
      <c r="E612">
        <v>6</v>
      </c>
      <c r="F612">
        <f t="shared" ca="1" si="65"/>
        <v>4</v>
      </c>
      <c r="G612">
        <f t="shared" ca="1" si="66"/>
        <v>1</v>
      </c>
      <c r="H612">
        <f t="shared" ca="1" si="67"/>
        <v>1</v>
      </c>
      <c r="I612">
        <f t="shared" ca="1" si="68"/>
        <v>1</v>
      </c>
      <c r="J612">
        <v>4</v>
      </c>
      <c r="K612">
        <v>3</v>
      </c>
      <c r="L612">
        <v>7</v>
      </c>
      <c r="M612" s="3">
        <f t="shared" ca="1" si="70"/>
        <v>45414</v>
      </c>
      <c r="N612" s="3">
        <f t="shared" ca="1" si="70"/>
        <v>45335</v>
      </c>
      <c r="O612" s="3">
        <v>45304</v>
      </c>
    </row>
    <row r="613" spans="1:15" x14ac:dyDescent="0.3">
      <c r="A613" s="3">
        <v>45381</v>
      </c>
      <c r="B613" t="s">
        <v>60</v>
      </c>
      <c r="C613" t="s">
        <v>94</v>
      </c>
      <c r="D613" s="4" cm="1">
        <f t="array" aca="1" ref="D613" ca="1">IFERROR( _xlfn.XLOOKUP(B613, B$2:INDEX(B:B,ROW()-1), I$2:INDEX(I:I,ROW()-1), 0, 0, -1),0)</f>
        <v>10</v>
      </c>
      <c r="E613">
        <v>10</v>
      </c>
      <c r="F613">
        <f t="shared" ca="1" si="65"/>
        <v>9</v>
      </c>
      <c r="G613">
        <f t="shared" ca="1" si="66"/>
        <v>2</v>
      </c>
      <c r="H613">
        <f t="shared" ca="1" si="67"/>
        <v>0</v>
      </c>
      <c r="I613">
        <f t="shared" ca="1" si="68"/>
        <v>9</v>
      </c>
      <c r="J613">
        <v>4</v>
      </c>
      <c r="K613">
        <v>3.5</v>
      </c>
      <c r="L613">
        <v>10</v>
      </c>
      <c r="M613" s="3">
        <f t="shared" ca="1" si="70"/>
        <v>45346</v>
      </c>
      <c r="N613" s="3">
        <f t="shared" ca="1" si="70"/>
        <v>45318</v>
      </c>
      <c r="O613" s="3">
        <v>45383</v>
      </c>
    </row>
    <row r="614" spans="1:15" x14ac:dyDescent="0.3">
      <c r="A614" s="3">
        <v>45381</v>
      </c>
      <c r="B614" t="s">
        <v>80</v>
      </c>
      <c r="C614" t="s">
        <v>49</v>
      </c>
      <c r="D614" s="4" cm="1">
        <f t="array" aca="1" ref="D614" ca="1">IFERROR( _xlfn.XLOOKUP(B614, B$2:INDEX(B:B,ROW()-1), I$2:INDEX(I:I,ROW()-1), 0, 0, -1),0)</f>
        <v>6</v>
      </c>
      <c r="E614">
        <v>8</v>
      </c>
      <c r="F614">
        <f t="shared" ca="1" si="65"/>
        <v>3</v>
      </c>
      <c r="G614">
        <f t="shared" ca="1" si="66"/>
        <v>0</v>
      </c>
      <c r="H614">
        <f t="shared" ca="1" si="67"/>
        <v>0</v>
      </c>
      <c r="I614">
        <f t="shared" ca="1" si="68"/>
        <v>11</v>
      </c>
      <c r="J614">
        <v>2.5</v>
      </c>
      <c r="K614">
        <v>2</v>
      </c>
      <c r="L614">
        <v>5</v>
      </c>
      <c r="M614" s="3">
        <f t="shared" ca="1" si="70"/>
        <v>45306</v>
      </c>
      <c r="N614" s="3">
        <f t="shared" ca="1" si="70"/>
        <v>45336</v>
      </c>
      <c r="O614" s="3">
        <v>45292</v>
      </c>
    </row>
    <row r="615" spans="1:15" x14ac:dyDescent="0.3">
      <c r="A615" s="3">
        <v>45381</v>
      </c>
      <c r="B615" t="s">
        <v>39</v>
      </c>
      <c r="C615" t="s">
        <v>32</v>
      </c>
      <c r="D615" s="4" cm="1">
        <f t="array" aca="1" ref="D615" ca="1">IFERROR( _xlfn.XLOOKUP(B615, B$2:INDEX(B:B,ROW()-1), I$2:INDEX(I:I,ROW()-1), 0, 0, -1),0)</f>
        <v>4</v>
      </c>
      <c r="E615">
        <v>12</v>
      </c>
      <c r="F615">
        <f t="shared" ca="1" si="65"/>
        <v>3</v>
      </c>
      <c r="G615">
        <f t="shared" ca="1" si="66"/>
        <v>0</v>
      </c>
      <c r="H615">
        <f t="shared" ca="1" si="67"/>
        <v>1</v>
      </c>
      <c r="I615">
        <f t="shared" ca="1" si="68"/>
        <v>12</v>
      </c>
      <c r="J615">
        <v>3.5</v>
      </c>
      <c r="K615">
        <v>3</v>
      </c>
      <c r="L615">
        <v>14</v>
      </c>
      <c r="M615" s="3">
        <f t="shared" ca="1" si="70"/>
        <v>45383</v>
      </c>
      <c r="N615" s="3">
        <f t="shared" ca="1" si="70"/>
        <v>45306</v>
      </c>
      <c r="O615" s="3">
        <v>45304</v>
      </c>
    </row>
    <row r="616" spans="1:15" x14ac:dyDescent="0.3">
      <c r="A616" s="3">
        <v>45381</v>
      </c>
      <c r="B616" t="s">
        <v>40</v>
      </c>
      <c r="C616" t="s">
        <v>85</v>
      </c>
      <c r="D616" s="4" cm="1">
        <f t="array" aca="1" ref="D616" ca="1">IFERROR( _xlfn.XLOOKUP(B616, B$2:INDEX(B:B,ROW()-1), I$2:INDEX(I:I,ROW()-1), 0, 0, -1),0)</f>
        <v>5</v>
      </c>
      <c r="E616">
        <v>15</v>
      </c>
      <c r="F616">
        <f t="shared" ca="1" si="65"/>
        <v>9</v>
      </c>
      <c r="G616">
        <f t="shared" ca="1" si="66"/>
        <v>6</v>
      </c>
      <c r="H616">
        <f t="shared" ca="1" si="67"/>
        <v>0</v>
      </c>
      <c r="I616">
        <f t="shared" ca="1" si="68"/>
        <v>5</v>
      </c>
      <c r="J616">
        <v>3</v>
      </c>
      <c r="K616">
        <v>2.5</v>
      </c>
      <c r="L616">
        <v>14</v>
      </c>
      <c r="M616" s="3">
        <f t="shared" ca="1" si="70"/>
        <v>45413</v>
      </c>
      <c r="N616" s="3">
        <f t="shared" ca="1" si="70"/>
        <v>45365</v>
      </c>
      <c r="O616" s="3">
        <v>45310</v>
      </c>
    </row>
    <row r="617" spans="1:15" x14ac:dyDescent="0.3">
      <c r="A617" s="3">
        <v>45382</v>
      </c>
      <c r="B617" t="s">
        <v>90</v>
      </c>
      <c r="C617" t="s">
        <v>87</v>
      </c>
      <c r="D617" s="4" cm="1">
        <f t="array" aca="1" ref="D617" ca="1">IFERROR( _xlfn.XLOOKUP(B617, B$2:INDEX(B:B,ROW()-1), I$2:INDEX(I:I,ROW()-1), 0, 0, -1),0)</f>
        <v>4</v>
      </c>
      <c r="E617">
        <v>12</v>
      </c>
      <c r="F617">
        <f t="shared" ca="1" si="65"/>
        <v>10</v>
      </c>
      <c r="G617">
        <f t="shared" ca="1" si="66"/>
        <v>3</v>
      </c>
      <c r="H617">
        <f t="shared" ca="1" si="67"/>
        <v>2</v>
      </c>
      <c r="I617">
        <f t="shared" ca="1" si="68"/>
        <v>1</v>
      </c>
      <c r="J617">
        <v>4.5</v>
      </c>
      <c r="K617">
        <v>4</v>
      </c>
      <c r="L617">
        <v>14</v>
      </c>
      <c r="M617" s="3">
        <f t="shared" ca="1" si="70"/>
        <v>45303</v>
      </c>
      <c r="N617" s="3">
        <f t="shared" ca="1" si="70"/>
        <v>45329</v>
      </c>
      <c r="O617" s="3">
        <v>45369</v>
      </c>
    </row>
    <row r="618" spans="1:15" x14ac:dyDescent="0.3">
      <c r="A618" s="3">
        <v>45382</v>
      </c>
      <c r="B618" t="s">
        <v>81</v>
      </c>
      <c r="C618" t="s">
        <v>50</v>
      </c>
      <c r="D618" s="4" cm="1">
        <f t="array" aca="1" ref="D618" ca="1">IFERROR( _xlfn.XLOOKUP(B618, B$2:INDEX(B:B,ROW()-1), I$2:INDEX(I:I,ROW()-1), 0, 0, -1),0)</f>
        <v>1</v>
      </c>
      <c r="E618">
        <v>8</v>
      </c>
      <c r="F618">
        <f t="shared" ca="1" si="65"/>
        <v>0</v>
      </c>
      <c r="G618">
        <f t="shared" ca="1" si="66"/>
        <v>2</v>
      </c>
      <c r="H618">
        <f t="shared" ca="1" si="67"/>
        <v>0</v>
      </c>
      <c r="I618">
        <f t="shared" ca="1" si="68"/>
        <v>7</v>
      </c>
      <c r="J618">
        <v>2.5</v>
      </c>
      <c r="K618">
        <v>2</v>
      </c>
      <c r="L618">
        <v>5</v>
      </c>
      <c r="M618" s="3">
        <f t="shared" ca="1" si="70"/>
        <v>45421</v>
      </c>
      <c r="N618" s="3">
        <f t="shared" ca="1" si="70"/>
        <v>45359</v>
      </c>
      <c r="O618" s="3">
        <v>45304</v>
      </c>
    </row>
    <row r="619" spans="1:15" x14ac:dyDescent="0.3">
      <c r="A619" s="3">
        <v>45382</v>
      </c>
      <c r="B619" t="s">
        <v>19</v>
      </c>
      <c r="C619" t="s">
        <v>17</v>
      </c>
      <c r="D619" s="4" cm="1">
        <f t="array" aca="1" ref="D619" ca="1">IFERROR( _xlfn.XLOOKUP(B619, B$2:INDEX(B:B,ROW()-1), I$2:INDEX(I:I,ROW()-1), 0, 0, -1),0)</f>
        <v>2</v>
      </c>
      <c r="E619">
        <v>10</v>
      </c>
      <c r="F619">
        <f t="shared" ca="1" si="65"/>
        <v>4</v>
      </c>
      <c r="G619">
        <f t="shared" ca="1" si="66"/>
        <v>5</v>
      </c>
      <c r="H619">
        <f t="shared" ca="1" si="67"/>
        <v>0</v>
      </c>
      <c r="I619">
        <f t="shared" ca="1" si="68"/>
        <v>3</v>
      </c>
      <c r="J619">
        <v>4.5</v>
      </c>
      <c r="K619">
        <v>4</v>
      </c>
      <c r="L619">
        <v>10</v>
      </c>
      <c r="M619" s="3">
        <f t="shared" ca="1" si="70"/>
        <v>45417</v>
      </c>
      <c r="N619" s="3">
        <f t="shared" ca="1" si="70"/>
        <v>45318</v>
      </c>
      <c r="O619" s="3">
        <v>45409</v>
      </c>
    </row>
    <row r="620" spans="1:15" x14ac:dyDescent="0.3">
      <c r="A620" s="3">
        <v>45382</v>
      </c>
      <c r="B620" t="s">
        <v>70</v>
      </c>
      <c r="C620" t="s">
        <v>99</v>
      </c>
      <c r="D620" s="4" cm="1">
        <f t="array" aca="1" ref="D620" ca="1">IFERROR( _xlfn.XLOOKUP(B620, B$2:INDEX(B:B,ROW()-1), I$2:INDEX(I:I,ROW()-1), 0, 0, -1),0)</f>
        <v>2</v>
      </c>
      <c r="E620">
        <v>6</v>
      </c>
      <c r="F620">
        <f t="shared" ca="1" si="65"/>
        <v>2</v>
      </c>
      <c r="G620">
        <f t="shared" ca="1" si="66"/>
        <v>2</v>
      </c>
      <c r="H620">
        <f t="shared" ca="1" si="67"/>
        <v>1</v>
      </c>
      <c r="I620">
        <f t="shared" ca="1" si="68"/>
        <v>3</v>
      </c>
      <c r="J620">
        <v>4</v>
      </c>
      <c r="K620">
        <v>3</v>
      </c>
      <c r="L620">
        <v>7</v>
      </c>
      <c r="M620" s="3">
        <f t="shared" ca="1" si="70"/>
        <v>45435</v>
      </c>
      <c r="N620" s="3">
        <f t="shared" ca="1" si="70"/>
        <v>45413</v>
      </c>
      <c r="O620" s="3">
        <v>45336</v>
      </c>
    </row>
    <row r="621" spans="1:15" x14ac:dyDescent="0.3">
      <c r="A621" s="3">
        <v>45382</v>
      </c>
      <c r="B621" t="s">
        <v>72</v>
      </c>
      <c r="C621" t="s">
        <v>48</v>
      </c>
      <c r="D621" s="4" cm="1">
        <f t="array" aca="1" ref="D621" ca="1">IFERROR( _xlfn.XLOOKUP(B621, B$2:INDEX(B:B,ROW()-1), I$2:INDEX(I:I,ROW()-1), 0, 0, -1),0)</f>
        <v>2</v>
      </c>
      <c r="E621">
        <v>6</v>
      </c>
      <c r="F621">
        <f t="shared" ca="1" si="65"/>
        <v>3</v>
      </c>
      <c r="G621">
        <f t="shared" ca="1" si="66"/>
        <v>0</v>
      </c>
      <c r="H621">
        <f t="shared" ca="1" si="67"/>
        <v>0</v>
      </c>
      <c r="I621">
        <f t="shared" ca="1" si="68"/>
        <v>5</v>
      </c>
      <c r="J621">
        <v>4</v>
      </c>
      <c r="K621">
        <v>3</v>
      </c>
      <c r="L621">
        <v>7</v>
      </c>
      <c r="M621" s="3">
        <f t="shared" ca="1" si="70"/>
        <v>45347</v>
      </c>
      <c r="N621" s="3">
        <f t="shared" ca="1" si="70"/>
        <v>45377</v>
      </c>
      <c r="O621" s="3">
        <v>45294</v>
      </c>
    </row>
    <row r="622" spans="1:15" x14ac:dyDescent="0.3">
      <c r="A622" s="3">
        <v>45382</v>
      </c>
      <c r="B622" t="s">
        <v>40</v>
      </c>
      <c r="C622" t="s">
        <v>85</v>
      </c>
      <c r="D622" s="4" cm="1">
        <f t="array" aca="1" ref="D622" ca="1">IFERROR( _xlfn.XLOOKUP(B622, B$2:INDEX(B:B,ROW()-1), I$2:INDEX(I:I,ROW()-1), 0, 0, -1),0)</f>
        <v>5</v>
      </c>
      <c r="E622">
        <v>15</v>
      </c>
      <c r="F622">
        <f t="shared" ca="1" si="65"/>
        <v>1</v>
      </c>
      <c r="G622">
        <f t="shared" ca="1" si="66"/>
        <v>5</v>
      </c>
      <c r="H622">
        <f t="shared" ca="1" si="67"/>
        <v>2</v>
      </c>
      <c r="I622">
        <f t="shared" ca="1" si="68"/>
        <v>12</v>
      </c>
      <c r="J622">
        <v>3</v>
      </c>
      <c r="K622">
        <v>2.5</v>
      </c>
      <c r="L622">
        <v>14</v>
      </c>
      <c r="M622" s="3">
        <f t="shared" ref="M622:N641" ca="1" si="71">DATE(2024,1,1) + RANDBETWEEN(0, DATE(2024,5,25) - DATE(2024,1,1))</f>
        <v>45306</v>
      </c>
      <c r="N622" s="3">
        <f t="shared" ca="1" si="71"/>
        <v>45398</v>
      </c>
      <c r="O622" s="3">
        <v>45292</v>
      </c>
    </row>
    <row r="623" spans="1:15" x14ac:dyDescent="0.3">
      <c r="A623" s="3">
        <v>45383</v>
      </c>
      <c r="B623" t="s">
        <v>72</v>
      </c>
      <c r="C623" t="s">
        <v>48</v>
      </c>
      <c r="D623" s="4" cm="1">
        <f t="array" aca="1" ref="D623" ca="1">IFERROR( _xlfn.XLOOKUP(B623, B$2:INDEX(B:B,ROW()-1), I$2:INDEX(I:I,ROW()-1), 0, 0, -1),0)</f>
        <v>5</v>
      </c>
      <c r="E623">
        <v>6</v>
      </c>
      <c r="F623">
        <f t="shared" ca="1" si="65"/>
        <v>4</v>
      </c>
      <c r="G623">
        <f t="shared" ca="1" si="66"/>
        <v>4</v>
      </c>
      <c r="H623">
        <f t="shared" ca="1" si="67"/>
        <v>2</v>
      </c>
      <c r="I623">
        <f t="shared" ca="1" si="68"/>
        <v>1</v>
      </c>
      <c r="J623">
        <v>4</v>
      </c>
      <c r="K623">
        <v>3</v>
      </c>
      <c r="L623">
        <v>7</v>
      </c>
      <c r="M623" s="3">
        <f t="shared" ca="1" si="71"/>
        <v>45410</v>
      </c>
      <c r="N623" s="3">
        <f t="shared" ca="1" si="71"/>
        <v>45328</v>
      </c>
      <c r="O623" s="3">
        <v>45358</v>
      </c>
    </row>
    <row r="624" spans="1:15" x14ac:dyDescent="0.3">
      <c r="A624" s="3">
        <v>45383</v>
      </c>
      <c r="B624" t="s">
        <v>19</v>
      </c>
      <c r="C624" t="s">
        <v>17</v>
      </c>
      <c r="D624" s="4" cm="1">
        <f t="array" aca="1" ref="D624" ca="1">IFERROR( _xlfn.XLOOKUP(B624, B$2:INDEX(B:B,ROW()-1), I$2:INDEX(I:I,ROW()-1), 0, 0, -1),0)</f>
        <v>3</v>
      </c>
      <c r="E624">
        <v>10</v>
      </c>
      <c r="F624">
        <f t="shared" ca="1" si="65"/>
        <v>3</v>
      </c>
      <c r="G624">
        <f t="shared" ca="1" si="66"/>
        <v>2</v>
      </c>
      <c r="H624">
        <f t="shared" ca="1" si="67"/>
        <v>2</v>
      </c>
      <c r="I624">
        <f t="shared" ca="1" si="68"/>
        <v>6</v>
      </c>
      <c r="J624">
        <v>4.5</v>
      </c>
      <c r="K624">
        <v>4</v>
      </c>
      <c r="L624">
        <v>10</v>
      </c>
      <c r="M624" s="3">
        <f t="shared" ca="1" si="71"/>
        <v>45430</v>
      </c>
      <c r="N624" s="3">
        <f t="shared" ca="1" si="71"/>
        <v>45315</v>
      </c>
      <c r="O624" s="3">
        <v>45380</v>
      </c>
    </row>
    <row r="625" spans="1:15" x14ac:dyDescent="0.3">
      <c r="A625" s="3">
        <v>45383</v>
      </c>
      <c r="B625" t="s">
        <v>69</v>
      </c>
      <c r="C625" t="s">
        <v>98</v>
      </c>
      <c r="D625" s="4" cm="1">
        <f t="array" aca="1" ref="D625" ca="1">IFERROR( _xlfn.XLOOKUP(B625, B$2:INDEX(B:B,ROW()-1), I$2:INDEX(I:I,ROW()-1), 0, 0, -1),0)</f>
        <v>1</v>
      </c>
      <c r="E625">
        <v>6</v>
      </c>
      <c r="F625">
        <f t="shared" ca="1" si="65"/>
        <v>3</v>
      </c>
      <c r="G625">
        <f t="shared" ca="1" si="66"/>
        <v>1</v>
      </c>
      <c r="H625">
        <f t="shared" ca="1" si="67"/>
        <v>2</v>
      </c>
      <c r="I625">
        <f t="shared" ca="1" si="68"/>
        <v>1</v>
      </c>
      <c r="J625">
        <v>4</v>
      </c>
      <c r="K625">
        <v>3</v>
      </c>
      <c r="L625">
        <v>7</v>
      </c>
      <c r="M625" s="3">
        <f t="shared" ca="1" si="71"/>
        <v>45373</v>
      </c>
      <c r="N625" s="3">
        <f t="shared" ca="1" si="71"/>
        <v>45367</v>
      </c>
      <c r="O625" s="3">
        <v>45292</v>
      </c>
    </row>
    <row r="626" spans="1:15" x14ac:dyDescent="0.3">
      <c r="A626" s="3">
        <v>45383</v>
      </c>
      <c r="B626" t="s">
        <v>57</v>
      </c>
      <c r="C626" t="s">
        <v>75</v>
      </c>
      <c r="D626" s="4" cm="1">
        <f t="array" aca="1" ref="D626" ca="1">IFERROR( _xlfn.XLOOKUP(B626, B$2:INDEX(B:B,ROW()-1), I$2:INDEX(I:I,ROW()-1), 0, 0, -1),0)</f>
        <v>2</v>
      </c>
      <c r="E626">
        <v>8</v>
      </c>
      <c r="F626">
        <f t="shared" ca="1" si="65"/>
        <v>1</v>
      </c>
      <c r="G626">
        <f t="shared" ca="1" si="66"/>
        <v>4</v>
      </c>
      <c r="H626">
        <f t="shared" ca="1" si="67"/>
        <v>1</v>
      </c>
      <c r="I626">
        <f t="shared" ca="1" si="68"/>
        <v>4</v>
      </c>
      <c r="J626">
        <v>6</v>
      </c>
      <c r="K626">
        <v>5.5</v>
      </c>
      <c r="L626">
        <v>20</v>
      </c>
      <c r="M626" s="3">
        <f t="shared" ca="1" si="71"/>
        <v>45310</v>
      </c>
      <c r="N626" s="3">
        <f t="shared" ca="1" si="71"/>
        <v>45433</v>
      </c>
      <c r="O626" s="3">
        <v>45397</v>
      </c>
    </row>
    <row r="627" spans="1:15" x14ac:dyDescent="0.3">
      <c r="A627" s="3">
        <v>45383</v>
      </c>
      <c r="B627" t="s">
        <v>20</v>
      </c>
      <c r="C627" t="s">
        <v>25</v>
      </c>
      <c r="D627" s="4" cm="1">
        <f t="array" aca="1" ref="D627" ca="1">IFERROR( _xlfn.XLOOKUP(B627, B$2:INDEX(B:B,ROW()-1), I$2:INDEX(I:I,ROW()-1), 0, 0, -1),0)</f>
        <v>4</v>
      </c>
      <c r="E627">
        <v>10</v>
      </c>
      <c r="F627">
        <f t="shared" ca="1" si="65"/>
        <v>6</v>
      </c>
      <c r="G627">
        <f t="shared" ca="1" si="66"/>
        <v>5</v>
      </c>
      <c r="H627">
        <f t="shared" ca="1" si="67"/>
        <v>0</v>
      </c>
      <c r="I627">
        <f t="shared" ca="1" si="68"/>
        <v>3</v>
      </c>
      <c r="J627">
        <v>4.5</v>
      </c>
      <c r="K627">
        <v>4</v>
      </c>
      <c r="L627">
        <v>10</v>
      </c>
      <c r="M627" s="3">
        <f t="shared" ca="1" si="71"/>
        <v>45367</v>
      </c>
      <c r="N627" s="3">
        <f t="shared" ca="1" si="71"/>
        <v>45398</v>
      </c>
      <c r="O627" s="3">
        <v>45362</v>
      </c>
    </row>
    <row r="628" spans="1:15" x14ac:dyDescent="0.3">
      <c r="A628" s="3">
        <v>45384</v>
      </c>
      <c r="B628" t="s">
        <v>55</v>
      </c>
      <c r="C628" t="s">
        <v>53</v>
      </c>
      <c r="D628" s="4" cm="1">
        <f t="array" aca="1" ref="D628" ca="1">IFERROR( _xlfn.XLOOKUP(B628, B$2:INDEX(B:B,ROW()-1), I$2:INDEX(I:I,ROW()-1), 0, 0, -1),0)</f>
        <v>5</v>
      </c>
      <c r="E628">
        <v>4</v>
      </c>
      <c r="F628">
        <f t="shared" ca="1" si="65"/>
        <v>0</v>
      </c>
      <c r="G628">
        <f t="shared" ca="1" si="66"/>
        <v>2</v>
      </c>
      <c r="H628">
        <f t="shared" ca="1" si="67"/>
        <v>4</v>
      </c>
      <c r="I628">
        <f t="shared" ca="1" si="68"/>
        <v>3</v>
      </c>
      <c r="J628">
        <v>8.5</v>
      </c>
      <c r="K628">
        <v>6</v>
      </c>
      <c r="L628">
        <v>7</v>
      </c>
      <c r="M628" s="3">
        <f t="shared" ca="1" si="71"/>
        <v>45411</v>
      </c>
      <c r="N628" s="3">
        <f t="shared" ca="1" si="71"/>
        <v>45362</v>
      </c>
      <c r="O628" s="3">
        <v>45349</v>
      </c>
    </row>
    <row r="629" spans="1:15" x14ac:dyDescent="0.3">
      <c r="A629" s="3">
        <v>45384</v>
      </c>
      <c r="B629" t="s">
        <v>69</v>
      </c>
      <c r="C629" t="s">
        <v>98</v>
      </c>
      <c r="D629" s="4" cm="1">
        <f t="array" aca="1" ref="D629" ca="1">IFERROR( _xlfn.XLOOKUP(B629, B$2:INDEX(B:B,ROW()-1), I$2:INDEX(I:I,ROW()-1), 0, 0, -1),0)</f>
        <v>1</v>
      </c>
      <c r="E629">
        <v>6</v>
      </c>
      <c r="F629">
        <f t="shared" ca="1" si="65"/>
        <v>0</v>
      </c>
      <c r="G629">
        <f t="shared" ca="1" si="66"/>
        <v>0</v>
      </c>
      <c r="H629">
        <f t="shared" ca="1" si="67"/>
        <v>3</v>
      </c>
      <c r="I629">
        <f t="shared" ca="1" si="68"/>
        <v>4</v>
      </c>
      <c r="J629">
        <v>4</v>
      </c>
      <c r="K629">
        <v>3</v>
      </c>
      <c r="L629">
        <v>7</v>
      </c>
      <c r="M629" s="3">
        <f t="shared" ca="1" si="71"/>
        <v>45335</v>
      </c>
      <c r="N629" s="3">
        <f t="shared" ca="1" si="71"/>
        <v>45296</v>
      </c>
      <c r="O629" s="3">
        <v>45431</v>
      </c>
    </row>
    <row r="630" spans="1:15" x14ac:dyDescent="0.3">
      <c r="A630" s="3">
        <v>45384</v>
      </c>
      <c r="B630" t="s">
        <v>24</v>
      </c>
      <c r="C630" t="s">
        <v>29</v>
      </c>
      <c r="D630" s="4" cm="1">
        <f t="array" aca="1" ref="D630" ca="1">IFERROR( _xlfn.XLOOKUP(B630, B$2:INDEX(B:B,ROW()-1), I$2:INDEX(I:I,ROW()-1), 0, 0, -1),0)</f>
        <v>2</v>
      </c>
      <c r="E630">
        <v>8</v>
      </c>
      <c r="F630">
        <f t="shared" ca="1" si="65"/>
        <v>2</v>
      </c>
      <c r="G630">
        <f t="shared" ca="1" si="66"/>
        <v>3</v>
      </c>
      <c r="H630">
        <f t="shared" ca="1" si="67"/>
        <v>0</v>
      </c>
      <c r="I630">
        <f t="shared" ca="1" si="68"/>
        <v>5</v>
      </c>
      <c r="J630">
        <v>7.5</v>
      </c>
      <c r="K630">
        <v>5.5</v>
      </c>
      <c r="L630">
        <v>7</v>
      </c>
      <c r="M630" s="3">
        <f t="shared" ca="1" si="71"/>
        <v>45432</v>
      </c>
      <c r="N630" s="3">
        <f t="shared" ca="1" si="71"/>
        <v>45325</v>
      </c>
      <c r="O630" s="3">
        <v>45392</v>
      </c>
    </row>
    <row r="631" spans="1:15" x14ac:dyDescent="0.3">
      <c r="A631" s="3">
        <v>45384</v>
      </c>
      <c r="B631" t="s">
        <v>41</v>
      </c>
      <c r="C631" t="s">
        <v>86</v>
      </c>
      <c r="D631" s="4" cm="1">
        <f t="array" aca="1" ref="D631" ca="1">IFERROR( _xlfn.XLOOKUP(B631, B$2:INDEX(B:B,ROW()-1), I$2:INDEX(I:I,ROW()-1), 0, 0, -1),0)</f>
        <v>6</v>
      </c>
      <c r="E631">
        <v>15</v>
      </c>
      <c r="F631">
        <f t="shared" ca="1" si="65"/>
        <v>3</v>
      </c>
      <c r="G631">
        <f t="shared" ca="1" si="66"/>
        <v>5</v>
      </c>
      <c r="H631">
        <f t="shared" ca="1" si="67"/>
        <v>0</v>
      </c>
      <c r="I631">
        <f t="shared" ca="1" si="68"/>
        <v>13</v>
      </c>
      <c r="J631">
        <v>3</v>
      </c>
      <c r="K631">
        <v>2.5</v>
      </c>
      <c r="L631">
        <v>14</v>
      </c>
      <c r="M631" s="3">
        <f t="shared" ca="1" si="71"/>
        <v>45384</v>
      </c>
      <c r="N631" s="3">
        <f t="shared" ca="1" si="71"/>
        <v>45302</v>
      </c>
      <c r="O631" s="3">
        <v>45422</v>
      </c>
    </row>
    <row r="632" spans="1:15" x14ac:dyDescent="0.3">
      <c r="A632" s="3">
        <v>45384</v>
      </c>
      <c r="B632" t="s">
        <v>41</v>
      </c>
      <c r="C632" t="s">
        <v>86</v>
      </c>
      <c r="D632" s="4" cm="1">
        <f t="array" aca="1" ref="D632" ca="1">IFERROR( _xlfn.XLOOKUP(B632, B$2:INDEX(B:B,ROW()-1), I$2:INDEX(I:I,ROW()-1), 0, 0, -1),0)</f>
        <v>13</v>
      </c>
      <c r="E632">
        <v>15</v>
      </c>
      <c r="F632">
        <f t="shared" ca="1" si="65"/>
        <v>4</v>
      </c>
      <c r="G632">
        <f t="shared" ca="1" si="66"/>
        <v>14</v>
      </c>
      <c r="H632">
        <f t="shared" ca="1" si="67"/>
        <v>0</v>
      </c>
      <c r="I632">
        <f t="shared" ca="1" si="68"/>
        <v>10</v>
      </c>
      <c r="J632">
        <v>3</v>
      </c>
      <c r="K632">
        <v>2.5</v>
      </c>
      <c r="L632">
        <v>14</v>
      </c>
      <c r="M632" s="3">
        <f t="shared" ca="1" si="71"/>
        <v>45394</v>
      </c>
      <c r="N632" s="3">
        <f t="shared" ca="1" si="71"/>
        <v>45304</v>
      </c>
      <c r="O632" s="3">
        <v>45349</v>
      </c>
    </row>
    <row r="633" spans="1:15" x14ac:dyDescent="0.3">
      <c r="A633" s="3">
        <v>45384</v>
      </c>
      <c r="B633" t="s">
        <v>70</v>
      </c>
      <c r="C633" t="s">
        <v>99</v>
      </c>
      <c r="D633" s="4" cm="1">
        <f t="array" aca="1" ref="D633" ca="1">IFERROR( _xlfn.XLOOKUP(B633, B$2:INDEX(B:B,ROW()-1), I$2:INDEX(I:I,ROW()-1), 0, 0, -1),0)</f>
        <v>3</v>
      </c>
      <c r="E633">
        <v>6</v>
      </c>
      <c r="F633">
        <f t="shared" ca="1" si="65"/>
        <v>0</v>
      </c>
      <c r="G633">
        <f t="shared" ca="1" si="66"/>
        <v>0</v>
      </c>
      <c r="H633">
        <f t="shared" ca="1" si="67"/>
        <v>2</v>
      </c>
      <c r="I633">
        <f t="shared" ca="1" si="68"/>
        <v>7</v>
      </c>
      <c r="J633">
        <v>4</v>
      </c>
      <c r="K633">
        <v>3</v>
      </c>
      <c r="L633">
        <v>7</v>
      </c>
      <c r="M633" s="3">
        <f t="shared" ca="1" si="71"/>
        <v>45339</v>
      </c>
      <c r="N633" s="3">
        <f t="shared" ca="1" si="71"/>
        <v>45318</v>
      </c>
      <c r="O633" s="3">
        <v>45307</v>
      </c>
    </row>
    <row r="634" spans="1:15" x14ac:dyDescent="0.3">
      <c r="A634" s="3">
        <v>45384</v>
      </c>
      <c r="B634" t="s">
        <v>69</v>
      </c>
      <c r="C634" t="s">
        <v>98</v>
      </c>
      <c r="D634" s="4" cm="1">
        <f t="array" aca="1" ref="D634" ca="1">IFERROR( _xlfn.XLOOKUP(B634, B$2:INDEX(B:B,ROW()-1), I$2:INDEX(I:I,ROW()-1), 0, 0, -1),0)</f>
        <v>4</v>
      </c>
      <c r="E634">
        <v>6</v>
      </c>
      <c r="F634">
        <f t="shared" ca="1" si="65"/>
        <v>4</v>
      </c>
      <c r="G634">
        <f t="shared" ca="1" si="66"/>
        <v>4</v>
      </c>
      <c r="H634">
        <f t="shared" ca="1" si="67"/>
        <v>1</v>
      </c>
      <c r="I634">
        <f t="shared" ca="1" si="68"/>
        <v>1</v>
      </c>
      <c r="J634">
        <v>4</v>
      </c>
      <c r="K634">
        <v>3</v>
      </c>
      <c r="L634">
        <v>7</v>
      </c>
      <c r="M634" s="3">
        <f t="shared" ca="1" si="71"/>
        <v>45397</v>
      </c>
      <c r="N634" s="3">
        <f t="shared" ca="1" si="71"/>
        <v>45397</v>
      </c>
      <c r="O634" s="3">
        <v>45411</v>
      </c>
    </row>
    <row r="635" spans="1:15" x14ac:dyDescent="0.3">
      <c r="A635" s="3">
        <v>45385</v>
      </c>
      <c r="B635" t="s">
        <v>90</v>
      </c>
      <c r="C635" t="s">
        <v>87</v>
      </c>
      <c r="D635" s="4" cm="1">
        <f t="array" aca="1" ref="D635" ca="1">IFERROR( _xlfn.XLOOKUP(B635, B$2:INDEX(B:B,ROW()-1), I$2:INDEX(I:I,ROW()-1), 0, 0, -1),0)</f>
        <v>1</v>
      </c>
      <c r="E635">
        <v>12</v>
      </c>
      <c r="F635">
        <f t="shared" ca="1" si="65"/>
        <v>2</v>
      </c>
      <c r="G635">
        <f t="shared" ca="1" si="66"/>
        <v>4</v>
      </c>
      <c r="H635">
        <f t="shared" ca="1" si="67"/>
        <v>2</v>
      </c>
      <c r="I635">
        <f t="shared" ca="1" si="68"/>
        <v>5</v>
      </c>
      <c r="J635">
        <v>4.5</v>
      </c>
      <c r="K635">
        <v>4</v>
      </c>
      <c r="L635">
        <v>14</v>
      </c>
      <c r="M635" s="3">
        <f t="shared" ca="1" si="71"/>
        <v>45334</v>
      </c>
      <c r="N635" s="3">
        <f t="shared" ca="1" si="71"/>
        <v>45346</v>
      </c>
      <c r="O635" s="3">
        <v>45418</v>
      </c>
    </row>
    <row r="636" spans="1:15" x14ac:dyDescent="0.3">
      <c r="A636" s="3">
        <v>45385</v>
      </c>
      <c r="B636" t="s">
        <v>71</v>
      </c>
      <c r="C636" t="s">
        <v>47</v>
      </c>
      <c r="D636" s="4" cm="1">
        <f t="array" aca="1" ref="D636" ca="1">IFERROR( _xlfn.XLOOKUP(B636, B$2:INDEX(B:B,ROW()-1), I$2:INDEX(I:I,ROW()-1), 0, 0, -1),0)</f>
        <v>3</v>
      </c>
      <c r="E636">
        <v>6</v>
      </c>
      <c r="F636">
        <f t="shared" ca="1" si="65"/>
        <v>0</v>
      </c>
      <c r="G636">
        <f t="shared" ca="1" si="66"/>
        <v>5</v>
      </c>
      <c r="H636">
        <f t="shared" ca="1" si="67"/>
        <v>0</v>
      </c>
      <c r="I636">
        <f t="shared" ca="1" si="68"/>
        <v>4</v>
      </c>
      <c r="J636">
        <v>4</v>
      </c>
      <c r="K636">
        <v>3</v>
      </c>
      <c r="L636">
        <v>7</v>
      </c>
      <c r="M636" s="3">
        <f t="shared" ca="1" si="71"/>
        <v>45385</v>
      </c>
      <c r="N636" s="3">
        <f t="shared" ca="1" si="71"/>
        <v>45351</v>
      </c>
      <c r="O636" s="3">
        <v>45403</v>
      </c>
    </row>
    <row r="637" spans="1:15" x14ac:dyDescent="0.3">
      <c r="A637" s="3">
        <v>45385</v>
      </c>
      <c r="B637" t="s">
        <v>20</v>
      </c>
      <c r="C637" t="s">
        <v>25</v>
      </c>
      <c r="D637" s="4" cm="1">
        <f t="array" aca="1" ref="D637" ca="1">IFERROR( _xlfn.XLOOKUP(B637, B$2:INDEX(B:B,ROW()-1), I$2:INDEX(I:I,ROW()-1), 0, 0, -1),0)</f>
        <v>3</v>
      </c>
      <c r="E637">
        <v>10</v>
      </c>
      <c r="F637">
        <f t="shared" ca="1" si="65"/>
        <v>5</v>
      </c>
      <c r="G637">
        <f t="shared" ca="1" si="66"/>
        <v>1</v>
      </c>
      <c r="H637">
        <f t="shared" ca="1" si="67"/>
        <v>3</v>
      </c>
      <c r="I637">
        <f t="shared" ca="1" si="68"/>
        <v>4</v>
      </c>
      <c r="J637">
        <v>4.5</v>
      </c>
      <c r="K637">
        <v>4</v>
      </c>
      <c r="L637">
        <v>10</v>
      </c>
      <c r="M637" s="3">
        <f t="shared" ca="1" si="71"/>
        <v>45408</v>
      </c>
      <c r="N637" s="3">
        <f t="shared" ca="1" si="71"/>
        <v>45401</v>
      </c>
      <c r="O637" s="3">
        <v>45370</v>
      </c>
    </row>
    <row r="638" spans="1:15" x14ac:dyDescent="0.3">
      <c r="A638" s="3">
        <v>45385</v>
      </c>
      <c r="B638" t="s">
        <v>59</v>
      </c>
      <c r="C638" t="s">
        <v>93</v>
      </c>
      <c r="D638" s="4" cm="1">
        <f t="array" aca="1" ref="D638" ca="1">IFERROR( _xlfn.XLOOKUP(B638, B$2:INDEX(B:B,ROW()-1), I$2:INDEX(I:I,ROW()-1), 0, 0, -1),0)</f>
        <v>6</v>
      </c>
      <c r="E638">
        <v>10</v>
      </c>
      <c r="F638">
        <f t="shared" ca="1" si="65"/>
        <v>9</v>
      </c>
      <c r="G638">
        <f t="shared" ca="1" si="66"/>
        <v>2</v>
      </c>
      <c r="H638">
        <f t="shared" ca="1" si="67"/>
        <v>3</v>
      </c>
      <c r="I638">
        <f t="shared" ca="1" si="68"/>
        <v>2</v>
      </c>
      <c r="J638">
        <v>4</v>
      </c>
      <c r="K638">
        <v>3.5</v>
      </c>
      <c r="L638">
        <v>10</v>
      </c>
      <c r="M638" s="3">
        <f t="shared" ca="1" si="71"/>
        <v>45306</v>
      </c>
      <c r="N638" s="3">
        <f t="shared" ca="1" si="71"/>
        <v>45331</v>
      </c>
      <c r="O638" s="3">
        <v>45344</v>
      </c>
    </row>
    <row r="639" spans="1:15" x14ac:dyDescent="0.3">
      <c r="A639" s="3">
        <v>45385</v>
      </c>
      <c r="B639" t="s">
        <v>89</v>
      </c>
      <c r="C639" t="s">
        <v>103</v>
      </c>
      <c r="D639" s="4" cm="1">
        <f t="array" aca="1" ref="D639" ca="1">IFERROR( _xlfn.XLOOKUP(B639, B$2:INDEX(B:B,ROW()-1), I$2:INDEX(I:I,ROW()-1), 0, 0, -1),0)</f>
        <v>2</v>
      </c>
      <c r="E639">
        <v>8</v>
      </c>
      <c r="F639">
        <f t="shared" ca="1" si="65"/>
        <v>4</v>
      </c>
      <c r="G639">
        <f t="shared" ca="1" si="66"/>
        <v>4</v>
      </c>
      <c r="H639">
        <f t="shared" ca="1" si="67"/>
        <v>0</v>
      </c>
      <c r="I639">
        <f t="shared" ca="1" si="68"/>
        <v>2</v>
      </c>
      <c r="J639">
        <v>3.5</v>
      </c>
      <c r="K639">
        <v>3</v>
      </c>
      <c r="L639">
        <v>8</v>
      </c>
      <c r="M639" s="3">
        <f t="shared" ca="1" si="71"/>
        <v>45429</v>
      </c>
      <c r="N639" s="3">
        <f t="shared" ca="1" si="71"/>
        <v>45296</v>
      </c>
      <c r="O639" s="3">
        <v>45376</v>
      </c>
    </row>
    <row r="640" spans="1:15" x14ac:dyDescent="0.3">
      <c r="A640" s="3">
        <v>45386</v>
      </c>
      <c r="B640" t="s">
        <v>64</v>
      </c>
      <c r="C640" t="s">
        <v>42</v>
      </c>
      <c r="D640" s="4" cm="1">
        <f t="array" aca="1" ref="D640" ca="1">IFERROR( _xlfn.XLOOKUP(B640, B$2:INDEX(B:B,ROW()-1), I$2:INDEX(I:I,ROW()-1), 0, 0, -1),0)</f>
        <v>4</v>
      </c>
      <c r="E640">
        <v>8</v>
      </c>
      <c r="F640">
        <f t="shared" ca="1" si="65"/>
        <v>6</v>
      </c>
      <c r="G640">
        <f t="shared" ca="1" si="66"/>
        <v>2</v>
      </c>
      <c r="H640">
        <f t="shared" ca="1" si="67"/>
        <v>2</v>
      </c>
      <c r="I640">
        <f t="shared" ca="1" si="68"/>
        <v>2</v>
      </c>
      <c r="J640">
        <v>3.5</v>
      </c>
      <c r="K640">
        <v>3</v>
      </c>
      <c r="L640">
        <v>8</v>
      </c>
      <c r="M640" s="3">
        <f t="shared" ca="1" si="71"/>
        <v>45331</v>
      </c>
      <c r="N640" s="3">
        <f t="shared" ca="1" si="71"/>
        <v>45324</v>
      </c>
      <c r="O640" s="3">
        <v>45422</v>
      </c>
    </row>
    <row r="641" spans="1:15" x14ac:dyDescent="0.3">
      <c r="A641" s="3">
        <v>45386</v>
      </c>
      <c r="B641" t="s">
        <v>81</v>
      </c>
      <c r="C641" t="s">
        <v>50</v>
      </c>
      <c r="D641" s="4" cm="1">
        <f t="array" aca="1" ref="D641" ca="1">IFERROR( _xlfn.XLOOKUP(B641, B$2:INDEX(B:B,ROW()-1), I$2:INDEX(I:I,ROW()-1), 0, 0, -1),0)</f>
        <v>7</v>
      </c>
      <c r="E641">
        <v>8</v>
      </c>
      <c r="F641">
        <f t="shared" ca="1" si="65"/>
        <v>3</v>
      </c>
      <c r="G641">
        <f t="shared" ca="1" si="66"/>
        <v>6</v>
      </c>
      <c r="H641">
        <f t="shared" ca="1" si="67"/>
        <v>0</v>
      </c>
      <c r="I641">
        <f t="shared" ca="1" si="68"/>
        <v>6</v>
      </c>
      <c r="J641">
        <v>2.5</v>
      </c>
      <c r="K641">
        <v>2</v>
      </c>
      <c r="L641">
        <v>5</v>
      </c>
      <c r="M641" s="3">
        <f t="shared" ca="1" si="71"/>
        <v>45376</v>
      </c>
      <c r="N641" s="3">
        <f t="shared" ca="1" si="71"/>
        <v>45420</v>
      </c>
      <c r="O641" s="3">
        <v>45410</v>
      </c>
    </row>
    <row r="642" spans="1:15" x14ac:dyDescent="0.3">
      <c r="A642" s="3">
        <v>45386</v>
      </c>
      <c r="B642" t="s">
        <v>71</v>
      </c>
      <c r="C642" t="s">
        <v>47</v>
      </c>
      <c r="D642" s="4" cm="1">
        <f t="array" aca="1" ref="D642" ca="1">IFERROR( _xlfn.XLOOKUP(B642, B$2:INDEX(B:B,ROW()-1), I$2:INDEX(I:I,ROW()-1), 0, 0, -1),0)</f>
        <v>4</v>
      </c>
      <c r="E642">
        <v>6</v>
      </c>
      <c r="F642">
        <f t="shared" ref="F642:F705" ca="1" si="72">RANDBETWEEN(0, ROUND((D642+E642)*0.6,0))</f>
        <v>6</v>
      </c>
      <c r="G642">
        <f t="shared" ref="G642:G705" ca="1" si="73">RANDBETWEEN(0,ROUND((D642+E642-F642)*0.6,0))</f>
        <v>2</v>
      </c>
      <c r="H642">
        <f t="shared" ref="H642:H705" ca="1" si="74">RANDBETWEEN(0,ROUND((D642+E642-F642-G642)*0.6,0))</f>
        <v>1</v>
      </c>
      <c r="I642">
        <f t="shared" ref="I642:I705" ca="1" si="75">D642+E642-F642-G642-H642</f>
        <v>1</v>
      </c>
      <c r="J642">
        <v>4</v>
      </c>
      <c r="K642">
        <v>3</v>
      </c>
      <c r="L642">
        <v>7</v>
      </c>
      <c r="M642" s="3">
        <f t="shared" ref="M642:N661" ca="1" si="76">DATE(2024,1,1) + RANDBETWEEN(0, DATE(2024,5,25) - DATE(2024,1,1))</f>
        <v>45412</v>
      </c>
      <c r="N642" s="3">
        <f t="shared" ca="1" si="76"/>
        <v>45371</v>
      </c>
      <c r="O642" s="3">
        <v>45336</v>
      </c>
    </row>
    <row r="643" spans="1:15" x14ac:dyDescent="0.3">
      <c r="A643" s="3">
        <v>45386</v>
      </c>
      <c r="B643" t="s">
        <v>23</v>
      </c>
      <c r="C643" t="s">
        <v>28</v>
      </c>
      <c r="D643" s="4" cm="1">
        <f t="array" aca="1" ref="D643" ca="1">IFERROR( _xlfn.XLOOKUP(B643, B$2:INDEX(B:B,ROW()-1), I$2:INDEX(I:I,ROW()-1), 0, 0, -1),0)</f>
        <v>1</v>
      </c>
      <c r="E643">
        <v>9</v>
      </c>
      <c r="F643">
        <f t="shared" ca="1" si="72"/>
        <v>6</v>
      </c>
      <c r="G643">
        <f t="shared" ca="1" si="73"/>
        <v>2</v>
      </c>
      <c r="H643">
        <f t="shared" ca="1" si="74"/>
        <v>0</v>
      </c>
      <c r="I643">
        <f t="shared" ca="1" si="75"/>
        <v>2</v>
      </c>
      <c r="J643">
        <v>6.5</v>
      </c>
      <c r="K643">
        <v>5.5</v>
      </c>
      <c r="L643">
        <v>9</v>
      </c>
      <c r="M643" s="3">
        <f t="shared" ca="1" si="76"/>
        <v>45360</v>
      </c>
      <c r="N643" s="3">
        <f t="shared" ca="1" si="76"/>
        <v>45410</v>
      </c>
      <c r="O643" s="3">
        <v>45319</v>
      </c>
    </row>
    <row r="644" spans="1:15" x14ac:dyDescent="0.3">
      <c r="A644" s="3">
        <v>45386</v>
      </c>
      <c r="B644" t="s">
        <v>37</v>
      </c>
      <c r="C644" t="s">
        <v>51</v>
      </c>
      <c r="D644" s="4" cm="1">
        <f t="array" aca="1" ref="D644" ca="1">IFERROR( _xlfn.XLOOKUP(B644, B$2:INDEX(B:B,ROW()-1), I$2:INDEX(I:I,ROW()-1), 0, 0, -1),0)</f>
        <v>4</v>
      </c>
      <c r="E644">
        <v>12</v>
      </c>
      <c r="F644">
        <f t="shared" ca="1" si="72"/>
        <v>1</v>
      </c>
      <c r="G644">
        <f t="shared" ca="1" si="73"/>
        <v>8</v>
      </c>
      <c r="H644">
        <f t="shared" ca="1" si="74"/>
        <v>1</v>
      </c>
      <c r="I644">
        <f t="shared" ca="1" si="75"/>
        <v>6</v>
      </c>
      <c r="J644">
        <v>3.5</v>
      </c>
      <c r="K644">
        <v>3</v>
      </c>
      <c r="L644">
        <v>14</v>
      </c>
      <c r="M644" s="3">
        <f t="shared" ca="1" si="76"/>
        <v>45398</v>
      </c>
      <c r="N644" s="3">
        <f t="shared" ca="1" si="76"/>
        <v>45323</v>
      </c>
      <c r="O644" s="3">
        <v>45296</v>
      </c>
    </row>
    <row r="645" spans="1:15" x14ac:dyDescent="0.3">
      <c r="A645" s="3">
        <v>45386</v>
      </c>
      <c r="B645" t="s">
        <v>60</v>
      </c>
      <c r="C645" t="s">
        <v>94</v>
      </c>
      <c r="D645" s="4" cm="1">
        <f t="array" aca="1" ref="D645" ca="1">IFERROR( _xlfn.XLOOKUP(B645, B$2:INDEX(B:B,ROW()-1), I$2:INDEX(I:I,ROW()-1), 0, 0, -1),0)</f>
        <v>9</v>
      </c>
      <c r="E645">
        <v>10</v>
      </c>
      <c r="F645">
        <f t="shared" ca="1" si="72"/>
        <v>5</v>
      </c>
      <c r="G645">
        <f t="shared" ca="1" si="73"/>
        <v>0</v>
      </c>
      <c r="H645">
        <f t="shared" ca="1" si="74"/>
        <v>1</v>
      </c>
      <c r="I645">
        <f t="shared" ca="1" si="75"/>
        <v>13</v>
      </c>
      <c r="J645">
        <v>4</v>
      </c>
      <c r="K645">
        <v>3.5</v>
      </c>
      <c r="L645">
        <v>10</v>
      </c>
      <c r="M645" s="3">
        <f t="shared" ca="1" si="76"/>
        <v>45300</v>
      </c>
      <c r="N645" s="3">
        <f t="shared" ca="1" si="76"/>
        <v>45326</v>
      </c>
      <c r="O645" s="3">
        <v>45302</v>
      </c>
    </row>
    <row r="646" spans="1:15" x14ac:dyDescent="0.3">
      <c r="A646" s="3">
        <v>45386</v>
      </c>
      <c r="B646" t="s">
        <v>92</v>
      </c>
      <c r="C646" t="s">
        <v>91</v>
      </c>
      <c r="D646" s="4" cm="1">
        <f t="array" aca="1" ref="D646" ca="1">IFERROR( _xlfn.XLOOKUP(B646, B$2:INDEX(B:B,ROW()-1), I$2:INDEX(I:I,ROW()-1), 0, 0, -1),0)</f>
        <v>2</v>
      </c>
      <c r="E646">
        <v>6</v>
      </c>
      <c r="F646">
        <f t="shared" ca="1" si="72"/>
        <v>0</v>
      </c>
      <c r="G646">
        <f t="shared" ca="1" si="73"/>
        <v>4</v>
      </c>
      <c r="H646">
        <f t="shared" ca="1" si="74"/>
        <v>2</v>
      </c>
      <c r="I646">
        <f t="shared" ca="1" si="75"/>
        <v>2</v>
      </c>
      <c r="J646">
        <v>4.5</v>
      </c>
      <c r="K646">
        <v>4</v>
      </c>
      <c r="L646">
        <v>14</v>
      </c>
      <c r="M646" s="3">
        <f t="shared" ca="1" si="76"/>
        <v>45336</v>
      </c>
      <c r="N646" s="3">
        <f t="shared" ca="1" si="76"/>
        <v>45436</v>
      </c>
      <c r="O646" s="3">
        <v>45418</v>
      </c>
    </row>
    <row r="647" spans="1:15" x14ac:dyDescent="0.3">
      <c r="A647" s="3">
        <v>45387</v>
      </c>
      <c r="B647" t="s">
        <v>83</v>
      </c>
      <c r="C647" t="s">
        <v>100</v>
      </c>
      <c r="D647" s="4" cm="1">
        <f t="array" aca="1" ref="D647" ca="1">IFERROR( _xlfn.XLOOKUP(B647, B$2:INDEX(B:B,ROW()-1), I$2:INDEX(I:I,ROW()-1), 0, 0, -1),0)</f>
        <v>4</v>
      </c>
      <c r="E647">
        <v>10</v>
      </c>
      <c r="F647">
        <f t="shared" ca="1" si="72"/>
        <v>7</v>
      </c>
      <c r="G647">
        <f t="shared" ca="1" si="73"/>
        <v>2</v>
      </c>
      <c r="H647">
        <f t="shared" ca="1" si="74"/>
        <v>0</v>
      </c>
      <c r="I647">
        <f t="shared" ca="1" si="75"/>
        <v>5</v>
      </c>
      <c r="J647">
        <v>4.5</v>
      </c>
      <c r="K647">
        <v>4</v>
      </c>
      <c r="L647">
        <v>10</v>
      </c>
      <c r="M647" s="3">
        <f t="shared" ca="1" si="76"/>
        <v>45414</v>
      </c>
      <c r="N647" s="3">
        <f t="shared" ca="1" si="76"/>
        <v>45379</v>
      </c>
      <c r="O647" s="3">
        <v>45294</v>
      </c>
    </row>
    <row r="648" spans="1:15" x14ac:dyDescent="0.3">
      <c r="A648" s="3">
        <v>45387</v>
      </c>
      <c r="B648" t="s">
        <v>90</v>
      </c>
      <c r="C648" t="s">
        <v>87</v>
      </c>
      <c r="D648" s="4" cm="1">
        <f t="array" aca="1" ref="D648" ca="1">IFERROR( _xlfn.XLOOKUP(B648, B$2:INDEX(B:B,ROW()-1), I$2:INDEX(I:I,ROW()-1), 0, 0, -1),0)</f>
        <v>5</v>
      </c>
      <c r="E648">
        <v>12</v>
      </c>
      <c r="F648">
        <f t="shared" ca="1" si="72"/>
        <v>5</v>
      </c>
      <c r="G648">
        <f t="shared" ca="1" si="73"/>
        <v>3</v>
      </c>
      <c r="H648">
        <f t="shared" ca="1" si="74"/>
        <v>1</v>
      </c>
      <c r="I648">
        <f t="shared" ca="1" si="75"/>
        <v>8</v>
      </c>
      <c r="J648">
        <v>4.5</v>
      </c>
      <c r="K648">
        <v>4</v>
      </c>
      <c r="L648">
        <v>14</v>
      </c>
      <c r="M648" s="3">
        <f t="shared" ca="1" si="76"/>
        <v>45364</v>
      </c>
      <c r="N648" s="3">
        <f t="shared" ca="1" si="76"/>
        <v>45412</v>
      </c>
      <c r="O648" s="3">
        <v>45390</v>
      </c>
    </row>
    <row r="649" spans="1:15" x14ac:dyDescent="0.3">
      <c r="A649" s="3">
        <v>45387</v>
      </c>
      <c r="B649" t="s">
        <v>69</v>
      </c>
      <c r="C649" t="s">
        <v>98</v>
      </c>
      <c r="D649" s="4" cm="1">
        <f t="array" aca="1" ref="D649" ca="1">IFERROR( _xlfn.XLOOKUP(B649, B$2:INDEX(B:B,ROW()-1), I$2:INDEX(I:I,ROW()-1), 0, 0, -1),0)</f>
        <v>1</v>
      </c>
      <c r="E649">
        <v>6</v>
      </c>
      <c r="F649">
        <f t="shared" ca="1" si="72"/>
        <v>0</v>
      </c>
      <c r="G649">
        <f t="shared" ca="1" si="73"/>
        <v>1</v>
      </c>
      <c r="H649">
        <f t="shared" ca="1" si="74"/>
        <v>4</v>
      </c>
      <c r="I649">
        <f t="shared" ca="1" si="75"/>
        <v>2</v>
      </c>
      <c r="J649">
        <v>4</v>
      </c>
      <c r="K649">
        <v>3</v>
      </c>
      <c r="L649">
        <v>7</v>
      </c>
      <c r="M649" s="3">
        <f t="shared" ca="1" si="76"/>
        <v>45359</v>
      </c>
      <c r="N649" s="3">
        <f t="shared" ca="1" si="76"/>
        <v>45428</v>
      </c>
      <c r="O649" s="3">
        <v>45304</v>
      </c>
    </row>
    <row r="650" spans="1:15" x14ac:dyDescent="0.3">
      <c r="A650" s="3">
        <v>45387</v>
      </c>
      <c r="B650" t="s">
        <v>38</v>
      </c>
      <c r="C650" t="s">
        <v>52</v>
      </c>
      <c r="D650" s="4" cm="1">
        <f t="array" aca="1" ref="D650" ca="1">IFERROR( _xlfn.XLOOKUP(B650, B$2:INDEX(B:B,ROW()-1), I$2:INDEX(I:I,ROW()-1), 0, 0, -1),0)</f>
        <v>13</v>
      </c>
      <c r="E650">
        <v>12</v>
      </c>
      <c r="F650">
        <f t="shared" ca="1" si="72"/>
        <v>3</v>
      </c>
      <c r="G650">
        <f t="shared" ca="1" si="73"/>
        <v>12</v>
      </c>
      <c r="H650">
        <f t="shared" ca="1" si="74"/>
        <v>0</v>
      </c>
      <c r="I650">
        <f t="shared" ca="1" si="75"/>
        <v>10</v>
      </c>
      <c r="J650">
        <v>3.5</v>
      </c>
      <c r="K650">
        <v>3</v>
      </c>
      <c r="L650">
        <v>14</v>
      </c>
      <c r="M650" s="3">
        <f t="shared" ca="1" si="76"/>
        <v>45399</v>
      </c>
      <c r="N650" s="3">
        <f t="shared" ca="1" si="76"/>
        <v>45330</v>
      </c>
      <c r="O650" s="3">
        <v>45409</v>
      </c>
    </row>
    <row r="651" spans="1:15" x14ac:dyDescent="0.3">
      <c r="A651" s="3">
        <v>45387</v>
      </c>
      <c r="B651" t="s">
        <v>69</v>
      </c>
      <c r="C651" t="s">
        <v>98</v>
      </c>
      <c r="D651" s="4" cm="1">
        <f t="array" aca="1" ref="D651" ca="1">IFERROR( _xlfn.XLOOKUP(B651, B$2:INDEX(B:B,ROW()-1), I$2:INDEX(I:I,ROW()-1), 0, 0, -1),0)</f>
        <v>2</v>
      </c>
      <c r="E651">
        <v>6</v>
      </c>
      <c r="F651">
        <f t="shared" ca="1" si="72"/>
        <v>3</v>
      </c>
      <c r="G651">
        <f t="shared" ca="1" si="73"/>
        <v>0</v>
      </c>
      <c r="H651">
        <f t="shared" ca="1" si="74"/>
        <v>1</v>
      </c>
      <c r="I651">
        <f t="shared" ca="1" si="75"/>
        <v>4</v>
      </c>
      <c r="J651">
        <v>4</v>
      </c>
      <c r="K651">
        <v>3</v>
      </c>
      <c r="L651">
        <v>7</v>
      </c>
      <c r="M651" s="3">
        <f t="shared" ca="1" si="76"/>
        <v>45396</v>
      </c>
      <c r="N651" s="3">
        <f t="shared" ca="1" si="76"/>
        <v>45404</v>
      </c>
      <c r="O651" s="3">
        <v>45419</v>
      </c>
    </row>
    <row r="652" spans="1:15" x14ac:dyDescent="0.3">
      <c r="A652" s="3">
        <v>45387</v>
      </c>
      <c r="B652" t="s">
        <v>10</v>
      </c>
      <c r="C652" t="s">
        <v>18</v>
      </c>
      <c r="D652" s="4" cm="1">
        <f t="array" aca="1" ref="D652" ca="1">IFERROR( _xlfn.XLOOKUP(B652, B$2:INDEX(B:B,ROW()-1), I$2:INDEX(I:I,ROW()-1), 0, 0, -1),0)</f>
        <v>8</v>
      </c>
      <c r="E652">
        <v>10</v>
      </c>
      <c r="F652">
        <f t="shared" ca="1" si="72"/>
        <v>2</v>
      </c>
      <c r="G652">
        <f t="shared" ca="1" si="73"/>
        <v>9</v>
      </c>
      <c r="H652">
        <f t="shared" ca="1" si="74"/>
        <v>4</v>
      </c>
      <c r="I652">
        <f t="shared" ca="1" si="75"/>
        <v>3</v>
      </c>
      <c r="J652">
        <v>5.5</v>
      </c>
      <c r="K652">
        <v>4.5</v>
      </c>
      <c r="L652">
        <v>7</v>
      </c>
      <c r="M652" s="3">
        <f t="shared" ca="1" si="76"/>
        <v>45325</v>
      </c>
      <c r="N652" s="3">
        <f t="shared" ca="1" si="76"/>
        <v>45365</v>
      </c>
      <c r="O652" s="3">
        <v>45352</v>
      </c>
    </row>
    <row r="653" spans="1:15" x14ac:dyDescent="0.3">
      <c r="A653" s="3">
        <v>45387</v>
      </c>
      <c r="B653" t="s">
        <v>20</v>
      </c>
      <c r="C653" t="s">
        <v>25</v>
      </c>
      <c r="D653" s="4" cm="1">
        <f t="array" aca="1" ref="D653" ca="1">IFERROR( _xlfn.XLOOKUP(B653, B$2:INDEX(B:B,ROW()-1), I$2:INDEX(I:I,ROW()-1), 0, 0, -1),0)</f>
        <v>4</v>
      </c>
      <c r="E653">
        <v>10</v>
      </c>
      <c r="F653">
        <f t="shared" ca="1" si="72"/>
        <v>0</v>
      </c>
      <c r="G653">
        <f t="shared" ca="1" si="73"/>
        <v>1</v>
      </c>
      <c r="H653">
        <f t="shared" ca="1" si="74"/>
        <v>2</v>
      </c>
      <c r="I653">
        <f t="shared" ca="1" si="75"/>
        <v>11</v>
      </c>
      <c r="J653">
        <v>4.5</v>
      </c>
      <c r="K653">
        <v>4</v>
      </c>
      <c r="L653">
        <v>10</v>
      </c>
      <c r="M653" s="3">
        <f t="shared" ca="1" si="76"/>
        <v>45294</v>
      </c>
      <c r="N653" s="3">
        <f t="shared" ca="1" si="76"/>
        <v>45364</v>
      </c>
      <c r="O653" s="3">
        <v>45303</v>
      </c>
    </row>
    <row r="654" spans="1:15" x14ac:dyDescent="0.3">
      <c r="A654" s="3">
        <v>45387</v>
      </c>
      <c r="B654" t="s">
        <v>58</v>
      </c>
      <c r="C654" t="s">
        <v>76</v>
      </c>
      <c r="D654" s="4" cm="1">
        <f t="array" aca="1" ref="D654" ca="1">IFERROR( _xlfn.XLOOKUP(B654, B$2:INDEX(B:B,ROW()-1), I$2:INDEX(I:I,ROW()-1), 0, 0, -1),0)</f>
        <v>6</v>
      </c>
      <c r="E654">
        <v>15</v>
      </c>
      <c r="F654">
        <f t="shared" ca="1" si="72"/>
        <v>0</v>
      </c>
      <c r="G654">
        <f t="shared" ca="1" si="73"/>
        <v>1</v>
      </c>
      <c r="H654">
        <f t="shared" ca="1" si="74"/>
        <v>4</v>
      </c>
      <c r="I654">
        <f t="shared" ca="1" si="75"/>
        <v>16</v>
      </c>
      <c r="J654">
        <v>6</v>
      </c>
      <c r="K654">
        <v>5.5</v>
      </c>
      <c r="L654">
        <v>20</v>
      </c>
      <c r="M654" s="3">
        <f t="shared" ca="1" si="76"/>
        <v>45385</v>
      </c>
      <c r="N654" s="3">
        <f t="shared" ca="1" si="76"/>
        <v>45417</v>
      </c>
      <c r="O654" s="3">
        <v>45406</v>
      </c>
    </row>
    <row r="655" spans="1:15" x14ac:dyDescent="0.3">
      <c r="A655" s="3">
        <v>45387</v>
      </c>
      <c r="B655" t="s">
        <v>37</v>
      </c>
      <c r="C655" t="s">
        <v>51</v>
      </c>
      <c r="D655" s="4" cm="1">
        <f t="array" aca="1" ref="D655" ca="1">IFERROR( _xlfn.XLOOKUP(B655, B$2:INDEX(B:B,ROW()-1), I$2:INDEX(I:I,ROW()-1), 0, 0, -1),0)</f>
        <v>6</v>
      </c>
      <c r="E655">
        <v>12</v>
      </c>
      <c r="F655">
        <f t="shared" ca="1" si="72"/>
        <v>9</v>
      </c>
      <c r="G655">
        <f t="shared" ca="1" si="73"/>
        <v>0</v>
      </c>
      <c r="H655">
        <f t="shared" ca="1" si="74"/>
        <v>5</v>
      </c>
      <c r="I655">
        <f t="shared" ca="1" si="75"/>
        <v>4</v>
      </c>
      <c r="J655">
        <v>3.5</v>
      </c>
      <c r="K655">
        <v>3</v>
      </c>
      <c r="L655">
        <v>14</v>
      </c>
      <c r="M655" s="3">
        <f t="shared" ca="1" si="76"/>
        <v>45436</v>
      </c>
      <c r="N655" s="3">
        <f t="shared" ca="1" si="76"/>
        <v>45403</v>
      </c>
      <c r="O655" s="3">
        <v>45423</v>
      </c>
    </row>
    <row r="656" spans="1:15" x14ac:dyDescent="0.3">
      <c r="A656" s="3">
        <v>45387</v>
      </c>
      <c r="B656" t="s">
        <v>35</v>
      </c>
      <c r="C656" t="s">
        <v>31</v>
      </c>
      <c r="D656" s="4" cm="1">
        <f t="array" aca="1" ref="D656" ca="1">IFERROR( _xlfn.XLOOKUP(B656, B$2:INDEX(B:B,ROW()-1), I$2:INDEX(I:I,ROW()-1), 0, 0, -1),0)</f>
        <v>3</v>
      </c>
      <c r="E656">
        <v>8</v>
      </c>
      <c r="F656">
        <f t="shared" ca="1" si="72"/>
        <v>3</v>
      </c>
      <c r="G656">
        <f t="shared" ca="1" si="73"/>
        <v>5</v>
      </c>
      <c r="H656">
        <f t="shared" ca="1" si="74"/>
        <v>0</v>
      </c>
      <c r="I656">
        <f t="shared" ca="1" si="75"/>
        <v>3</v>
      </c>
      <c r="J656">
        <v>3.5</v>
      </c>
      <c r="K656">
        <v>3</v>
      </c>
      <c r="L656">
        <v>14</v>
      </c>
      <c r="M656" s="3">
        <f t="shared" ca="1" si="76"/>
        <v>45409</v>
      </c>
      <c r="N656" s="3">
        <f t="shared" ca="1" si="76"/>
        <v>45367</v>
      </c>
      <c r="O656" s="3">
        <v>45313</v>
      </c>
    </row>
    <row r="657" spans="1:15" x14ac:dyDescent="0.3">
      <c r="A657" s="3">
        <v>45388</v>
      </c>
      <c r="B657" t="s">
        <v>59</v>
      </c>
      <c r="C657" t="s">
        <v>93</v>
      </c>
      <c r="D657" s="4" cm="1">
        <f t="array" aca="1" ref="D657" ca="1">IFERROR( _xlfn.XLOOKUP(B657, B$2:INDEX(B:B,ROW()-1), I$2:INDEX(I:I,ROW()-1), 0, 0, -1),0)</f>
        <v>2</v>
      </c>
      <c r="E657">
        <v>10</v>
      </c>
      <c r="F657">
        <f t="shared" ca="1" si="72"/>
        <v>1</v>
      </c>
      <c r="G657">
        <f t="shared" ca="1" si="73"/>
        <v>0</v>
      </c>
      <c r="H657">
        <f t="shared" ca="1" si="74"/>
        <v>7</v>
      </c>
      <c r="I657">
        <f t="shared" ca="1" si="75"/>
        <v>4</v>
      </c>
      <c r="J657">
        <v>4</v>
      </c>
      <c r="K657">
        <v>3.5</v>
      </c>
      <c r="L657">
        <v>10</v>
      </c>
      <c r="M657" s="3">
        <f t="shared" ca="1" si="76"/>
        <v>45369</v>
      </c>
      <c r="N657" s="3">
        <f t="shared" ca="1" si="76"/>
        <v>45298</v>
      </c>
      <c r="O657" s="3">
        <v>45311</v>
      </c>
    </row>
    <row r="658" spans="1:15" x14ac:dyDescent="0.3">
      <c r="A658" s="3">
        <v>45388</v>
      </c>
      <c r="B658" t="s">
        <v>63</v>
      </c>
      <c r="C658" t="s">
        <v>97</v>
      </c>
      <c r="D658" s="4" cm="1">
        <f t="array" aca="1" ref="D658" ca="1">IFERROR( _xlfn.XLOOKUP(B658, B$2:INDEX(B:B,ROW()-1), I$2:INDEX(I:I,ROW()-1), 0, 0, -1),0)</f>
        <v>1</v>
      </c>
      <c r="E658">
        <v>10</v>
      </c>
      <c r="F658">
        <f t="shared" ca="1" si="72"/>
        <v>5</v>
      </c>
      <c r="G658">
        <f t="shared" ca="1" si="73"/>
        <v>3</v>
      </c>
      <c r="H658">
        <f t="shared" ca="1" si="74"/>
        <v>1</v>
      </c>
      <c r="I658">
        <f t="shared" ca="1" si="75"/>
        <v>2</v>
      </c>
      <c r="J658">
        <v>4</v>
      </c>
      <c r="K658">
        <v>3.5</v>
      </c>
      <c r="L658">
        <v>10</v>
      </c>
      <c r="M658" s="3">
        <f t="shared" ca="1" si="76"/>
        <v>45322</v>
      </c>
      <c r="N658" s="3">
        <f t="shared" ca="1" si="76"/>
        <v>45423</v>
      </c>
      <c r="O658" s="3">
        <v>45340</v>
      </c>
    </row>
    <row r="659" spans="1:15" x14ac:dyDescent="0.3">
      <c r="A659" s="3">
        <v>45388</v>
      </c>
      <c r="B659" t="s">
        <v>90</v>
      </c>
      <c r="C659" t="s">
        <v>87</v>
      </c>
      <c r="D659" s="4" cm="1">
        <f t="array" aca="1" ref="D659" ca="1">IFERROR( _xlfn.XLOOKUP(B659, B$2:INDEX(B:B,ROW()-1), I$2:INDEX(I:I,ROW()-1), 0, 0, -1),0)</f>
        <v>8</v>
      </c>
      <c r="E659">
        <v>12</v>
      </c>
      <c r="F659">
        <f t="shared" ca="1" si="72"/>
        <v>9</v>
      </c>
      <c r="G659">
        <f t="shared" ca="1" si="73"/>
        <v>5</v>
      </c>
      <c r="H659">
        <f t="shared" ca="1" si="74"/>
        <v>4</v>
      </c>
      <c r="I659">
        <f t="shared" ca="1" si="75"/>
        <v>2</v>
      </c>
      <c r="J659">
        <v>4.5</v>
      </c>
      <c r="K659">
        <v>4</v>
      </c>
      <c r="L659">
        <v>14</v>
      </c>
      <c r="M659" s="3">
        <f t="shared" ca="1" si="76"/>
        <v>45351</v>
      </c>
      <c r="N659" s="3">
        <f t="shared" ca="1" si="76"/>
        <v>45374</v>
      </c>
      <c r="O659" s="3">
        <v>45309</v>
      </c>
    </row>
    <row r="660" spans="1:15" x14ac:dyDescent="0.3">
      <c r="A660" s="3">
        <v>45388</v>
      </c>
      <c r="B660" t="s">
        <v>81</v>
      </c>
      <c r="C660" t="s">
        <v>50</v>
      </c>
      <c r="D660" s="4" cm="1">
        <f t="array" aca="1" ref="D660" ca="1">IFERROR( _xlfn.XLOOKUP(B660, B$2:INDEX(B:B,ROW()-1), I$2:INDEX(I:I,ROW()-1), 0, 0, -1),0)</f>
        <v>6</v>
      </c>
      <c r="E660">
        <v>8</v>
      </c>
      <c r="F660">
        <f t="shared" ca="1" si="72"/>
        <v>5</v>
      </c>
      <c r="G660">
        <f t="shared" ca="1" si="73"/>
        <v>1</v>
      </c>
      <c r="H660">
        <f t="shared" ca="1" si="74"/>
        <v>4</v>
      </c>
      <c r="I660">
        <f t="shared" ca="1" si="75"/>
        <v>4</v>
      </c>
      <c r="J660">
        <v>2.5</v>
      </c>
      <c r="K660">
        <v>2</v>
      </c>
      <c r="L660">
        <v>5</v>
      </c>
      <c r="M660" s="3">
        <f t="shared" ca="1" si="76"/>
        <v>45308</v>
      </c>
      <c r="N660" s="3">
        <f t="shared" ca="1" si="76"/>
        <v>45341</v>
      </c>
      <c r="O660" s="3">
        <v>45340</v>
      </c>
    </row>
    <row r="661" spans="1:15" x14ac:dyDescent="0.3">
      <c r="A661" s="3">
        <v>45389</v>
      </c>
      <c r="B661" t="s">
        <v>23</v>
      </c>
      <c r="C661" t="s">
        <v>28</v>
      </c>
      <c r="D661" s="4" cm="1">
        <f t="array" aca="1" ref="D661" ca="1">IFERROR( _xlfn.XLOOKUP(B661, B$2:INDEX(B:B,ROW()-1), I$2:INDEX(I:I,ROW()-1), 0, 0, -1),0)</f>
        <v>2</v>
      </c>
      <c r="E661">
        <v>9</v>
      </c>
      <c r="F661">
        <f t="shared" ca="1" si="72"/>
        <v>3</v>
      </c>
      <c r="G661">
        <f t="shared" ca="1" si="73"/>
        <v>1</v>
      </c>
      <c r="H661">
        <f t="shared" ca="1" si="74"/>
        <v>1</v>
      </c>
      <c r="I661">
        <f t="shared" ca="1" si="75"/>
        <v>6</v>
      </c>
      <c r="J661">
        <v>6.5</v>
      </c>
      <c r="K661">
        <v>5.5</v>
      </c>
      <c r="L661">
        <v>9</v>
      </c>
      <c r="M661" s="3">
        <f t="shared" ca="1" si="76"/>
        <v>45357</v>
      </c>
      <c r="N661" s="3">
        <f t="shared" ca="1" si="76"/>
        <v>45295</v>
      </c>
      <c r="O661" s="3">
        <v>45424</v>
      </c>
    </row>
    <row r="662" spans="1:15" x14ac:dyDescent="0.3">
      <c r="A662" s="3">
        <v>45389</v>
      </c>
      <c r="B662" t="s">
        <v>72</v>
      </c>
      <c r="C662" t="s">
        <v>48</v>
      </c>
      <c r="D662" s="4" cm="1">
        <f t="array" aca="1" ref="D662" ca="1">IFERROR( _xlfn.XLOOKUP(B662, B$2:INDEX(B:B,ROW()-1), I$2:INDEX(I:I,ROW()-1), 0, 0, -1),0)</f>
        <v>1</v>
      </c>
      <c r="E662">
        <v>6</v>
      </c>
      <c r="F662">
        <f t="shared" ca="1" si="72"/>
        <v>2</v>
      </c>
      <c r="G662">
        <f t="shared" ca="1" si="73"/>
        <v>2</v>
      </c>
      <c r="H662">
        <f t="shared" ca="1" si="74"/>
        <v>2</v>
      </c>
      <c r="I662">
        <f t="shared" ca="1" si="75"/>
        <v>1</v>
      </c>
      <c r="J662">
        <v>4</v>
      </c>
      <c r="K662">
        <v>3</v>
      </c>
      <c r="L662">
        <v>7</v>
      </c>
      <c r="M662" s="3">
        <f t="shared" ref="M662:N681" ca="1" si="77">DATE(2024,1,1) + RANDBETWEEN(0, DATE(2024,5,25) - DATE(2024,1,1))</f>
        <v>45308</v>
      </c>
      <c r="N662" s="3">
        <f t="shared" ca="1" si="77"/>
        <v>45430</v>
      </c>
      <c r="O662" s="3">
        <v>45387</v>
      </c>
    </row>
    <row r="663" spans="1:15" x14ac:dyDescent="0.3">
      <c r="A663" s="3">
        <v>45389</v>
      </c>
      <c r="B663" t="s">
        <v>59</v>
      </c>
      <c r="C663" t="s">
        <v>93</v>
      </c>
      <c r="D663" s="4" cm="1">
        <f t="array" aca="1" ref="D663" ca="1">IFERROR( _xlfn.XLOOKUP(B663, B$2:INDEX(B:B,ROW()-1), I$2:INDEX(I:I,ROW()-1), 0, 0, -1),0)</f>
        <v>4</v>
      </c>
      <c r="E663">
        <v>10</v>
      </c>
      <c r="F663">
        <f t="shared" ca="1" si="72"/>
        <v>4</v>
      </c>
      <c r="G663">
        <f t="shared" ca="1" si="73"/>
        <v>5</v>
      </c>
      <c r="H663">
        <f t="shared" ca="1" si="74"/>
        <v>0</v>
      </c>
      <c r="I663">
        <f t="shared" ca="1" si="75"/>
        <v>5</v>
      </c>
      <c r="J663">
        <v>4</v>
      </c>
      <c r="K663">
        <v>3.5</v>
      </c>
      <c r="L663">
        <v>10</v>
      </c>
      <c r="M663" s="3">
        <f t="shared" ca="1" si="77"/>
        <v>45334</v>
      </c>
      <c r="N663" s="3">
        <f t="shared" ca="1" si="77"/>
        <v>45372</v>
      </c>
      <c r="O663" s="3">
        <v>45426</v>
      </c>
    </row>
    <row r="664" spans="1:15" x14ac:dyDescent="0.3">
      <c r="A664" s="3">
        <v>45389</v>
      </c>
      <c r="B664" t="s">
        <v>81</v>
      </c>
      <c r="C664" t="s">
        <v>50</v>
      </c>
      <c r="D664" s="4" cm="1">
        <f t="array" aca="1" ref="D664" ca="1">IFERROR( _xlfn.XLOOKUP(B664, B$2:INDEX(B:B,ROW()-1), I$2:INDEX(I:I,ROW()-1), 0, 0, -1),0)</f>
        <v>4</v>
      </c>
      <c r="E664">
        <v>8</v>
      </c>
      <c r="F664">
        <f t="shared" ca="1" si="72"/>
        <v>2</v>
      </c>
      <c r="G664">
        <f t="shared" ca="1" si="73"/>
        <v>0</v>
      </c>
      <c r="H664">
        <f t="shared" ca="1" si="74"/>
        <v>5</v>
      </c>
      <c r="I664">
        <f t="shared" ca="1" si="75"/>
        <v>5</v>
      </c>
      <c r="J664">
        <v>2.5</v>
      </c>
      <c r="K664">
        <v>2</v>
      </c>
      <c r="L664">
        <v>5</v>
      </c>
      <c r="M664" s="3">
        <f t="shared" ca="1" si="77"/>
        <v>45434</v>
      </c>
      <c r="N664" s="3">
        <f t="shared" ca="1" si="77"/>
        <v>45339</v>
      </c>
      <c r="O664" s="3">
        <v>45391</v>
      </c>
    </row>
    <row r="665" spans="1:15" x14ac:dyDescent="0.3">
      <c r="A665" s="3">
        <v>45389</v>
      </c>
      <c r="B665" t="s">
        <v>68</v>
      </c>
      <c r="C665" t="s">
        <v>43</v>
      </c>
      <c r="D665" s="4" cm="1">
        <f t="array" aca="1" ref="D665" ca="1">IFERROR( _xlfn.XLOOKUP(B665, B$2:INDEX(B:B,ROW()-1), I$2:INDEX(I:I,ROW()-1), 0, 0, -1),0)</f>
        <v>5</v>
      </c>
      <c r="E665">
        <v>15</v>
      </c>
      <c r="F665">
        <f t="shared" ca="1" si="72"/>
        <v>9</v>
      </c>
      <c r="G665">
        <f t="shared" ca="1" si="73"/>
        <v>1</v>
      </c>
      <c r="H665">
        <f t="shared" ca="1" si="74"/>
        <v>1</v>
      </c>
      <c r="I665">
        <f t="shared" ca="1" si="75"/>
        <v>9</v>
      </c>
      <c r="J665">
        <v>4</v>
      </c>
      <c r="K665">
        <v>3</v>
      </c>
      <c r="L665">
        <v>14</v>
      </c>
      <c r="M665" s="3">
        <f t="shared" ca="1" si="77"/>
        <v>45304</v>
      </c>
      <c r="N665" s="3">
        <f t="shared" ca="1" si="77"/>
        <v>45362</v>
      </c>
      <c r="O665" s="3">
        <v>45332</v>
      </c>
    </row>
    <row r="666" spans="1:15" x14ac:dyDescent="0.3">
      <c r="A666" s="3">
        <v>45389</v>
      </c>
      <c r="B666" t="s">
        <v>89</v>
      </c>
      <c r="C666" t="s">
        <v>103</v>
      </c>
      <c r="D666" s="4" cm="1">
        <f t="array" aca="1" ref="D666" ca="1">IFERROR( _xlfn.XLOOKUP(B666, B$2:INDEX(B:B,ROW()-1), I$2:INDEX(I:I,ROW()-1), 0, 0, -1),0)</f>
        <v>2</v>
      </c>
      <c r="E666">
        <v>8</v>
      </c>
      <c r="F666">
        <f t="shared" ca="1" si="72"/>
        <v>5</v>
      </c>
      <c r="G666">
        <f t="shared" ca="1" si="73"/>
        <v>2</v>
      </c>
      <c r="H666">
        <f t="shared" ca="1" si="74"/>
        <v>2</v>
      </c>
      <c r="I666">
        <f t="shared" ca="1" si="75"/>
        <v>1</v>
      </c>
      <c r="J666">
        <v>3.5</v>
      </c>
      <c r="K666">
        <v>3</v>
      </c>
      <c r="L666">
        <v>8</v>
      </c>
      <c r="M666" s="3">
        <f t="shared" ca="1" si="77"/>
        <v>45414</v>
      </c>
      <c r="N666" s="3">
        <f t="shared" ca="1" si="77"/>
        <v>45373</v>
      </c>
      <c r="O666" s="3">
        <v>45311</v>
      </c>
    </row>
    <row r="667" spans="1:15" x14ac:dyDescent="0.3">
      <c r="A667" s="3">
        <v>45390</v>
      </c>
      <c r="B667" t="s">
        <v>16</v>
      </c>
      <c r="C667" t="s">
        <v>77</v>
      </c>
      <c r="D667" s="4" cm="1">
        <f t="array" aca="1" ref="D667" ca="1">IFERROR( _xlfn.XLOOKUP(B667, B$2:INDEX(B:B,ROW()-1), I$2:INDEX(I:I,ROW()-1), 0, 0, -1),0)</f>
        <v>7</v>
      </c>
      <c r="E667">
        <v>10</v>
      </c>
      <c r="F667">
        <f t="shared" ca="1" si="72"/>
        <v>3</v>
      </c>
      <c r="G667">
        <f t="shared" ca="1" si="73"/>
        <v>3</v>
      </c>
      <c r="H667">
        <f t="shared" ca="1" si="74"/>
        <v>7</v>
      </c>
      <c r="I667">
        <f t="shared" ca="1" si="75"/>
        <v>4</v>
      </c>
      <c r="J667">
        <v>5.5</v>
      </c>
      <c r="K667">
        <v>4.5</v>
      </c>
      <c r="L667">
        <v>7</v>
      </c>
      <c r="M667" s="3">
        <f t="shared" ca="1" si="77"/>
        <v>45418</v>
      </c>
      <c r="N667" s="3">
        <f t="shared" ca="1" si="77"/>
        <v>45406</v>
      </c>
      <c r="O667" s="3">
        <v>45396</v>
      </c>
    </row>
    <row r="668" spans="1:15" x14ac:dyDescent="0.3">
      <c r="A668" s="3">
        <v>45390</v>
      </c>
      <c r="B668" t="s">
        <v>69</v>
      </c>
      <c r="C668" t="s">
        <v>98</v>
      </c>
      <c r="D668" s="4" cm="1">
        <f t="array" aca="1" ref="D668" ca="1">IFERROR( _xlfn.XLOOKUP(B668, B$2:INDEX(B:B,ROW()-1), I$2:INDEX(I:I,ROW()-1), 0, 0, -1),0)</f>
        <v>4</v>
      </c>
      <c r="E668">
        <v>6</v>
      </c>
      <c r="F668">
        <f t="shared" ca="1" si="72"/>
        <v>4</v>
      </c>
      <c r="G668">
        <f t="shared" ca="1" si="73"/>
        <v>1</v>
      </c>
      <c r="H668">
        <f t="shared" ca="1" si="74"/>
        <v>0</v>
      </c>
      <c r="I668">
        <f t="shared" ca="1" si="75"/>
        <v>5</v>
      </c>
      <c r="J668">
        <v>4</v>
      </c>
      <c r="K668">
        <v>3</v>
      </c>
      <c r="L668">
        <v>7</v>
      </c>
      <c r="M668" s="3">
        <f t="shared" ca="1" si="77"/>
        <v>45414</v>
      </c>
      <c r="N668" s="3">
        <f t="shared" ca="1" si="77"/>
        <v>45390</v>
      </c>
      <c r="O668" s="3">
        <v>45328</v>
      </c>
    </row>
    <row r="669" spans="1:15" x14ac:dyDescent="0.3">
      <c r="A669" s="3">
        <v>45390</v>
      </c>
      <c r="B669" t="s">
        <v>20</v>
      </c>
      <c r="C669" t="s">
        <v>25</v>
      </c>
      <c r="D669" s="4" cm="1">
        <f t="array" aca="1" ref="D669" ca="1">IFERROR( _xlfn.XLOOKUP(B669, B$2:INDEX(B:B,ROW()-1), I$2:INDEX(I:I,ROW()-1), 0, 0, -1),0)</f>
        <v>11</v>
      </c>
      <c r="E669">
        <v>10</v>
      </c>
      <c r="F669">
        <f t="shared" ca="1" si="72"/>
        <v>9</v>
      </c>
      <c r="G669">
        <f t="shared" ca="1" si="73"/>
        <v>3</v>
      </c>
      <c r="H669">
        <f t="shared" ca="1" si="74"/>
        <v>5</v>
      </c>
      <c r="I669">
        <f t="shared" ca="1" si="75"/>
        <v>4</v>
      </c>
      <c r="J669">
        <v>4.5</v>
      </c>
      <c r="K669">
        <v>4</v>
      </c>
      <c r="L669">
        <v>10</v>
      </c>
      <c r="M669" s="3">
        <f t="shared" ca="1" si="77"/>
        <v>45427</v>
      </c>
      <c r="N669" s="3">
        <f t="shared" ca="1" si="77"/>
        <v>45309</v>
      </c>
      <c r="O669" s="3">
        <v>45420</v>
      </c>
    </row>
    <row r="670" spans="1:15" x14ac:dyDescent="0.3">
      <c r="A670" s="3">
        <v>45390</v>
      </c>
      <c r="B670" t="s">
        <v>36</v>
      </c>
      <c r="C670" t="s">
        <v>33</v>
      </c>
      <c r="D670" s="4" cm="1">
        <f t="array" aca="1" ref="D670" ca="1">IFERROR( _xlfn.XLOOKUP(B670, B$2:INDEX(B:B,ROW()-1), I$2:INDEX(I:I,ROW()-1), 0, 0, -1),0)</f>
        <v>2</v>
      </c>
      <c r="E670">
        <v>12</v>
      </c>
      <c r="F670">
        <f t="shared" ca="1" si="72"/>
        <v>0</v>
      </c>
      <c r="G670">
        <f t="shared" ca="1" si="73"/>
        <v>3</v>
      </c>
      <c r="H670">
        <f t="shared" ca="1" si="74"/>
        <v>4</v>
      </c>
      <c r="I670">
        <f t="shared" ca="1" si="75"/>
        <v>7</v>
      </c>
      <c r="J670">
        <v>3.5</v>
      </c>
      <c r="K670">
        <v>3</v>
      </c>
      <c r="L670">
        <v>14</v>
      </c>
      <c r="M670" s="3">
        <f t="shared" ca="1" si="77"/>
        <v>45418</v>
      </c>
      <c r="N670" s="3">
        <f t="shared" ca="1" si="77"/>
        <v>45340</v>
      </c>
      <c r="O670" s="3">
        <v>45433</v>
      </c>
    </row>
    <row r="671" spans="1:15" x14ac:dyDescent="0.3">
      <c r="A671" s="3">
        <v>45391</v>
      </c>
      <c r="B671" t="s">
        <v>83</v>
      </c>
      <c r="C671" t="s">
        <v>100</v>
      </c>
      <c r="D671" s="4" cm="1">
        <f t="array" aca="1" ref="D671" ca="1">IFERROR( _xlfn.XLOOKUP(B671, B$2:INDEX(B:B,ROW()-1), I$2:INDEX(I:I,ROW()-1), 0, 0, -1),0)</f>
        <v>5</v>
      </c>
      <c r="E671">
        <v>10</v>
      </c>
      <c r="F671">
        <f t="shared" ca="1" si="72"/>
        <v>1</v>
      </c>
      <c r="G671">
        <f t="shared" ca="1" si="73"/>
        <v>6</v>
      </c>
      <c r="H671">
        <f t="shared" ca="1" si="74"/>
        <v>5</v>
      </c>
      <c r="I671">
        <f t="shared" ca="1" si="75"/>
        <v>3</v>
      </c>
      <c r="J671">
        <v>4.5</v>
      </c>
      <c r="K671">
        <v>4</v>
      </c>
      <c r="L671">
        <v>10</v>
      </c>
      <c r="M671" s="3">
        <f t="shared" ca="1" si="77"/>
        <v>45332</v>
      </c>
      <c r="N671" s="3">
        <f t="shared" ca="1" si="77"/>
        <v>45418</v>
      </c>
      <c r="O671" s="3">
        <v>45373</v>
      </c>
    </row>
    <row r="672" spans="1:15" x14ac:dyDescent="0.3">
      <c r="A672" s="3">
        <v>45391</v>
      </c>
      <c r="B672" t="s">
        <v>66</v>
      </c>
      <c r="C672" t="s">
        <v>45</v>
      </c>
      <c r="D672" s="4" cm="1">
        <f t="array" aca="1" ref="D672" ca="1">IFERROR( _xlfn.XLOOKUP(B672, B$2:INDEX(B:B,ROW()-1), I$2:INDEX(I:I,ROW()-1), 0, 0, -1),0)</f>
        <v>3</v>
      </c>
      <c r="E672">
        <v>8</v>
      </c>
      <c r="F672">
        <f t="shared" ca="1" si="72"/>
        <v>1</v>
      </c>
      <c r="G672">
        <f t="shared" ca="1" si="73"/>
        <v>1</v>
      </c>
      <c r="H672">
        <f t="shared" ca="1" si="74"/>
        <v>5</v>
      </c>
      <c r="I672">
        <f t="shared" ca="1" si="75"/>
        <v>4</v>
      </c>
      <c r="J672">
        <v>3.5</v>
      </c>
      <c r="K672">
        <v>3</v>
      </c>
      <c r="L672">
        <v>8</v>
      </c>
      <c r="M672" s="3">
        <f t="shared" ca="1" si="77"/>
        <v>45382</v>
      </c>
      <c r="N672" s="3">
        <f t="shared" ca="1" si="77"/>
        <v>45355</v>
      </c>
      <c r="O672" s="3">
        <v>45363</v>
      </c>
    </row>
    <row r="673" spans="1:15" x14ac:dyDescent="0.3">
      <c r="A673" s="3">
        <v>45391</v>
      </c>
      <c r="B673" t="s">
        <v>71</v>
      </c>
      <c r="C673" t="s">
        <v>47</v>
      </c>
      <c r="D673" s="4" cm="1">
        <f t="array" aca="1" ref="D673" ca="1">IFERROR( _xlfn.XLOOKUP(B673, B$2:INDEX(B:B,ROW()-1), I$2:INDEX(I:I,ROW()-1), 0, 0, -1),0)</f>
        <v>1</v>
      </c>
      <c r="E673">
        <v>6</v>
      </c>
      <c r="F673">
        <f t="shared" ca="1" si="72"/>
        <v>2</v>
      </c>
      <c r="G673">
        <f t="shared" ca="1" si="73"/>
        <v>2</v>
      </c>
      <c r="H673">
        <f t="shared" ca="1" si="74"/>
        <v>0</v>
      </c>
      <c r="I673">
        <f t="shared" ca="1" si="75"/>
        <v>3</v>
      </c>
      <c r="J673">
        <v>4</v>
      </c>
      <c r="K673">
        <v>3</v>
      </c>
      <c r="L673">
        <v>7</v>
      </c>
      <c r="M673" s="3">
        <f t="shared" ca="1" si="77"/>
        <v>45405</v>
      </c>
      <c r="N673" s="3">
        <f t="shared" ca="1" si="77"/>
        <v>45405</v>
      </c>
      <c r="O673" s="3">
        <v>45321</v>
      </c>
    </row>
    <row r="674" spans="1:15" x14ac:dyDescent="0.3">
      <c r="A674" s="3">
        <v>45391</v>
      </c>
      <c r="B674" t="s">
        <v>78</v>
      </c>
      <c r="C674" t="s">
        <v>74</v>
      </c>
      <c r="D674" s="4" cm="1">
        <f t="array" aca="1" ref="D674" ca="1">IFERROR( _xlfn.XLOOKUP(B674, B$2:INDEX(B:B,ROW()-1), I$2:INDEX(I:I,ROW()-1), 0, 0, -1),0)</f>
        <v>1</v>
      </c>
      <c r="E674">
        <v>6</v>
      </c>
      <c r="F674">
        <f t="shared" ca="1" si="72"/>
        <v>1</v>
      </c>
      <c r="G674">
        <f t="shared" ca="1" si="73"/>
        <v>0</v>
      </c>
      <c r="H674">
        <f t="shared" ca="1" si="74"/>
        <v>0</v>
      </c>
      <c r="I674">
        <f t="shared" ca="1" si="75"/>
        <v>6</v>
      </c>
      <c r="J674">
        <v>4</v>
      </c>
      <c r="K674">
        <v>3</v>
      </c>
      <c r="L674">
        <v>7</v>
      </c>
      <c r="M674" s="3">
        <f t="shared" ca="1" si="77"/>
        <v>45345</v>
      </c>
      <c r="N674" s="3">
        <f t="shared" ca="1" si="77"/>
        <v>45406</v>
      </c>
      <c r="O674" s="3">
        <v>45357</v>
      </c>
    </row>
    <row r="675" spans="1:15" x14ac:dyDescent="0.3">
      <c r="A675" s="3">
        <v>45391</v>
      </c>
      <c r="B675" t="s">
        <v>22</v>
      </c>
      <c r="C675" t="s">
        <v>26</v>
      </c>
      <c r="D675" s="4" cm="1">
        <f t="array" aca="1" ref="D675" ca="1">IFERROR( _xlfn.XLOOKUP(B675, B$2:INDEX(B:B,ROW()-1), I$2:INDEX(I:I,ROW()-1), 0, 0, -1),0)</f>
        <v>3</v>
      </c>
      <c r="E675">
        <v>12</v>
      </c>
      <c r="F675">
        <f t="shared" ca="1" si="72"/>
        <v>6</v>
      </c>
      <c r="G675">
        <f t="shared" ca="1" si="73"/>
        <v>2</v>
      </c>
      <c r="H675">
        <f t="shared" ca="1" si="74"/>
        <v>4</v>
      </c>
      <c r="I675">
        <f t="shared" ca="1" si="75"/>
        <v>3</v>
      </c>
      <c r="J675">
        <v>3.5</v>
      </c>
      <c r="K675">
        <v>3</v>
      </c>
      <c r="L675">
        <v>14</v>
      </c>
      <c r="M675" s="3">
        <f t="shared" ca="1" si="77"/>
        <v>45296</v>
      </c>
      <c r="N675" s="3">
        <f t="shared" ca="1" si="77"/>
        <v>45343</v>
      </c>
      <c r="O675" s="3">
        <v>45347</v>
      </c>
    </row>
    <row r="676" spans="1:15" x14ac:dyDescent="0.3">
      <c r="A676" s="3">
        <v>45391</v>
      </c>
      <c r="B676" t="s">
        <v>84</v>
      </c>
      <c r="C676" t="s">
        <v>101</v>
      </c>
      <c r="D676" s="4" cm="1">
        <f t="array" aca="1" ref="D676" ca="1">IFERROR( _xlfn.XLOOKUP(B676, B$2:INDEX(B:B,ROW()-1), I$2:INDEX(I:I,ROW()-1), 0, 0, -1),0)</f>
        <v>3</v>
      </c>
      <c r="E676">
        <v>8</v>
      </c>
      <c r="F676">
        <f t="shared" ca="1" si="72"/>
        <v>5</v>
      </c>
      <c r="G676">
        <f t="shared" ca="1" si="73"/>
        <v>3</v>
      </c>
      <c r="H676">
        <f t="shared" ca="1" si="74"/>
        <v>2</v>
      </c>
      <c r="I676">
        <f t="shared" ca="1" si="75"/>
        <v>1</v>
      </c>
      <c r="J676">
        <v>3.5</v>
      </c>
      <c r="K676">
        <v>3</v>
      </c>
      <c r="L676">
        <v>8</v>
      </c>
      <c r="M676" s="3">
        <f t="shared" ca="1" si="77"/>
        <v>45418</v>
      </c>
      <c r="N676" s="3">
        <f t="shared" ca="1" si="77"/>
        <v>45404</v>
      </c>
      <c r="O676" s="3">
        <v>45337</v>
      </c>
    </row>
    <row r="677" spans="1:15" x14ac:dyDescent="0.3">
      <c r="A677" s="3">
        <v>45391</v>
      </c>
      <c r="B677" t="s">
        <v>58</v>
      </c>
      <c r="C677" t="s">
        <v>76</v>
      </c>
      <c r="D677" s="4" cm="1">
        <f t="array" aca="1" ref="D677" ca="1">IFERROR( _xlfn.XLOOKUP(B677, B$2:INDEX(B:B,ROW()-1), I$2:INDEX(I:I,ROW()-1), 0, 0, -1),0)</f>
        <v>16</v>
      </c>
      <c r="E677">
        <v>15</v>
      </c>
      <c r="F677">
        <f t="shared" ca="1" si="72"/>
        <v>16</v>
      </c>
      <c r="G677">
        <f t="shared" ca="1" si="73"/>
        <v>7</v>
      </c>
      <c r="H677">
        <f t="shared" ca="1" si="74"/>
        <v>0</v>
      </c>
      <c r="I677">
        <f t="shared" ca="1" si="75"/>
        <v>8</v>
      </c>
      <c r="J677">
        <v>6</v>
      </c>
      <c r="K677">
        <v>5.5</v>
      </c>
      <c r="L677">
        <v>20</v>
      </c>
      <c r="M677" s="3">
        <f t="shared" ca="1" si="77"/>
        <v>45412</v>
      </c>
      <c r="N677" s="3">
        <f t="shared" ca="1" si="77"/>
        <v>45354</v>
      </c>
      <c r="O677" s="3">
        <v>45398</v>
      </c>
    </row>
    <row r="678" spans="1:15" x14ac:dyDescent="0.3">
      <c r="A678" s="3">
        <v>45392</v>
      </c>
      <c r="B678" t="s">
        <v>36</v>
      </c>
      <c r="C678" t="s">
        <v>33</v>
      </c>
      <c r="D678" s="4" cm="1">
        <f t="array" aca="1" ref="D678" ca="1">IFERROR( _xlfn.XLOOKUP(B678, B$2:INDEX(B:B,ROW()-1), I$2:INDEX(I:I,ROW()-1), 0, 0, -1),0)</f>
        <v>7</v>
      </c>
      <c r="E678">
        <v>12</v>
      </c>
      <c r="F678">
        <f t="shared" ca="1" si="72"/>
        <v>0</v>
      </c>
      <c r="G678">
        <f t="shared" ca="1" si="73"/>
        <v>6</v>
      </c>
      <c r="H678">
        <f t="shared" ca="1" si="74"/>
        <v>6</v>
      </c>
      <c r="I678">
        <f t="shared" ca="1" si="75"/>
        <v>7</v>
      </c>
      <c r="J678">
        <v>3.5</v>
      </c>
      <c r="K678">
        <v>3</v>
      </c>
      <c r="L678">
        <v>14</v>
      </c>
      <c r="M678" s="3">
        <f t="shared" ca="1" si="77"/>
        <v>45430</v>
      </c>
      <c r="N678" s="3">
        <f t="shared" ca="1" si="77"/>
        <v>45367</v>
      </c>
      <c r="O678" s="3">
        <v>45354</v>
      </c>
    </row>
    <row r="679" spans="1:15" x14ac:dyDescent="0.3">
      <c r="A679" s="3">
        <v>45392</v>
      </c>
      <c r="B679" t="s">
        <v>78</v>
      </c>
      <c r="C679" t="s">
        <v>74</v>
      </c>
      <c r="D679" s="4" cm="1">
        <f t="array" aca="1" ref="D679" ca="1">IFERROR( _xlfn.XLOOKUP(B679, B$2:INDEX(B:B,ROW()-1), I$2:INDEX(I:I,ROW()-1), 0, 0, -1),0)</f>
        <v>6</v>
      </c>
      <c r="E679">
        <v>6</v>
      </c>
      <c r="F679">
        <f t="shared" ca="1" si="72"/>
        <v>0</v>
      </c>
      <c r="G679">
        <f t="shared" ca="1" si="73"/>
        <v>5</v>
      </c>
      <c r="H679">
        <f t="shared" ca="1" si="74"/>
        <v>1</v>
      </c>
      <c r="I679">
        <f t="shared" ca="1" si="75"/>
        <v>6</v>
      </c>
      <c r="J679">
        <v>4</v>
      </c>
      <c r="K679">
        <v>3</v>
      </c>
      <c r="L679">
        <v>7</v>
      </c>
      <c r="M679" s="3">
        <f t="shared" ca="1" si="77"/>
        <v>45326</v>
      </c>
      <c r="N679" s="3">
        <f t="shared" ca="1" si="77"/>
        <v>45308</v>
      </c>
      <c r="O679" s="3">
        <v>45358</v>
      </c>
    </row>
    <row r="680" spans="1:15" x14ac:dyDescent="0.3">
      <c r="A680" s="3">
        <v>45392</v>
      </c>
      <c r="B680" t="s">
        <v>70</v>
      </c>
      <c r="C680" t="s">
        <v>99</v>
      </c>
      <c r="D680" s="4" cm="1">
        <f t="array" aca="1" ref="D680" ca="1">IFERROR( _xlfn.XLOOKUP(B680, B$2:INDEX(B:B,ROW()-1), I$2:INDEX(I:I,ROW()-1), 0, 0, -1),0)</f>
        <v>7</v>
      </c>
      <c r="E680">
        <v>6</v>
      </c>
      <c r="F680">
        <f t="shared" ca="1" si="72"/>
        <v>6</v>
      </c>
      <c r="G680">
        <f t="shared" ca="1" si="73"/>
        <v>0</v>
      </c>
      <c r="H680">
        <f t="shared" ca="1" si="74"/>
        <v>1</v>
      </c>
      <c r="I680">
        <f t="shared" ca="1" si="75"/>
        <v>6</v>
      </c>
      <c r="J680">
        <v>4</v>
      </c>
      <c r="K680">
        <v>3</v>
      </c>
      <c r="L680">
        <v>7</v>
      </c>
      <c r="M680" s="3">
        <f t="shared" ca="1" si="77"/>
        <v>45312</v>
      </c>
      <c r="N680" s="3">
        <f t="shared" ca="1" si="77"/>
        <v>45344</v>
      </c>
      <c r="O680" s="3">
        <v>45318</v>
      </c>
    </row>
    <row r="681" spans="1:15" x14ac:dyDescent="0.3">
      <c r="A681" s="3">
        <v>45392</v>
      </c>
      <c r="B681" t="s">
        <v>34</v>
      </c>
      <c r="C681" t="s">
        <v>30</v>
      </c>
      <c r="D681" s="4" cm="1">
        <f t="array" aca="1" ref="D681" ca="1">IFERROR( _xlfn.XLOOKUP(B681, B$2:INDEX(B:B,ROW()-1), I$2:INDEX(I:I,ROW()-1), 0, 0, -1),0)</f>
        <v>1</v>
      </c>
      <c r="E681">
        <v>6</v>
      </c>
      <c r="F681">
        <f t="shared" ca="1" si="72"/>
        <v>1</v>
      </c>
      <c r="G681">
        <f t="shared" ca="1" si="73"/>
        <v>2</v>
      </c>
      <c r="H681">
        <f t="shared" ca="1" si="74"/>
        <v>2</v>
      </c>
      <c r="I681">
        <f t="shared" ca="1" si="75"/>
        <v>2</v>
      </c>
      <c r="J681">
        <v>3.5</v>
      </c>
      <c r="K681">
        <v>3</v>
      </c>
      <c r="L681">
        <v>10</v>
      </c>
      <c r="M681" s="3">
        <f t="shared" ca="1" si="77"/>
        <v>45392</v>
      </c>
      <c r="N681" s="3">
        <f t="shared" ca="1" si="77"/>
        <v>45421</v>
      </c>
      <c r="O681" s="3">
        <v>45423</v>
      </c>
    </row>
    <row r="682" spans="1:15" x14ac:dyDescent="0.3">
      <c r="A682" s="3">
        <v>45392</v>
      </c>
      <c r="B682" t="s">
        <v>84</v>
      </c>
      <c r="C682" t="s">
        <v>101</v>
      </c>
      <c r="D682" s="4" cm="1">
        <f t="array" aca="1" ref="D682" ca="1">IFERROR( _xlfn.XLOOKUP(B682, B$2:INDEX(B:B,ROW()-1), I$2:INDEX(I:I,ROW()-1), 0, 0, -1),0)</f>
        <v>1</v>
      </c>
      <c r="E682">
        <v>8</v>
      </c>
      <c r="F682">
        <f t="shared" ca="1" si="72"/>
        <v>3</v>
      </c>
      <c r="G682">
        <f t="shared" ca="1" si="73"/>
        <v>1</v>
      </c>
      <c r="H682">
        <f t="shared" ca="1" si="74"/>
        <v>1</v>
      </c>
      <c r="I682">
        <f t="shared" ca="1" si="75"/>
        <v>4</v>
      </c>
      <c r="J682">
        <v>3.5</v>
      </c>
      <c r="K682">
        <v>3</v>
      </c>
      <c r="L682">
        <v>8</v>
      </c>
      <c r="M682" s="3">
        <f t="shared" ref="M682:N701" ca="1" si="78">DATE(2024,1,1) + RANDBETWEEN(0, DATE(2024,5,25) - DATE(2024,1,1))</f>
        <v>45413</v>
      </c>
      <c r="N682" s="3">
        <f t="shared" ca="1" si="78"/>
        <v>45409</v>
      </c>
      <c r="O682" s="3">
        <v>45385</v>
      </c>
    </row>
    <row r="683" spans="1:15" x14ac:dyDescent="0.3">
      <c r="A683" s="3">
        <v>45393</v>
      </c>
      <c r="B683" t="s">
        <v>21</v>
      </c>
      <c r="C683" t="s">
        <v>27</v>
      </c>
      <c r="D683" s="4" cm="1">
        <f t="array" aca="1" ref="D683" ca="1">IFERROR( _xlfn.XLOOKUP(B683, B$2:INDEX(B:B,ROW()-1), I$2:INDEX(I:I,ROW()-1), 0, 0, -1),0)</f>
        <v>3</v>
      </c>
      <c r="E683">
        <v>8</v>
      </c>
      <c r="F683">
        <f t="shared" ca="1" si="72"/>
        <v>7</v>
      </c>
      <c r="G683">
        <f t="shared" ca="1" si="73"/>
        <v>2</v>
      </c>
      <c r="H683">
        <f t="shared" ca="1" si="74"/>
        <v>0</v>
      </c>
      <c r="I683">
        <f t="shared" ca="1" si="75"/>
        <v>2</v>
      </c>
      <c r="J683">
        <v>4</v>
      </c>
      <c r="K683">
        <v>3</v>
      </c>
      <c r="L683">
        <v>14</v>
      </c>
      <c r="M683" s="3">
        <f t="shared" ca="1" si="78"/>
        <v>45310</v>
      </c>
      <c r="N683" s="3">
        <f t="shared" ca="1" si="78"/>
        <v>45304</v>
      </c>
      <c r="O683" s="3">
        <v>45300</v>
      </c>
    </row>
    <row r="684" spans="1:15" x14ac:dyDescent="0.3">
      <c r="A684" s="3">
        <v>45393</v>
      </c>
      <c r="B684" t="s">
        <v>38</v>
      </c>
      <c r="C684" t="s">
        <v>52</v>
      </c>
      <c r="D684" s="4" cm="1">
        <f t="array" aca="1" ref="D684" ca="1">IFERROR( _xlfn.XLOOKUP(B684, B$2:INDEX(B:B,ROW()-1), I$2:INDEX(I:I,ROW()-1), 0, 0, -1),0)</f>
        <v>10</v>
      </c>
      <c r="E684">
        <v>12</v>
      </c>
      <c r="F684">
        <f t="shared" ca="1" si="72"/>
        <v>3</v>
      </c>
      <c r="G684">
        <f t="shared" ca="1" si="73"/>
        <v>7</v>
      </c>
      <c r="H684">
        <f t="shared" ca="1" si="74"/>
        <v>0</v>
      </c>
      <c r="I684">
        <f t="shared" ca="1" si="75"/>
        <v>12</v>
      </c>
      <c r="J684">
        <v>3.5</v>
      </c>
      <c r="K684">
        <v>3</v>
      </c>
      <c r="L684">
        <v>14</v>
      </c>
      <c r="M684" s="3">
        <f t="shared" ca="1" si="78"/>
        <v>45388</v>
      </c>
      <c r="N684" s="3">
        <f t="shared" ca="1" si="78"/>
        <v>45313</v>
      </c>
      <c r="O684" s="3">
        <v>45354</v>
      </c>
    </row>
    <row r="685" spans="1:15" x14ac:dyDescent="0.3">
      <c r="A685" s="3">
        <v>45393</v>
      </c>
      <c r="B685" t="s">
        <v>10</v>
      </c>
      <c r="C685" t="s">
        <v>18</v>
      </c>
      <c r="D685" s="4" cm="1">
        <f t="array" aca="1" ref="D685" ca="1">IFERROR( _xlfn.XLOOKUP(B685, B$2:INDEX(B:B,ROW()-1), I$2:INDEX(I:I,ROW()-1), 0, 0, -1),0)</f>
        <v>3</v>
      </c>
      <c r="E685">
        <v>10</v>
      </c>
      <c r="F685">
        <f t="shared" ca="1" si="72"/>
        <v>5</v>
      </c>
      <c r="G685">
        <f t="shared" ca="1" si="73"/>
        <v>2</v>
      </c>
      <c r="H685">
        <f t="shared" ca="1" si="74"/>
        <v>2</v>
      </c>
      <c r="I685">
        <f t="shared" ca="1" si="75"/>
        <v>4</v>
      </c>
      <c r="J685">
        <v>5.5</v>
      </c>
      <c r="K685">
        <v>4.5</v>
      </c>
      <c r="L685">
        <v>7</v>
      </c>
      <c r="M685" s="3">
        <f t="shared" ca="1" si="78"/>
        <v>45352</v>
      </c>
      <c r="N685" s="3">
        <f t="shared" ca="1" si="78"/>
        <v>45358</v>
      </c>
      <c r="O685" s="3">
        <v>45371</v>
      </c>
    </row>
    <row r="686" spans="1:15" x14ac:dyDescent="0.3">
      <c r="A686" s="3">
        <v>45393</v>
      </c>
      <c r="B686" t="s">
        <v>21</v>
      </c>
      <c r="C686" t="s">
        <v>27</v>
      </c>
      <c r="D686" s="4" cm="1">
        <f t="array" aca="1" ref="D686" ca="1">IFERROR( _xlfn.XLOOKUP(B686, B$2:INDEX(B:B,ROW()-1), I$2:INDEX(I:I,ROW()-1), 0, 0, -1),0)</f>
        <v>2</v>
      </c>
      <c r="E686">
        <v>8</v>
      </c>
      <c r="F686">
        <f t="shared" ca="1" si="72"/>
        <v>3</v>
      </c>
      <c r="G686">
        <f t="shared" ca="1" si="73"/>
        <v>0</v>
      </c>
      <c r="H686">
        <f t="shared" ca="1" si="74"/>
        <v>2</v>
      </c>
      <c r="I686">
        <f t="shared" ca="1" si="75"/>
        <v>5</v>
      </c>
      <c r="J686">
        <v>4</v>
      </c>
      <c r="K686">
        <v>3</v>
      </c>
      <c r="L686">
        <v>14</v>
      </c>
      <c r="M686" s="3">
        <f t="shared" ca="1" si="78"/>
        <v>45407</v>
      </c>
      <c r="N686" s="3">
        <f t="shared" ca="1" si="78"/>
        <v>45428</v>
      </c>
      <c r="O686" s="3">
        <v>45308</v>
      </c>
    </row>
    <row r="687" spans="1:15" x14ac:dyDescent="0.3">
      <c r="A687" s="3">
        <v>45394</v>
      </c>
      <c r="B687" t="s">
        <v>24</v>
      </c>
      <c r="C687" t="s">
        <v>29</v>
      </c>
      <c r="D687" s="4" cm="1">
        <f t="array" aca="1" ref="D687" ca="1">IFERROR( _xlfn.XLOOKUP(B687, B$2:INDEX(B:B,ROW()-1), I$2:INDEX(I:I,ROW()-1), 0, 0, -1),0)</f>
        <v>5</v>
      </c>
      <c r="E687">
        <v>8</v>
      </c>
      <c r="F687">
        <f t="shared" ca="1" si="72"/>
        <v>7</v>
      </c>
      <c r="G687">
        <f t="shared" ca="1" si="73"/>
        <v>0</v>
      </c>
      <c r="H687">
        <f t="shared" ca="1" si="74"/>
        <v>4</v>
      </c>
      <c r="I687">
        <f t="shared" ca="1" si="75"/>
        <v>2</v>
      </c>
      <c r="J687">
        <v>7.5</v>
      </c>
      <c r="K687">
        <v>5.5</v>
      </c>
      <c r="L687">
        <v>7</v>
      </c>
      <c r="M687" s="3">
        <f t="shared" ca="1" si="78"/>
        <v>45433</v>
      </c>
      <c r="N687" s="3">
        <f t="shared" ca="1" si="78"/>
        <v>45318</v>
      </c>
      <c r="O687" s="3">
        <v>45375</v>
      </c>
    </row>
    <row r="688" spans="1:15" x14ac:dyDescent="0.3">
      <c r="A688" s="3">
        <v>45394</v>
      </c>
      <c r="B688" t="s">
        <v>64</v>
      </c>
      <c r="C688" t="s">
        <v>42</v>
      </c>
      <c r="D688" s="4" cm="1">
        <f t="array" aca="1" ref="D688" ca="1">IFERROR( _xlfn.XLOOKUP(B688, B$2:INDEX(B:B,ROW()-1), I$2:INDEX(I:I,ROW()-1), 0, 0, -1),0)</f>
        <v>2</v>
      </c>
      <c r="E688">
        <v>8</v>
      </c>
      <c r="F688">
        <f t="shared" ca="1" si="72"/>
        <v>0</v>
      </c>
      <c r="G688">
        <f t="shared" ca="1" si="73"/>
        <v>1</v>
      </c>
      <c r="H688">
        <f t="shared" ca="1" si="74"/>
        <v>5</v>
      </c>
      <c r="I688">
        <f t="shared" ca="1" si="75"/>
        <v>4</v>
      </c>
      <c r="J688">
        <v>3.5</v>
      </c>
      <c r="K688">
        <v>3</v>
      </c>
      <c r="L688">
        <v>8</v>
      </c>
      <c r="M688" s="3">
        <f t="shared" ca="1" si="78"/>
        <v>45410</v>
      </c>
      <c r="N688" s="3">
        <f t="shared" ca="1" si="78"/>
        <v>45363</v>
      </c>
      <c r="O688" s="3">
        <v>45418</v>
      </c>
    </row>
    <row r="689" spans="1:15" x14ac:dyDescent="0.3">
      <c r="A689" s="3">
        <v>45394</v>
      </c>
      <c r="B689" t="s">
        <v>24</v>
      </c>
      <c r="C689" t="s">
        <v>29</v>
      </c>
      <c r="D689" s="4" cm="1">
        <f t="array" aca="1" ref="D689" ca="1">IFERROR( _xlfn.XLOOKUP(B689, B$2:INDEX(B:B,ROW()-1), I$2:INDEX(I:I,ROW()-1), 0, 0, -1),0)</f>
        <v>2</v>
      </c>
      <c r="E689">
        <v>8</v>
      </c>
      <c r="F689">
        <f t="shared" ca="1" si="72"/>
        <v>3</v>
      </c>
      <c r="G689">
        <f t="shared" ca="1" si="73"/>
        <v>1</v>
      </c>
      <c r="H689">
        <f t="shared" ca="1" si="74"/>
        <v>2</v>
      </c>
      <c r="I689">
        <f t="shared" ca="1" si="75"/>
        <v>4</v>
      </c>
      <c r="J689">
        <v>7.5</v>
      </c>
      <c r="K689">
        <v>5.5</v>
      </c>
      <c r="L689">
        <v>7</v>
      </c>
      <c r="M689" s="3">
        <f t="shared" ca="1" si="78"/>
        <v>45420</v>
      </c>
      <c r="N689" s="3">
        <f t="shared" ca="1" si="78"/>
        <v>45324</v>
      </c>
      <c r="O689" s="3">
        <v>45330</v>
      </c>
    </row>
    <row r="690" spans="1:15" x14ac:dyDescent="0.3">
      <c r="A690" s="3">
        <v>45394</v>
      </c>
      <c r="B690" t="s">
        <v>22</v>
      </c>
      <c r="C690" t="s">
        <v>26</v>
      </c>
      <c r="D690" s="4" cm="1">
        <f t="array" aca="1" ref="D690" ca="1">IFERROR( _xlfn.XLOOKUP(B690, B$2:INDEX(B:B,ROW()-1), I$2:INDEX(I:I,ROW()-1), 0, 0, -1),0)</f>
        <v>3</v>
      </c>
      <c r="E690">
        <v>12</v>
      </c>
      <c r="F690">
        <f t="shared" ca="1" si="72"/>
        <v>2</v>
      </c>
      <c r="G690">
        <f t="shared" ca="1" si="73"/>
        <v>4</v>
      </c>
      <c r="H690">
        <f t="shared" ca="1" si="74"/>
        <v>5</v>
      </c>
      <c r="I690">
        <f t="shared" ca="1" si="75"/>
        <v>4</v>
      </c>
      <c r="J690">
        <v>3.5</v>
      </c>
      <c r="K690">
        <v>3</v>
      </c>
      <c r="L690">
        <v>14</v>
      </c>
      <c r="M690" s="3">
        <f t="shared" ca="1" si="78"/>
        <v>45375</v>
      </c>
      <c r="N690" s="3">
        <f t="shared" ca="1" si="78"/>
        <v>45397</v>
      </c>
      <c r="O690" s="3">
        <v>45361</v>
      </c>
    </row>
    <row r="691" spans="1:15" x14ac:dyDescent="0.3">
      <c r="A691" s="3">
        <v>45394</v>
      </c>
      <c r="B691" t="s">
        <v>78</v>
      </c>
      <c r="C691" t="s">
        <v>74</v>
      </c>
      <c r="D691" s="4" cm="1">
        <f t="array" aca="1" ref="D691" ca="1">IFERROR( _xlfn.XLOOKUP(B691, B$2:INDEX(B:B,ROW()-1), I$2:INDEX(I:I,ROW()-1), 0, 0, -1),0)</f>
        <v>6</v>
      </c>
      <c r="E691">
        <v>6</v>
      </c>
      <c r="F691">
        <f t="shared" ca="1" si="72"/>
        <v>1</v>
      </c>
      <c r="G691">
        <f t="shared" ca="1" si="73"/>
        <v>5</v>
      </c>
      <c r="H691">
        <f t="shared" ca="1" si="74"/>
        <v>4</v>
      </c>
      <c r="I691">
        <f t="shared" ca="1" si="75"/>
        <v>2</v>
      </c>
      <c r="J691">
        <v>4</v>
      </c>
      <c r="K691">
        <v>3</v>
      </c>
      <c r="L691">
        <v>7</v>
      </c>
      <c r="M691" s="3">
        <f t="shared" ca="1" si="78"/>
        <v>45399</v>
      </c>
      <c r="N691" s="3">
        <f t="shared" ca="1" si="78"/>
        <v>45338</v>
      </c>
      <c r="O691" s="3">
        <v>45425</v>
      </c>
    </row>
    <row r="692" spans="1:15" x14ac:dyDescent="0.3">
      <c r="A692" s="3">
        <v>45394</v>
      </c>
      <c r="B692" t="s">
        <v>41</v>
      </c>
      <c r="C692" t="s">
        <v>86</v>
      </c>
      <c r="D692" s="4" cm="1">
        <f t="array" aca="1" ref="D692" ca="1">IFERROR( _xlfn.XLOOKUP(B692, B$2:INDEX(B:B,ROW()-1), I$2:INDEX(I:I,ROW()-1), 0, 0, -1),0)</f>
        <v>10</v>
      </c>
      <c r="E692">
        <v>15</v>
      </c>
      <c r="F692">
        <f t="shared" ca="1" si="72"/>
        <v>15</v>
      </c>
      <c r="G692">
        <f t="shared" ca="1" si="73"/>
        <v>3</v>
      </c>
      <c r="H692">
        <f t="shared" ca="1" si="74"/>
        <v>4</v>
      </c>
      <c r="I692">
        <f t="shared" ca="1" si="75"/>
        <v>3</v>
      </c>
      <c r="J692">
        <v>3</v>
      </c>
      <c r="K692">
        <v>2.5</v>
      </c>
      <c r="L692">
        <v>14</v>
      </c>
      <c r="M692" s="3">
        <f t="shared" ca="1" si="78"/>
        <v>45409</v>
      </c>
      <c r="N692" s="3">
        <f t="shared" ca="1" si="78"/>
        <v>45333</v>
      </c>
      <c r="O692" s="3">
        <v>45307</v>
      </c>
    </row>
    <row r="693" spans="1:15" x14ac:dyDescent="0.3">
      <c r="A693" s="3">
        <v>45394</v>
      </c>
      <c r="B693" t="s">
        <v>55</v>
      </c>
      <c r="C693" t="s">
        <v>53</v>
      </c>
      <c r="D693" s="4" cm="1">
        <f t="array" aca="1" ref="D693" ca="1">IFERROR( _xlfn.XLOOKUP(B693, B$2:INDEX(B:B,ROW()-1), I$2:INDEX(I:I,ROW()-1), 0, 0, -1),0)</f>
        <v>3</v>
      </c>
      <c r="E693">
        <v>4</v>
      </c>
      <c r="F693">
        <f t="shared" ca="1" si="72"/>
        <v>1</v>
      </c>
      <c r="G693">
        <f t="shared" ca="1" si="73"/>
        <v>3</v>
      </c>
      <c r="H693">
        <f t="shared" ca="1" si="74"/>
        <v>0</v>
      </c>
      <c r="I693">
        <f t="shared" ca="1" si="75"/>
        <v>3</v>
      </c>
      <c r="J693">
        <v>8.5</v>
      </c>
      <c r="K693">
        <v>6</v>
      </c>
      <c r="L693">
        <v>7</v>
      </c>
      <c r="M693" s="3">
        <f t="shared" ca="1" si="78"/>
        <v>45368</v>
      </c>
      <c r="N693" s="3">
        <f t="shared" ca="1" si="78"/>
        <v>45436</v>
      </c>
      <c r="O693" s="3">
        <v>45368</v>
      </c>
    </row>
    <row r="694" spans="1:15" x14ac:dyDescent="0.3">
      <c r="A694" s="3">
        <v>45394</v>
      </c>
      <c r="B694" t="s">
        <v>79</v>
      </c>
      <c r="C694" t="s">
        <v>104</v>
      </c>
      <c r="D694" s="4" cm="1">
        <f t="array" aca="1" ref="D694" ca="1">IFERROR( _xlfn.XLOOKUP(B694, B$2:INDEX(B:B,ROW()-1), I$2:INDEX(I:I,ROW()-1), 0, 0, -1),0)</f>
        <v>2</v>
      </c>
      <c r="E694">
        <v>8</v>
      </c>
      <c r="F694">
        <f t="shared" ca="1" si="72"/>
        <v>2</v>
      </c>
      <c r="G694">
        <f t="shared" ca="1" si="73"/>
        <v>5</v>
      </c>
      <c r="H694">
        <f t="shared" ca="1" si="74"/>
        <v>0</v>
      </c>
      <c r="I694">
        <f t="shared" ca="1" si="75"/>
        <v>3</v>
      </c>
      <c r="J694">
        <v>2.5</v>
      </c>
      <c r="K694">
        <v>2</v>
      </c>
      <c r="L694">
        <v>5</v>
      </c>
      <c r="M694" s="3">
        <f t="shared" ca="1" si="78"/>
        <v>45337</v>
      </c>
      <c r="N694" s="3">
        <f t="shared" ca="1" si="78"/>
        <v>45437</v>
      </c>
      <c r="O694" s="3">
        <v>45405</v>
      </c>
    </row>
    <row r="695" spans="1:15" x14ac:dyDescent="0.3">
      <c r="A695" s="3">
        <v>45394</v>
      </c>
      <c r="B695" t="s">
        <v>38</v>
      </c>
      <c r="C695" t="s">
        <v>52</v>
      </c>
      <c r="D695" s="4" cm="1">
        <f t="array" aca="1" ref="D695" ca="1">IFERROR( _xlfn.XLOOKUP(B695, B$2:INDEX(B:B,ROW()-1), I$2:INDEX(I:I,ROW()-1), 0, 0, -1),0)</f>
        <v>12</v>
      </c>
      <c r="E695">
        <v>12</v>
      </c>
      <c r="F695">
        <f t="shared" ca="1" si="72"/>
        <v>11</v>
      </c>
      <c r="G695">
        <f t="shared" ca="1" si="73"/>
        <v>1</v>
      </c>
      <c r="H695">
        <f t="shared" ca="1" si="74"/>
        <v>6</v>
      </c>
      <c r="I695">
        <f t="shared" ca="1" si="75"/>
        <v>6</v>
      </c>
      <c r="J695">
        <v>3.5</v>
      </c>
      <c r="K695">
        <v>3</v>
      </c>
      <c r="L695">
        <v>14</v>
      </c>
      <c r="M695" s="3">
        <f t="shared" ca="1" si="78"/>
        <v>45354</v>
      </c>
      <c r="N695" s="3">
        <f t="shared" ca="1" si="78"/>
        <v>45322</v>
      </c>
      <c r="O695" s="3">
        <v>45332</v>
      </c>
    </row>
    <row r="696" spans="1:15" x14ac:dyDescent="0.3">
      <c r="A696" s="3">
        <v>45395</v>
      </c>
      <c r="B696" t="s">
        <v>89</v>
      </c>
      <c r="C696" t="s">
        <v>103</v>
      </c>
      <c r="D696" s="4" cm="1">
        <f t="array" aca="1" ref="D696" ca="1">IFERROR( _xlfn.XLOOKUP(B696, B$2:INDEX(B:B,ROW()-1), I$2:INDEX(I:I,ROW()-1), 0, 0, -1),0)</f>
        <v>1</v>
      </c>
      <c r="E696">
        <v>8</v>
      </c>
      <c r="F696">
        <f t="shared" ca="1" si="72"/>
        <v>2</v>
      </c>
      <c r="G696">
        <f t="shared" ca="1" si="73"/>
        <v>4</v>
      </c>
      <c r="H696">
        <f t="shared" ca="1" si="74"/>
        <v>2</v>
      </c>
      <c r="I696">
        <f t="shared" ca="1" si="75"/>
        <v>1</v>
      </c>
      <c r="J696">
        <v>3.5</v>
      </c>
      <c r="K696">
        <v>3</v>
      </c>
      <c r="L696">
        <v>8</v>
      </c>
      <c r="M696" s="3">
        <f t="shared" ca="1" si="78"/>
        <v>45329</v>
      </c>
      <c r="N696" s="3">
        <f t="shared" ca="1" si="78"/>
        <v>45434</v>
      </c>
      <c r="O696" s="3">
        <v>45392</v>
      </c>
    </row>
    <row r="697" spans="1:15" x14ac:dyDescent="0.3">
      <c r="A697" s="3">
        <v>45395</v>
      </c>
      <c r="B697" t="s">
        <v>71</v>
      </c>
      <c r="C697" t="s">
        <v>47</v>
      </c>
      <c r="D697" s="4" cm="1">
        <f t="array" aca="1" ref="D697" ca="1">IFERROR( _xlfn.XLOOKUP(B697, B$2:INDEX(B:B,ROW()-1), I$2:INDEX(I:I,ROW()-1), 0, 0, -1),0)</f>
        <v>3</v>
      </c>
      <c r="E697">
        <v>6</v>
      </c>
      <c r="F697">
        <f t="shared" ca="1" si="72"/>
        <v>5</v>
      </c>
      <c r="G697">
        <f t="shared" ca="1" si="73"/>
        <v>0</v>
      </c>
      <c r="H697">
        <f t="shared" ca="1" si="74"/>
        <v>0</v>
      </c>
      <c r="I697">
        <f t="shared" ca="1" si="75"/>
        <v>4</v>
      </c>
      <c r="J697">
        <v>4</v>
      </c>
      <c r="K697">
        <v>3</v>
      </c>
      <c r="L697">
        <v>7</v>
      </c>
      <c r="M697" s="3">
        <f t="shared" ca="1" si="78"/>
        <v>45385</v>
      </c>
      <c r="N697" s="3">
        <f t="shared" ca="1" si="78"/>
        <v>45297</v>
      </c>
      <c r="O697" s="3">
        <v>45360</v>
      </c>
    </row>
    <row r="698" spans="1:15" x14ac:dyDescent="0.3">
      <c r="A698" s="3">
        <v>45395</v>
      </c>
      <c r="B698" t="s">
        <v>59</v>
      </c>
      <c r="C698" t="s">
        <v>93</v>
      </c>
      <c r="D698" s="4" cm="1">
        <f t="array" aca="1" ref="D698" ca="1">IFERROR( _xlfn.XLOOKUP(B698, B$2:INDEX(B:B,ROW()-1), I$2:INDEX(I:I,ROW()-1), 0, 0, -1),0)</f>
        <v>5</v>
      </c>
      <c r="E698">
        <v>10</v>
      </c>
      <c r="F698">
        <f t="shared" ca="1" si="72"/>
        <v>9</v>
      </c>
      <c r="G698">
        <f t="shared" ca="1" si="73"/>
        <v>3</v>
      </c>
      <c r="H698">
        <f t="shared" ca="1" si="74"/>
        <v>0</v>
      </c>
      <c r="I698">
        <f t="shared" ca="1" si="75"/>
        <v>3</v>
      </c>
      <c r="J698">
        <v>4</v>
      </c>
      <c r="K698">
        <v>3.5</v>
      </c>
      <c r="L698">
        <v>10</v>
      </c>
      <c r="M698" s="3">
        <f t="shared" ca="1" si="78"/>
        <v>45320</v>
      </c>
      <c r="N698" s="3">
        <f t="shared" ca="1" si="78"/>
        <v>45316</v>
      </c>
      <c r="O698" s="3">
        <v>45302</v>
      </c>
    </row>
    <row r="699" spans="1:15" x14ac:dyDescent="0.3">
      <c r="A699" s="3">
        <v>45395</v>
      </c>
      <c r="B699" t="s">
        <v>39</v>
      </c>
      <c r="C699" t="s">
        <v>32</v>
      </c>
      <c r="D699" s="4" cm="1">
        <f t="array" aca="1" ref="D699" ca="1">IFERROR( _xlfn.XLOOKUP(B699, B$2:INDEX(B:B,ROW()-1), I$2:INDEX(I:I,ROW()-1), 0, 0, -1),0)</f>
        <v>12</v>
      </c>
      <c r="E699">
        <v>12</v>
      </c>
      <c r="F699">
        <f t="shared" ca="1" si="72"/>
        <v>0</v>
      </c>
      <c r="G699">
        <f t="shared" ca="1" si="73"/>
        <v>7</v>
      </c>
      <c r="H699">
        <f t="shared" ca="1" si="74"/>
        <v>8</v>
      </c>
      <c r="I699">
        <f t="shared" ca="1" si="75"/>
        <v>9</v>
      </c>
      <c r="J699">
        <v>3.5</v>
      </c>
      <c r="K699">
        <v>3</v>
      </c>
      <c r="L699">
        <v>14</v>
      </c>
      <c r="M699" s="3">
        <f t="shared" ca="1" si="78"/>
        <v>45386</v>
      </c>
      <c r="N699" s="3">
        <f t="shared" ca="1" si="78"/>
        <v>45394</v>
      </c>
      <c r="O699" s="3">
        <v>45293</v>
      </c>
    </row>
    <row r="700" spans="1:15" x14ac:dyDescent="0.3">
      <c r="A700" s="3">
        <v>45395</v>
      </c>
      <c r="B700" t="s">
        <v>34</v>
      </c>
      <c r="C700" t="s">
        <v>30</v>
      </c>
      <c r="D700" s="4" cm="1">
        <f t="array" aca="1" ref="D700" ca="1">IFERROR( _xlfn.XLOOKUP(B700, B$2:INDEX(B:B,ROW()-1), I$2:INDEX(I:I,ROW()-1), 0, 0, -1),0)</f>
        <v>2</v>
      </c>
      <c r="E700">
        <v>6</v>
      </c>
      <c r="F700">
        <f t="shared" ca="1" si="72"/>
        <v>4</v>
      </c>
      <c r="G700">
        <f t="shared" ca="1" si="73"/>
        <v>0</v>
      </c>
      <c r="H700">
        <f t="shared" ca="1" si="74"/>
        <v>2</v>
      </c>
      <c r="I700">
        <f t="shared" ca="1" si="75"/>
        <v>2</v>
      </c>
      <c r="J700">
        <v>3.5</v>
      </c>
      <c r="K700">
        <v>3</v>
      </c>
      <c r="L700">
        <v>10</v>
      </c>
      <c r="M700" s="3">
        <f t="shared" ca="1" si="78"/>
        <v>45414</v>
      </c>
      <c r="N700" s="3">
        <f t="shared" ca="1" si="78"/>
        <v>45395</v>
      </c>
      <c r="O700" s="3">
        <v>45352</v>
      </c>
    </row>
    <row r="701" spans="1:15" x14ac:dyDescent="0.3">
      <c r="A701" s="3">
        <v>45395</v>
      </c>
      <c r="B701" t="s">
        <v>63</v>
      </c>
      <c r="C701" t="s">
        <v>97</v>
      </c>
      <c r="D701" s="4" cm="1">
        <f t="array" aca="1" ref="D701" ca="1">IFERROR( _xlfn.XLOOKUP(B701, B$2:INDEX(B:B,ROW()-1), I$2:INDEX(I:I,ROW()-1), 0, 0, -1),0)</f>
        <v>2</v>
      </c>
      <c r="E701">
        <v>10</v>
      </c>
      <c r="F701">
        <f t="shared" ca="1" si="72"/>
        <v>5</v>
      </c>
      <c r="G701">
        <f t="shared" ca="1" si="73"/>
        <v>0</v>
      </c>
      <c r="H701">
        <f t="shared" ca="1" si="74"/>
        <v>4</v>
      </c>
      <c r="I701">
        <f t="shared" ca="1" si="75"/>
        <v>3</v>
      </c>
      <c r="J701">
        <v>4</v>
      </c>
      <c r="K701">
        <v>3.5</v>
      </c>
      <c r="L701">
        <v>10</v>
      </c>
      <c r="M701" s="3">
        <f t="shared" ca="1" si="78"/>
        <v>45322</v>
      </c>
      <c r="N701" s="3">
        <f t="shared" ca="1" si="78"/>
        <v>45393</v>
      </c>
      <c r="O701" s="3">
        <v>45425</v>
      </c>
    </row>
    <row r="702" spans="1:15" x14ac:dyDescent="0.3">
      <c r="A702" s="3">
        <v>45395</v>
      </c>
      <c r="B702" t="s">
        <v>34</v>
      </c>
      <c r="C702" t="s">
        <v>30</v>
      </c>
      <c r="D702" s="4" cm="1">
        <f t="array" aca="1" ref="D702" ca="1">IFERROR( _xlfn.XLOOKUP(B702, B$2:INDEX(B:B,ROW()-1), I$2:INDEX(I:I,ROW()-1), 0, 0, -1),0)</f>
        <v>2</v>
      </c>
      <c r="E702">
        <v>6</v>
      </c>
      <c r="F702">
        <f t="shared" ca="1" si="72"/>
        <v>4</v>
      </c>
      <c r="G702">
        <f t="shared" ca="1" si="73"/>
        <v>0</v>
      </c>
      <c r="H702">
        <f t="shared" ca="1" si="74"/>
        <v>2</v>
      </c>
      <c r="I702">
        <f t="shared" ca="1" si="75"/>
        <v>2</v>
      </c>
      <c r="J702">
        <v>3.5</v>
      </c>
      <c r="K702">
        <v>3</v>
      </c>
      <c r="L702">
        <v>10</v>
      </c>
      <c r="M702" s="3">
        <f t="shared" ref="M702:N721" ca="1" si="79">DATE(2024,1,1) + RANDBETWEEN(0, DATE(2024,5,25) - DATE(2024,1,1))</f>
        <v>45404</v>
      </c>
      <c r="N702" s="3">
        <f t="shared" ca="1" si="79"/>
        <v>45361</v>
      </c>
      <c r="O702" s="3">
        <v>45361</v>
      </c>
    </row>
    <row r="703" spans="1:15" x14ac:dyDescent="0.3">
      <c r="A703" s="3">
        <v>45396</v>
      </c>
      <c r="B703" t="s">
        <v>59</v>
      </c>
      <c r="C703" t="s">
        <v>93</v>
      </c>
      <c r="D703" s="4" cm="1">
        <f t="array" aca="1" ref="D703" ca="1">IFERROR( _xlfn.XLOOKUP(B703, B$2:INDEX(B:B,ROW()-1), I$2:INDEX(I:I,ROW()-1), 0, 0, -1),0)</f>
        <v>3</v>
      </c>
      <c r="E703">
        <v>10</v>
      </c>
      <c r="F703">
        <f t="shared" ca="1" si="72"/>
        <v>6</v>
      </c>
      <c r="G703">
        <f t="shared" ca="1" si="73"/>
        <v>0</v>
      </c>
      <c r="H703">
        <f t="shared" ca="1" si="74"/>
        <v>0</v>
      </c>
      <c r="I703">
        <f t="shared" ca="1" si="75"/>
        <v>7</v>
      </c>
      <c r="J703">
        <v>4</v>
      </c>
      <c r="K703">
        <v>3.5</v>
      </c>
      <c r="L703">
        <v>10</v>
      </c>
      <c r="M703" s="3">
        <f t="shared" ca="1" si="79"/>
        <v>45297</v>
      </c>
      <c r="N703" s="3">
        <f t="shared" ca="1" si="79"/>
        <v>45342</v>
      </c>
      <c r="O703" s="3">
        <v>45394</v>
      </c>
    </row>
    <row r="704" spans="1:15" x14ac:dyDescent="0.3">
      <c r="A704" s="3">
        <v>45396</v>
      </c>
      <c r="B704" t="s">
        <v>71</v>
      </c>
      <c r="C704" t="s">
        <v>47</v>
      </c>
      <c r="D704" s="4" cm="1">
        <f t="array" aca="1" ref="D704" ca="1">IFERROR( _xlfn.XLOOKUP(B704, B$2:INDEX(B:B,ROW()-1), I$2:INDEX(I:I,ROW()-1), 0, 0, -1),0)</f>
        <v>4</v>
      </c>
      <c r="E704">
        <v>6</v>
      </c>
      <c r="F704">
        <f t="shared" ca="1" si="72"/>
        <v>3</v>
      </c>
      <c r="G704">
        <f t="shared" ca="1" si="73"/>
        <v>0</v>
      </c>
      <c r="H704">
        <f t="shared" ca="1" si="74"/>
        <v>2</v>
      </c>
      <c r="I704">
        <f t="shared" ca="1" si="75"/>
        <v>5</v>
      </c>
      <c r="J704">
        <v>4</v>
      </c>
      <c r="K704">
        <v>3</v>
      </c>
      <c r="L704">
        <v>7</v>
      </c>
      <c r="M704" s="3">
        <f t="shared" ca="1" si="79"/>
        <v>45424</v>
      </c>
      <c r="N704" s="3">
        <f t="shared" ca="1" si="79"/>
        <v>45299</v>
      </c>
      <c r="O704" s="3">
        <v>45300</v>
      </c>
    </row>
    <row r="705" spans="1:15" x14ac:dyDescent="0.3">
      <c r="A705" s="3">
        <v>45396</v>
      </c>
      <c r="B705" t="s">
        <v>21</v>
      </c>
      <c r="C705" t="s">
        <v>27</v>
      </c>
      <c r="D705" s="4" cm="1">
        <f t="array" aca="1" ref="D705" ca="1">IFERROR( _xlfn.XLOOKUP(B705, B$2:INDEX(B:B,ROW()-1), I$2:INDEX(I:I,ROW()-1), 0, 0, -1),0)</f>
        <v>5</v>
      </c>
      <c r="E705">
        <v>8</v>
      </c>
      <c r="F705">
        <f t="shared" ca="1" si="72"/>
        <v>8</v>
      </c>
      <c r="G705">
        <f t="shared" ca="1" si="73"/>
        <v>3</v>
      </c>
      <c r="H705">
        <f t="shared" ca="1" si="74"/>
        <v>0</v>
      </c>
      <c r="I705">
        <f t="shared" ca="1" si="75"/>
        <v>2</v>
      </c>
      <c r="J705">
        <v>4</v>
      </c>
      <c r="K705">
        <v>3</v>
      </c>
      <c r="L705">
        <v>14</v>
      </c>
      <c r="M705" s="3">
        <f t="shared" ca="1" si="79"/>
        <v>45380</v>
      </c>
      <c r="N705" s="3">
        <f t="shared" ca="1" si="79"/>
        <v>45418</v>
      </c>
      <c r="O705" s="3">
        <v>45330</v>
      </c>
    </row>
    <row r="706" spans="1:15" x14ac:dyDescent="0.3">
      <c r="A706" s="3">
        <v>45396</v>
      </c>
      <c r="B706" t="s">
        <v>21</v>
      </c>
      <c r="C706" t="s">
        <v>27</v>
      </c>
      <c r="D706" s="4" cm="1">
        <f t="array" aca="1" ref="D706" ca="1">IFERROR( _xlfn.XLOOKUP(B706, B$2:INDEX(B:B,ROW()-1), I$2:INDEX(I:I,ROW()-1), 0, 0, -1),0)</f>
        <v>2</v>
      </c>
      <c r="E706">
        <v>8</v>
      </c>
      <c r="F706">
        <f t="shared" ref="F706:F769" ca="1" si="80">RANDBETWEEN(0, ROUND((D706+E706)*0.6,0))</f>
        <v>3</v>
      </c>
      <c r="G706">
        <f t="shared" ref="G706:G769" ca="1" si="81">RANDBETWEEN(0,ROUND((D706+E706-F706)*0.6,0))</f>
        <v>0</v>
      </c>
      <c r="H706">
        <f t="shared" ref="H706:H769" ca="1" si="82">RANDBETWEEN(0,ROUND((D706+E706-F706-G706)*0.6,0))</f>
        <v>1</v>
      </c>
      <c r="I706">
        <f t="shared" ref="I706:I769" ca="1" si="83">D706+E706-F706-G706-H706</f>
        <v>6</v>
      </c>
      <c r="J706">
        <v>4</v>
      </c>
      <c r="K706">
        <v>3</v>
      </c>
      <c r="L706">
        <v>14</v>
      </c>
      <c r="M706" s="3">
        <f t="shared" ca="1" si="79"/>
        <v>45402</v>
      </c>
      <c r="N706" s="3">
        <f t="shared" ca="1" si="79"/>
        <v>45385</v>
      </c>
      <c r="O706" s="3">
        <v>45398</v>
      </c>
    </row>
    <row r="707" spans="1:15" x14ac:dyDescent="0.3">
      <c r="A707" s="3">
        <v>45396</v>
      </c>
      <c r="B707" t="s">
        <v>66</v>
      </c>
      <c r="C707" t="s">
        <v>45</v>
      </c>
      <c r="D707" s="4" cm="1">
        <f t="array" aca="1" ref="D707" ca="1">IFERROR( _xlfn.XLOOKUP(B707, B$2:INDEX(B:B,ROW()-1), I$2:INDEX(I:I,ROW()-1), 0, 0, -1),0)</f>
        <v>4</v>
      </c>
      <c r="E707">
        <v>8</v>
      </c>
      <c r="F707">
        <f t="shared" ca="1" si="80"/>
        <v>6</v>
      </c>
      <c r="G707">
        <f t="shared" ca="1" si="81"/>
        <v>1</v>
      </c>
      <c r="H707">
        <f t="shared" ca="1" si="82"/>
        <v>2</v>
      </c>
      <c r="I707">
        <f t="shared" ca="1" si="83"/>
        <v>3</v>
      </c>
      <c r="J707">
        <v>3.5</v>
      </c>
      <c r="K707">
        <v>3</v>
      </c>
      <c r="L707">
        <v>8</v>
      </c>
      <c r="M707" s="3">
        <f t="shared" ca="1" si="79"/>
        <v>45380</v>
      </c>
      <c r="N707" s="3">
        <f t="shared" ca="1" si="79"/>
        <v>45426</v>
      </c>
      <c r="O707" s="3">
        <v>45417</v>
      </c>
    </row>
    <row r="708" spans="1:15" x14ac:dyDescent="0.3">
      <c r="A708" s="3">
        <v>45397</v>
      </c>
      <c r="B708" t="s">
        <v>80</v>
      </c>
      <c r="C708" t="s">
        <v>49</v>
      </c>
      <c r="D708" s="4" cm="1">
        <f t="array" aca="1" ref="D708" ca="1">IFERROR( _xlfn.XLOOKUP(B708, B$2:INDEX(B:B,ROW()-1), I$2:INDEX(I:I,ROW()-1), 0, 0, -1),0)</f>
        <v>11</v>
      </c>
      <c r="E708">
        <v>8</v>
      </c>
      <c r="F708">
        <f t="shared" ca="1" si="80"/>
        <v>5</v>
      </c>
      <c r="G708">
        <f t="shared" ca="1" si="81"/>
        <v>4</v>
      </c>
      <c r="H708">
        <f t="shared" ca="1" si="82"/>
        <v>2</v>
      </c>
      <c r="I708">
        <f t="shared" ca="1" si="83"/>
        <v>8</v>
      </c>
      <c r="J708">
        <v>2.5</v>
      </c>
      <c r="K708">
        <v>2</v>
      </c>
      <c r="L708">
        <v>5</v>
      </c>
      <c r="M708" s="3">
        <f t="shared" ca="1" si="79"/>
        <v>45390</v>
      </c>
      <c r="N708" s="3">
        <f t="shared" ca="1" si="79"/>
        <v>45411</v>
      </c>
      <c r="O708" s="3">
        <v>45359</v>
      </c>
    </row>
    <row r="709" spans="1:15" x14ac:dyDescent="0.3">
      <c r="A709" s="3">
        <v>45397</v>
      </c>
      <c r="B709" t="s">
        <v>70</v>
      </c>
      <c r="C709" t="s">
        <v>99</v>
      </c>
      <c r="D709" s="4" cm="1">
        <f t="array" aca="1" ref="D709" ca="1">IFERROR( _xlfn.XLOOKUP(B709, B$2:INDEX(B:B,ROW()-1), I$2:INDEX(I:I,ROW()-1), 0, 0, -1),0)</f>
        <v>6</v>
      </c>
      <c r="E709">
        <v>6</v>
      </c>
      <c r="F709">
        <f t="shared" ca="1" si="80"/>
        <v>5</v>
      </c>
      <c r="G709">
        <f t="shared" ca="1" si="81"/>
        <v>3</v>
      </c>
      <c r="H709">
        <f t="shared" ca="1" si="82"/>
        <v>2</v>
      </c>
      <c r="I709">
        <f t="shared" ca="1" si="83"/>
        <v>2</v>
      </c>
      <c r="J709">
        <v>4</v>
      </c>
      <c r="K709">
        <v>3</v>
      </c>
      <c r="L709">
        <v>7</v>
      </c>
      <c r="M709" s="3">
        <f t="shared" ca="1" si="79"/>
        <v>45316</v>
      </c>
      <c r="N709" s="3">
        <f t="shared" ca="1" si="79"/>
        <v>45346</v>
      </c>
      <c r="O709" s="3">
        <v>45345</v>
      </c>
    </row>
    <row r="710" spans="1:15" x14ac:dyDescent="0.3">
      <c r="A710" s="3">
        <v>45397</v>
      </c>
      <c r="B710" t="s">
        <v>64</v>
      </c>
      <c r="C710" t="s">
        <v>42</v>
      </c>
      <c r="D710" s="4" cm="1">
        <f t="array" aca="1" ref="D710" ca="1">IFERROR( _xlfn.XLOOKUP(B710, B$2:INDEX(B:B,ROW()-1), I$2:INDEX(I:I,ROW()-1), 0, 0, -1),0)</f>
        <v>4</v>
      </c>
      <c r="E710">
        <v>8</v>
      </c>
      <c r="F710">
        <f t="shared" ca="1" si="80"/>
        <v>5</v>
      </c>
      <c r="G710">
        <f t="shared" ca="1" si="81"/>
        <v>4</v>
      </c>
      <c r="H710">
        <f t="shared" ca="1" si="82"/>
        <v>0</v>
      </c>
      <c r="I710">
        <f t="shared" ca="1" si="83"/>
        <v>3</v>
      </c>
      <c r="J710">
        <v>3.5</v>
      </c>
      <c r="K710">
        <v>3</v>
      </c>
      <c r="L710">
        <v>8</v>
      </c>
      <c r="M710" s="3">
        <f t="shared" ca="1" si="79"/>
        <v>45338</v>
      </c>
      <c r="N710" s="3">
        <f t="shared" ca="1" si="79"/>
        <v>45397</v>
      </c>
      <c r="O710" s="3">
        <v>45354</v>
      </c>
    </row>
    <row r="711" spans="1:15" x14ac:dyDescent="0.3">
      <c r="A711" s="3">
        <v>45397</v>
      </c>
      <c r="B711" t="s">
        <v>61</v>
      </c>
      <c r="C711" t="s">
        <v>95</v>
      </c>
      <c r="D711" s="4" cm="1">
        <f t="array" aca="1" ref="D711" ca="1">IFERROR( _xlfn.XLOOKUP(B711, B$2:INDEX(B:B,ROW()-1), I$2:INDEX(I:I,ROW()-1), 0, 0, -1),0)</f>
        <v>3</v>
      </c>
      <c r="E711">
        <v>10</v>
      </c>
      <c r="F711">
        <f t="shared" ca="1" si="80"/>
        <v>8</v>
      </c>
      <c r="G711">
        <f t="shared" ca="1" si="81"/>
        <v>1</v>
      </c>
      <c r="H711">
        <f t="shared" ca="1" si="82"/>
        <v>2</v>
      </c>
      <c r="I711">
        <f t="shared" ca="1" si="83"/>
        <v>2</v>
      </c>
      <c r="J711">
        <v>4</v>
      </c>
      <c r="K711">
        <v>3.5</v>
      </c>
      <c r="L711">
        <v>10</v>
      </c>
      <c r="M711" s="3">
        <f t="shared" ca="1" si="79"/>
        <v>45372</v>
      </c>
      <c r="N711" s="3">
        <f t="shared" ca="1" si="79"/>
        <v>45368</v>
      </c>
      <c r="O711" s="3">
        <v>45358</v>
      </c>
    </row>
    <row r="712" spans="1:15" x14ac:dyDescent="0.3">
      <c r="A712" s="3">
        <v>45397</v>
      </c>
      <c r="B712" t="s">
        <v>35</v>
      </c>
      <c r="C712" t="s">
        <v>31</v>
      </c>
      <c r="D712" s="4" cm="1">
        <f t="array" aca="1" ref="D712" ca="1">IFERROR( _xlfn.XLOOKUP(B712, B$2:INDEX(B:B,ROW()-1), I$2:INDEX(I:I,ROW()-1), 0, 0, -1),0)</f>
        <v>3</v>
      </c>
      <c r="E712">
        <v>8</v>
      </c>
      <c r="F712">
        <f t="shared" ca="1" si="80"/>
        <v>2</v>
      </c>
      <c r="G712">
        <f t="shared" ca="1" si="81"/>
        <v>2</v>
      </c>
      <c r="H712">
        <f t="shared" ca="1" si="82"/>
        <v>3</v>
      </c>
      <c r="I712">
        <f t="shared" ca="1" si="83"/>
        <v>4</v>
      </c>
      <c r="J712">
        <v>3.5</v>
      </c>
      <c r="K712">
        <v>3</v>
      </c>
      <c r="L712">
        <v>14</v>
      </c>
      <c r="M712" s="3">
        <f t="shared" ca="1" si="79"/>
        <v>45309</v>
      </c>
      <c r="N712" s="3">
        <f t="shared" ca="1" si="79"/>
        <v>45295</v>
      </c>
      <c r="O712" s="3">
        <v>45355</v>
      </c>
    </row>
    <row r="713" spans="1:15" x14ac:dyDescent="0.3">
      <c r="A713" s="3">
        <v>45397</v>
      </c>
      <c r="B713" t="s">
        <v>38</v>
      </c>
      <c r="C713" t="s">
        <v>52</v>
      </c>
      <c r="D713" s="4" cm="1">
        <f t="array" aca="1" ref="D713" ca="1">IFERROR( _xlfn.XLOOKUP(B713, B$2:INDEX(B:B,ROW()-1), I$2:INDEX(I:I,ROW()-1), 0, 0, -1),0)</f>
        <v>6</v>
      </c>
      <c r="E713">
        <v>12</v>
      </c>
      <c r="F713">
        <f t="shared" ca="1" si="80"/>
        <v>7</v>
      </c>
      <c r="G713">
        <f t="shared" ca="1" si="81"/>
        <v>1</v>
      </c>
      <c r="H713">
        <f t="shared" ca="1" si="82"/>
        <v>2</v>
      </c>
      <c r="I713">
        <f t="shared" ca="1" si="83"/>
        <v>8</v>
      </c>
      <c r="J713">
        <v>3.5</v>
      </c>
      <c r="K713">
        <v>3</v>
      </c>
      <c r="L713">
        <v>14</v>
      </c>
      <c r="M713" s="3">
        <f t="shared" ca="1" si="79"/>
        <v>45351</v>
      </c>
      <c r="N713" s="3">
        <f t="shared" ca="1" si="79"/>
        <v>45386</v>
      </c>
      <c r="O713" s="3">
        <v>45367</v>
      </c>
    </row>
    <row r="714" spans="1:15" x14ac:dyDescent="0.3">
      <c r="A714" s="3">
        <v>45397</v>
      </c>
      <c r="B714" t="s">
        <v>70</v>
      </c>
      <c r="C714" t="s">
        <v>99</v>
      </c>
      <c r="D714" s="4" cm="1">
        <f t="array" aca="1" ref="D714" ca="1">IFERROR( _xlfn.XLOOKUP(B714, B$2:INDEX(B:B,ROW()-1), I$2:INDEX(I:I,ROW()-1), 0, 0, -1),0)</f>
        <v>2</v>
      </c>
      <c r="E714">
        <v>6</v>
      </c>
      <c r="F714">
        <f t="shared" ca="1" si="80"/>
        <v>4</v>
      </c>
      <c r="G714">
        <f t="shared" ca="1" si="81"/>
        <v>0</v>
      </c>
      <c r="H714">
        <f t="shared" ca="1" si="82"/>
        <v>1</v>
      </c>
      <c r="I714">
        <f t="shared" ca="1" si="83"/>
        <v>3</v>
      </c>
      <c r="J714">
        <v>4</v>
      </c>
      <c r="K714">
        <v>3</v>
      </c>
      <c r="L714">
        <v>7</v>
      </c>
      <c r="M714" s="3">
        <f t="shared" ca="1" si="79"/>
        <v>45296</v>
      </c>
      <c r="N714" s="3">
        <f t="shared" ca="1" si="79"/>
        <v>45340</v>
      </c>
      <c r="O714" s="3">
        <v>45318</v>
      </c>
    </row>
    <row r="715" spans="1:15" x14ac:dyDescent="0.3">
      <c r="A715" s="3">
        <v>45397</v>
      </c>
      <c r="B715" t="s">
        <v>92</v>
      </c>
      <c r="C715" t="s">
        <v>91</v>
      </c>
      <c r="D715" s="4" cm="1">
        <f t="array" aca="1" ref="D715" ca="1">IFERROR( _xlfn.XLOOKUP(B715, B$2:INDEX(B:B,ROW()-1), I$2:INDEX(I:I,ROW()-1), 0, 0, -1),0)</f>
        <v>2</v>
      </c>
      <c r="E715">
        <v>6</v>
      </c>
      <c r="F715">
        <f t="shared" ca="1" si="80"/>
        <v>1</v>
      </c>
      <c r="G715">
        <f t="shared" ca="1" si="81"/>
        <v>2</v>
      </c>
      <c r="H715">
        <f t="shared" ca="1" si="82"/>
        <v>0</v>
      </c>
      <c r="I715">
        <f t="shared" ca="1" si="83"/>
        <v>5</v>
      </c>
      <c r="J715">
        <v>4.5</v>
      </c>
      <c r="K715">
        <v>4</v>
      </c>
      <c r="L715">
        <v>14</v>
      </c>
      <c r="M715" s="3">
        <f t="shared" ca="1" si="79"/>
        <v>45386</v>
      </c>
      <c r="N715" s="3">
        <f t="shared" ca="1" si="79"/>
        <v>45437</v>
      </c>
      <c r="O715" s="3">
        <v>45356</v>
      </c>
    </row>
    <row r="716" spans="1:15" x14ac:dyDescent="0.3">
      <c r="A716" s="3">
        <v>45397</v>
      </c>
      <c r="B716" t="s">
        <v>69</v>
      </c>
      <c r="C716" t="s">
        <v>98</v>
      </c>
      <c r="D716" s="4" cm="1">
        <f t="array" aca="1" ref="D716" ca="1">IFERROR( _xlfn.XLOOKUP(B716, B$2:INDEX(B:B,ROW()-1), I$2:INDEX(I:I,ROW()-1), 0, 0, -1),0)</f>
        <v>5</v>
      </c>
      <c r="E716">
        <v>6</v>
      </c>
      <c r="F716">
        <f t="shared" ca="1" si="80"/>
        <v>4</v>
      </c>
      <c r="G716">
        <f t="shared" ca="1" si="81"/>
        <v>4</v>
      </c>
      <c r="H716">
        <f t="shared" ca="1" si="82"/>
        <v>0</v>
      </c>
      <c r="I716">
        <f t="shared" ca="1" si="83"/>
        <v>3</v>
      </c>
      <c r="J716">
        <v>4</v>
      </c>
      <c r="K716">
        <v>3</v>
      </c>
      <c r="L716">
        <v>7</v>
      </c>
      <c r="M716" s="3">
        <f t="shared" ca="1" si="79"/>
        <v>45414</v>
      </c>
      <c r="N716" s="3">
        <f t="shared" ca="1" si="79"/>
        <v>45303</v>
      </c>
      <c r="O716" s="3">
        <v>45353</v>
      </c>
    </row>
    <row r="717" spans="1:15" x14ac:dyDescent="0.3">
      <c r="A717" s="3">
        <v>45397</v>
      </c>
      <c r="B717" t="s">
        <v>71</v>
      </c>
      <c r="C717" t="s">
        <v>47</v>
      </c>
      <c r="D717" s="4" cm="1">
        <f t="array" aca="1" ref="D717" ca="1">IFERROR( _xlfn.XLOOKUP(B717, B$2:INDEX(B:B,ROW()-1), I$2:INDEX(I:I,ROW()-1), 0, 0, -1),0)</f>
        <v>5</v>
      </c>
      <c r="E717">
        <v>6</v>
      </c>
      <c r="F717">
        <f t="shared" ca="1" si="80"/>
        <v>3</v>
      </c>
      <c r="G717">
        <f t="shared" ca="1" si="81"/>
        <v>2</v>
      </c>
      <c r="H717">
        <f t="shared" ca="1" si="82"/>
        <v>4</v>
      </c>
      <c r="I717">
        <f t="shared" ca="1" si="83"/>
        <v>2</v>
      </c>
      <c r="J717">
        <v>4</v>
      </c>
      <c r="K717">
        <v>3</v>
      </c>
      <c r="L717">
        <v>7</v>
      </c>
      <c r="M717" s="3">
        <f t="shared" ca="1" si="79"/>
        <v>45412</v>
      </c>
      <c r="N717" s="3">
        <f t="shared" ca="1" si="79"/>
        <v>45368</v>
      </c>
      <c r="O717" s="3">
        <v>45408</v>
      </c>
    </row>
    <row r="718" spans="1:15" x14ac:dyDescent="0.3">
      <c r="A718" s="3">
        <v>45398</v>
      </c>
      <c r="B718" t="s">
        <v>79</v>
      </c>
      <c r="C718" t="s">
        <v>104</v>
      </c>
      <c r="D718" s="4" cm="1">
        <f t="array" aca="1" ref="D718" ca="1">IFERROR( _xlfn.XLOOKUP(B718, B$2:INDEX(B:B,ROW()-1), I$2:INDEX(I:I,ROW()-1), 0, 0, -1),0)</f>
        <v>3</v>
      </c>
      <c r="E718">
        <v>8</v>
      </c>
      <c r="F718">
        <f t="shared" ca="1" si="80"/>
        <v>7</v>
      </c>
      <c r="G718">
        <f t="shared" ca="1" si="81"/>
        <v>1</v>
      </c>
      <c r="H718">
        <f t="shared" ca="1" si="82"/>
        <v>1</v>
      </c>
      <c r="I718">
        <f t="shared" ca="1" si="83"/>
        <v>2</v>
      </c>
      <c r="J718">
        <v>2.5</v>
      </c>
      <c r="K718">
        <v>2</v>
      </c>
      <c r="L718">
        <v>5</v>
      </c>
      <c r="M718" s="3">
        <f t="shared" ca="1" si="79"/>
        <v>45302</v>
      </c>
      <c r="N718" s="3">
        <f t="shared" ca="1" si="79"/>
        <v>45319</v>
      </c>
      <c r="O718" s="3">
        <v>45416</v>
      </c>
    </row>
    <row r="719" spans="1:15" x14ac:dyDescent="0.3">
      <c r="A719" s="3">
        <v>45398</v>
      </c>
      <c r="B719" t="s">
        <v>35</v>
      </c>
      <c r="C719" t="s">
        <v>31</v>
      </c>
      <c r="D719" s="4" cm="1">
        <f t="array" aca="1" ref="D719" ca="1">IFERROR( _xlfn.XLOOKUP(B719, B$2:INDEX(B:B,ROW()-1), I$2:INDEX(I:I,ROW()-1), 0, 0, -1),0)</f>
        <v>4</v>
      </c>
      <c r="E719">
        <v>8</v>
      </c>
      <c r="F719">
        <f t="shared" ca="1" si="80"/>
        <v>2</v>
      </c>
      <c r="G719">
        <f t="shared" ca="1" si="81"/>
        <v>4</v>
      </c>
      <c r="H719">
        <f t="shared" ca="1" si="82"/>
        <v>3</v>
      </c>
      <c r="I719">
        <f t="shared" ca="1" si="83"/>
        <v>3</v>
      </c>
      <c r="J719">
        <v>3.5</v>
      </c>
      <c r="K719">
        <v>3</v>
      </c>
      <c r="L719">
        <v>14</v>
      </c>
      <c r="M719" s="3">
        <f t="shared" ca="1" si="79"/>
        <v>45297</v>
      </c>
      <c r="N719" s="3">
        <f t="shared" ca="1" si="79"/>
        <v>45403</v>
      </c>
      <c r="O719" s="3">
        <v>45414</v>
      </c>
    </row>
    <row r="720" spans="1:15" x14ac:dyDescent="0.3">
      <c r="A720" s="3">
        <v>45398</v>
      </c>
      <c r="B720" t="s">
        <v>90</v>
      </c>
      <c r="C720" t="s">
        <v>87</v>
      </c>
      <c r="D720" s="4" cm="1">
        <f t="array" aca="1" ref="D720" ca="1">IFERROR( _xlfn.XLOOKUP(B720, B$2:INDEX(B:B,ROW()-1), I$2:INDEX(I:I,ROW()-1), 0, 0, -1),0)</f>
        <v>2</v>
      </c>
      <c r="E720">
        <v>12</v>
      </c>
      <c r="F720">
        <f t="shared" ca="1" si="80"/>
        <v>6</v>
      </c>
      <c r="G720">
        <f t="shared" ca="1" si="81"/>
        <v>5</v>
      </c>
      <c r="H720">
        <f t="shared" ca="1" si="82"/>
        <v>2</v>
      </c>
      <c r="I720">
        <f t="shared" ca="1" si="83"/>
        <v>1</v>
      </c>
      <c r="J720">
        <v>4.5</v>
      </c>
      <c r="K720">
        <v>4</v>
      </c>
      <c r="L720">
        <v>14</v>
      </c>
      <c r="M720" s="3">
        <f t="shared" ca="1" si="79"/>
        <v>45332</v>
      </c>
      <c r="N720" s="3">
        <f t="shared" ca="1" si="79"/>
        <v>45434</v>
      </c>
      <c r="O720" s="3">
        <v>45348</v>
      </c>
    </row>
    <row r="721" spans="1:15" x14ac:dyDescent="0.3">
      <c r="A721" s="3">
        <v>45398</v>
      </c>
      <c r="B721" t="s">
        <v>72</v>
      </c>
      <c r="C721" t="s">
        <v>48</v>
      </c>
      <c r="D721" s="4" cm="1">
        <f t="array" aca="1" ref="D721" ca="1">IFERROR( _xlfn.XLOOKUP(B721, B$2:INDEX(B:B,ROW()-1), I$2:INDEX(I:I,ROW()-1), 0, 0, -1),0)</f>
        <v>1</v>
      </c>
      <c r="E721">
        <v>6</v>
      </c>
      <c r="F721">
        <f t="shared" ca="1" si="80"/>
        <v>4</v>
      </c>
      <c r="G721">
        <f t="shared" ca="1" si="81"/>
        <v>2</v>
      </c>
      <c r="H721">
        <f t="shared" ca="1" si="82"/>
        <v>0</v>
      </c>
      <c r="I721">
        <f t="shared" ca="1" si="83"/>
        <v>1</v>
      </c>
      <c r="J721">
        <v>4</v>
      </c>
      <c r="K721">
        <v>3</v>
      </c>
      <c r="L721">
        <v>7</v>
      </c>
      <c r="M721" s="3">
        <f t="shared" ca="1" si="79"/>
        <v>45303</v>
      </c>
      <c r="N721" s="3">
        <f t="shared" ca="1" si="79"/>
        <v>45298</v>
      </c>
      <c r="O721" s="3">
        <v>45386</v>
      </c>
    </row>
    <row r="722" spans="1:15" x14ac:dyDescent="0.3">
      <c r="A722" s="3">
        <v>45398</v>
      </c>
      <c r="B722" t="s">
        <v>20</v>
      </c>
      <c r="C722" t="s">
        <v>25</v>
      </c>
      <c r="D722" s="4" cm="1">
        <f t="array" aca="1" ref="D722" ca="1">IFERROR( _xlfn.XLOOKUP(B722, B$2:INDEX(B:B,ROW()-1), I$2:INDEX(I:I,ROW()-1), 0, 0, -1),0)</f>
        <v>4</v>
      </c>
      <c r="E722">
        <v>10</v>
      </c>
      <c r="F722">
        <f t="shared" ca="1" si="80"/>
        <v>0</v>
      </c>
      <c r="G722">
        <f t="shared" ca="1" si="81"/>
        <v>7</v>
      </c>
      <c r="H722">
        <f t="shared" ca="1" si="82"/>
        <v>0</v>
      </c>
      <c r="I722">
        <f t="shared" ca="1" si="83"/>
        <v>7</v>
      </c>
      <c r="J722">
        <v>4.5</v>
      </c>
      <c r="K722">
        <v>4</v>
      </c>
      <c r="L722">
        <v>10</v>
      </c>
      <c r="M722" s="3">
        <f t="shared" ref="M722:N741" ca="1" si="84">DATE(2024,1,1) + RANDBETWEEN(0, DATE(2024,5,25) - DATE(2024,1,1))</f>
        <v>45417</v>
      </c>
      <c r="N722" s="3">
        <f t="shared" ca="1" si="84"/>
        <v>45398</v>
      </c>
      <c r="O722" s="3">
        <v>45295</v>
      </c>
    </row>
    <row r="723" spans="1:15" x14ac:dyDescent="0.3">
      <c r="A723" s="3">
        <v>45398</v>
      </c>
      <c r="B723" t="s">
        <v>67</v>
      </c>
      <c r="C723" t="s">
        <v>46</v>
      </c>
      <c r="D723" s="4" cm="1">
        <f t="array" aca="1" ref="D723" ca="1">IFERROR( _xlfn.XLOOKUP(B723, B$2:INDEX(B:B,ROW()-1), I$2:INDEX(I:I,ROW()-1), 0, 0, -1),0)</f>
        <v>4</v>
      </c>
      <c r="E723">
        <v>8</v>
      </c>
      <c r="F723">
        <f t="shared" ca="1" si="80"/>
        <v>0</v>
      </c>
      <c r="G723">
        <f t="shared" ca="1" si="81"/>
        <v>7</v>
      </c>
      <c r="H723">
        <f t="shared" ca="1" si="82"/>
        <v>0</v>
      </c>
      <c r="I723">
        <f t="shared" ca="1" si="83"/>
        <v>5</v>
      </c>
      <c r="J723">
        <v>3.5</v>
      </c>
      <c r="K723">
        <v>3</v>
      </c>
      <c r="L723">
        <v>8</v>
      </c>
      <c r="M723" s="3">
        <f t="shared" ca="1" si="84"/>
        <v>45316</v>
      </c>
      <c r="N723" s="3">
        <f t="shared" ca="1" si="84"/>
        <v>45399</v>
      </c>
      <c r="O723" s="3">
        <v>45297</v>
      </c>
    </row>
    <row r="724" spans="1:15" x14ac:dyDescent="0.3">
      <c r="A724" s="3">
        <v>45398</v>
      </c>
      <c r="B724" t="s">
        <v>70</v>
      </c>
      <c r="C724" t="s">
        <v>99</v>
      </c>
      <c r="D724" s="4" cm="1">
        <f t="array" aca="1" ref="D724" ca="1">IFERROR( _xlfn.XLOOKUP(B724, B$2:INDEX(B:B,ROW()-1), I$2:INDEX(I:I,ROW()-1), 0, 0, -1),0)</f>
        <v>3</v>
      </c>
      <c r="E724">
        <v>6</v>
      </c>
      <c r="F724">
        <f t="shared" ca="1" si="80"/>
        <v>4</v>
      </c>
      <c r="G724">
        <f t="shared" ca="1" si="81"/>
        <v>1</v>
      </c>
      <c r="H724">
        <f t="shared" ca="1" si="82"/>
        <v>2</v>
      </c>
      <c r="I724">
        <f t="shared" ca="1" si="83"/>
        <v>2</v>
      </c>
      <c r="J724">
        <v>4</v>
      </c>
      <c r="K724">
        <v>3</v>
      </c>
      <c r="L724">
        <v>7</v>
      </c>
      <c r="M724" s="3">
        <f t="shared" ca="1" si="84"/>
        <v>45305</v>
      </c>
      <c r="N724" s="3">
        <f t="shared" ca="1" si="84"/>
        <v>45295</v>
      </c>
      <c r="O724" s="3">
        <v>45364</v>
      </c>
    </row>
    <row r="725" spans="1:15" x14ac:dyDescent="0.3">
      <c r="A725" s="3">
        <v>45398</v>
      </c>
      <c r="B725" t="s">
        <v>59</v>
      </c>
      <c r="C725" t="s">
        <v>93</v>
      </c>
      <c r="D725" s="4" cm="1">
        <f t="array" aca="1" ref="D725" ca="1">IFERROR( _xlfn.XLOOKUP(B725, B$2:INDEX(B:B,ROW()-1), I$2:INDEX(I:I,ROW()-1), 0, 0, -1),0)</f>
        <v>7</v>
      </c>
      <c r="E725">
        <v>10</v>
      </c>
      <c r="F725">
        <f t="shared" ca="1" si="80"/>
        <v>8</v>
      </c>
      <c r="G725">
        <f t="shared" ca="1" si="81"/>
        <v>1</v>
      </c>
      <c r="H725">
        <f t="shared" ca="1" si="82"/>
        <v>0</v>
      </c>
      <c r="I725">
        <f t="shared" ca="1" si="83"/>
        <v>8</v>
      </c>
      <c r="J725">
        <v>4</v>
      </c>
      <c r="K725">
        <v>3.5</v>
      </c>
      <c r="L725">
        <v>10</v>
      </c>
      <c r="M725" s="3">
        <f t="shared" ca="1" si="84"/>
        <v>45379</v>
      </c>
      <c r="N725" s="3">
        <f t="shared" ca="1" si="84"/>
        <v>45346</v>
      </c>
      <c r="O725" s="3">
        <v>45430</v>
      </c>
    </row>
    <row r="726" spans="1:15" x14ac:dyDescent="0.3">
      <c r="A726" s="3">
        <v>45398</v>
      </c>
      <c r="B726" t="s">
        <v>19</v>
      </c>
      <c r="C726" t="s">
        <v>17</v>
      </c>
      <c r="D726" s="4" cm="1">
        <f t="array" aca="1" ref="D726" ca="1">IFERROR( _xlfn.XLOOKUP(B726, B$2:INDEX(B:B,ROW()-1), I$2:INDEX(I:I,ROW()-1), 0, 0, -1),0)</f>
        <v>6</v>
      </c>
      <c r="E726">
        <v>10</v>
      </c>
      <c r="F726">
        <f t="shared" ca="1" si="80"/>
        <v>9</v>
      </c>
      <c r="G726">
        <f t="shared" ca="1" si="81"/>
        <v>0</v>
      </c>
      <c r="H726">
        <f t="shared" ca="1" si="82"/>
        <v>4</v>
      </c>
      <c r="I726">
        <f t="shared" ca="1" si="83"/>
        <v>3</v>
      </c>
      <c r="J726">
        <v>4.5</v>
      </c>
      <c r="K726">
        <v>4</v>
      </c>
      <c r="L726">
        <v>10</v>
      </c>
      <c r="M726" s="3">
        <f t="shared" ca="1" si="84"/>
        <v>45424</v>
      </c>
      <c r="N726" s="3">
        <f t="shared" ca="1" si="84"/>
        <v>45309</v>
      </c>
      <c r="O726" s="3">
        <v>45432</v>
      </c>
    </row>
    <row r="727" spans="1:15" x14ac:dyDescent="0.3">
      <c r="A727" s="3">
        <v>45398</v>
      </c>
      <c r="B727" t="s">
        <v>83</v>
      </c>
      <c r="C727" t="s">
        <v>100</v>
      </c>
      <c r="D727" s="4" cm="1">
        <f t="array" aca="1" ref="D727" ca="1">IFERROR( _xlfn.XLOOKUP(B727, B$2:INDEX(B:B,ROW()-1), I$2:INDEX(I:I,ROW()-1), 0, 0, -1),0)</f>
        <v>3</v>
      </c>
      <c r="E727">
        <v>10</v>
      </c>
      <c r="F727">
        <f t="shared" ca="1" si="80"/>
        <v>2</v>
      </c>
      <c r="G727">
        <f t="shared" ca="1" si="81"/>
        <v>0</v>
      </c>
      <c r="H727">
        <f t="shared" ca="1" si="82"/>
        <v>6</v>
      </c>
      <c r="I727">
        <f t="shared" ca="1" si="83"/>
        <v>5</v>
      </c>
      <c r="J727">
        <v>4.5</v>
      </c>
      <c r="K727">
        <v>4</v>
      </c>
      <c r="L727">
        <v>10</v>
      </c>
      <c r="M727" s="3">
        <f t="shared" ca="1" si="84"/>
        <v>45352</v>
      </c>
      <c r="N727" s="3">
        <f t="shared" ca="1" si="84"/>
        <v>45333</v>
      </c>
      <c r="O727" s="3">
        <v>45399</v>
      </c>
    </row>
    <row r="728" spans="1:15" x14ac:dyDescent="0.3">
      <c r="A728" s="3">
        <v>45399</v>
      </c>
      <c r="B728" t="s">
        <v>16</v>
      </c>
      <c r="C728" t="s">
        <v>77</v>
      </c>
      <c r="D728" s="4" cm="1">
        <f t="array" aca="1" ref="D728" ca="1">IFERROR( _xlfn.XLOOKUP(B728, B$2:INDEX(B:B,ROW()-1), I$2:INDEX(I:I,ROW()-1), 0, 0, -1),0)</f>
        <v>4</v>
      </c>
      <c r="E728">
        <v>10</v>
      </c>
      <c r="F728">
        <f t="shared" ca="1" si="80"/>
        <v>3</v>
      </c>
      <c r="G728">
        <f t="shared" ca="1" si="81"/>
        <v>1</v>
      </c>
      <c r="H728">
        <f t="shared" ca="1" si="82"/>
        <v>0</v>
      </c>
      <c r="I728">
        <f t="shared" ca="1" si="83"/>
        <v>10</v>
      </c>
      <c r="J728">
        <v>5.5</v>
      </c>
      <c r="K728">
        <v>4.5</v>
      </c>
      <c r="L728">
        <v>7</v>
      </c>
      <c r="M728" s="3">
        <f t="shared" ca="1" si="84"/>
        <v>45372</v>
      </c>
      <c r="N728" s="3">
        <f t="shared" ca="1" si="84"/>
        <v>45365</v>
      </c>
      <c r="O728" s="3">
        <v>45355</v>
      </c>
    </row>
    <row r="729" spans="1:15" x14ac:dyDescent="0.3">
      <c r="A729" s="3">
        <v>45399</v>
      </c>
      <c r="B729" t="s">
        <v>56</v>
      </c>
      <c r="C729" t="s">
        <v>54</v>
      </c>
      <c r="D729" s="4" cm="1">
        <f t="array" aca="1" ref="D729" ca="1">IFERROR( _xlfn.XLOOKUP(B729, B$2:INDEX(B:B,ROW()-1), I$2:INDEX(I:I,ROW()-1), 0, 0, -1),0)</f>
        <v>4</v>
      </c>
      <c r="E729">
        <v>8</v>
      </c>
      <c r="F729">
        <f t="shared" ca="1" si="80"/>
        <v>1</v>
      </c>
      <c r="G729">
        <f t="shared" ca="1" si="81"/>
        <v>0</v>
      </c>
      <c r="H729">
        <f t="shared" ca="1" si="82"/>
        <v>5</v>
      </c>
      <c r="I729">
        <f t="shared" ca="1" si="83"/>
        <v>6</v>
      </c>
      <c r="J729">
        <v>6</v>
      </c>
      <c r="K729">
        <v>5.5</v>
      </c>
      <c r="L729">
        <v>20</v>
      </c>
      <c r="M729" s="3">
        <f t="shared" ca="1" si="84"/>
        <v>45434</v>
      </c>
      <c r="N729" s="3">
        <f t="shared" ca="1" si="84"/>
        <v>45412</v>
      </c>
      <c r="O729" s="3">
        <v>45436</v>
      </c>
    </row>
    <row r="730" spans="1:15" x14ac:dyDescent="0.3">
      <c r="A730" s="3">
        <v>45399</v>
      </c>
      <c r="B730" t="s">
        <v>84</v>
      </c>
      <c r="C730" t="s">
        <v>101</v>
      </c>
      <c r="D730" s="4" cm="1">
        <f t="array" aca="1" ref="D730" ca="1">IFERROR( _xlfn.XLOOKUP(B730, B$2:INDEX(B:B,ROW()-1), I$2:INDEX(I:I,ROW()-1), 0, 0, -1),0)</f>
        <v>4</v>
      </c>
      <c r="E730">
        <v>8</v>
      </c>
      <c r="F730">
        <f t="shared" ca="1" si="80"/>
        <v>4</v>
      </c>
      <c r="G730">
        <f t="shared" ca="1" si="81"/>
        <v>1</v>
      </c>
      <c r="H730">
        <f t="shared" ca="1" si="82"/>
        <v>4</v>
      </c>
      <c r="I730">
        <f t="shared" ca="1" si="83"/>
        <v>3</v>
      </c>
      <c r="J730">
        <v>3.5</v>
      </c>
      <c r="K730">
        <v>3</v>
      </c>
      <c r="L730">
        <v>8</v>
      </c>
      <c r="M730" s="3">
        <f t="shared" ca="1" si="84"/>
        <v>45382</v>
      </c>
      <c r="N730" s="3">
        <f t="shared" ca="1" si="84"/>
        <v>45383</v>
      </c>
      <c r="O730" s="3">
        <v>45307</v>
      </c>
    </row>
    <row r="731" spans="1:15" x14ac:dyDescent="0.3">
      <c r="A731" s="3">
        <v>45399</v>
      </c>
      <c r="B731" t="s">
        <v>62</v>
      </c>
      <c r="C731" t="s">
        <v>96</v>
      </c>
      <c r="D731" s="4" cm="1">
        <f t="array" aca="1" ref="D731" ca="1">IFERROR( _xlfn.XLOOKUP(B731, B$2:INDEX(B:B,ROW()-1), I$2:INDEX(I:I,ROW()-1), 0, 0, -1),0)</f>
        <v>6</v>
      </c>
      <c r="E731">
        <v>10</v>
      </c>
      <c r="F731">
        <f t="shared" ca="1" si="80"/>
        <v>0</v>
      </c>
      <c r="G731">
        <f t="shared" ca="1" si="81"/>
        <v>0</v>
      </c>
      <c r="H731">
        <f t="shared" ca="1" si="82"/>
        <v>8</v>
      </c>
      <c r="I731">
        <f t="shared" ca="1" si="83"/>
        <v>8</v>
      </c>
      <c r="J731">
        <v>4</v>
      </c>
      <c r="K731">
        <v>3.5</v>
      </c>
      <c r="L731">
        <v>10</v>
      </c>
      <c r="M731" s="3">
        <f t="shared" ca="1" si="84"/>
        <v>45329</v>
      </c>
      <c r="N731" s="3">
        <f t="shared" ca="1" si="84"/>
        <v>45317</v>
      </c>
      <c r="O731" s="3">
        <v>45297</v>
      </c>
    </row>
    <row r="732" spans="1:15" x14ac:dyDescent="0.3">
      <c r="A732" s="3">
        <v>45399</v>
      </c>
      <c r="B732" t="s">
        <v>83</v>
      </c>
      <c r="C732" t="s">
        <v>100</v>
      </c>
      <c r="D732" s="4" cm="1">
        <f t="array" aca="1" ref="D732" ca="1">IFERROR( _xlfn.XLOOKUP(B732, B$2:INDEX(B:B,ROW()-1), I$2:INDEX(I:I,ROW()-1), 0, 0, -1),0)</f>
        <v>5</v>
      </c>
      <c r="E732">
        <v>10</v>
      </c>
      <c r="F732">
        <f t="shared" ca="1" si="80"/>
        <v>4</v>
      </c>
      <c r="G732">
        <f t="shared" ca="1" si="81"/>
        <v>2</v>
      </c>
      <c r="H732">
        <f t="shared" ca="1" si="82"/>
        <v>5</v>
      </c>
      <c r="I732">
        <f t="shared" ca="1" si="83"/>
        <v>4</v>
      </c>
      <c r="J732">
        <v>4.5</v>
      </c>
      <c r="K732">
        <v>4</v>
      </c>
      <c r="L732">
        <v>10</v>
      </c>
      <c r="M732" s="3">
        <f t="shared" ca="1" si="84"/>
        <v>45423</v>
      </c>
      <c r="N732" s="3">
        <f t="shared" ca="1" si="84"/>
        <v>45304</v>
      </c>
      <c r="O732" s="3">
        <v>45299</v>
      </c>
    </row>
    <row r="733" spans="1:15" x14ac:dyDescent="0.3">
      <c r="A733" s="3">
        <v>45399</v>
      </c>
      <c r="B733" t="s">
        <v>89</v>
      </c>
      <c r="C733" t="s">
        <v>103</v>
      </c>
      <c r="D733" s="4" cm="1">
        <f t="array" aca="1" ref="D733" ca="1">IFERROR( _xlfn.XLOOKUP(B733, B$2:INDEX(B:B,ROW()-1), I$2:INDEX(I:I,ROW()-1), 0, 0, -1),0)</f>
        <v>1</v>
      </c>
      <c r="E733">
        <v>8</v>
      </c>
      <c r="F733">
        <f t="shared" ca="1" si="80"/>
        <v>1</v>
      </c>
      <c r="G733">
        <f t="shared" ca="1" si="81"/>
        <v>0</v>
      </c>
      <c r="H733">
        <f t="shared" ca="1" si="82"/>
        <v>2</v>
      </c>
      <c r="I733">
        <f t="shared" ca="1" si="83"/>
        <v>6</v>
      </c>
      <c r="J733">
        <v>3.5</v>
      </c>
      <c r="K733">
        <v>3</v>
      </c>
      <c r="L733">
        <v>8</v>
      </c>
      <c r="M733" s="3">
        <f t="shared" ca="1" si="84"/>
        <v>45400</v>
      </c>
      <c r="N733" s="3">
        <f t="shared" ca="1" si="84"/>
        <v>45420</v>
      </c>
      <c r="O733" s="3">
        <v>45309</v>
      </c>
    </row>
    <row r="734" spans="1:15" x14ac:dyDescent="0.3">
      <c r="A734" s="3">
        <v>45399</v>
      </c>
      <c r="B734" t="s">
        <v>70</v>
      </c>
      <c r="C734" t="s">
        <v>99</v>
      </c>
      <c r="D734" s="4" cm="1">
        <f t="array" aca="1" ref="D734" ca="1">IFERROR( _xlfn.XLOOKUP(B734, B$2:INDEX(B:B,ROW()-1), I$2:INDEX(I:I,ROW()-1), 0, 0, -1),0)</f>
        <v>2</v>
      </c>
      <c r="E734">
        <v>6</v>
      </c>
      <c r="F734">
        <f t="shared" ca="1" si="80"/>
        <v>1</v>
      </c>
      <c r="G734">
        <f t="shared" ca="1" si="81"/>
        <v>3</v>
      </c>
      <c r="H734">
        <f t="shared" ca="1" si="82"/>
        <v>0</v>
      </c>
      <c r="I734">
        <f t="shared" ca="1" si="83"/>
        <v>4</v>
      </c>
      <c r="J734">
        <v>4</v>
      </c>
      <c r="K734">
        <v>3</v>
      </c>
      <c r="L734">
        <v>7</v>
      </c>
      <c r="M734" s="3">
        <f t="shared" ca="1" si="84"/>
        <v>45391</v>
      </c>
      <c r="N734" s="3">
        <f t="shared" ca="1" si="84"/>
        <v>45392</v>
      </c>
      <c r="O734" s="3">
        <v>45396</v>
      </c>
    </row>
    <row r="735" spans="1:15" x14ac:dyDescent="0.3">
      <c r="A735" s="3">
        <v>45399</v>
      </c>
      <c r="B735" t="s">
        <v>68</v>
      </c>
      <c r="C735" t="s">
        <v>43</v>
      </c>
      <c r="D735" s="4" cm="1">
        <f t="array" aca="1" ref="D735" ca="1">IFERROR( _xlfn.XLOOKUP(B735, B$2:INDEX(B:B,ROW()-1), I$2:INDEX(I:I,ROW()-1), 0, 0, -1),0)</f>
        <v>8</v>
      </c>
      <c r="E735">
        <v>15</v>
      </c>
      <c r="F735">
        <f t="shared" ca="1" si="80"/>
        <v>13</v>
      </c>
      <c r="G735">
        <f t="shared" ca="1" si="81"/>
        <v>4</v>
      </c>
      <c r="H735">
        <f t="shared" ca="1" si="82"/>
        <v>4</v>
      </c>
      <c r="I735">
        <f t="shared" ca="1" si="83"/>
        <v>2</v>
      </c>
      <c r="J735">
        <v>4</v>
      </c>
      <c r="K735">
        <v>3</v>
      </c>
      <c r="L735">
        <v>14</v>
      </c>
      <c r="M735" s="3">
        <f t="shared" ca="1" si="84"/>
        <v>45300</v>
      </c>
      <c r="N735" s="3">
        <f t="shared" ca="1" si="84"/>
        <v>45319</v>
      </c>
      <c r="O735" s="3">
        <v>45411</v>
      </c>
    </row>
    <row r="736" spans="1:15" x14ac:dyDescent="0.3">
      <c r="A736" s="3">
        <v>45399</v>
      </c>
      <c r="B736" t="s">
        <v>10</v>
      </c>
      <c r="C736" t="s">
        <v>18</v>
      </c>
      <c r="D736" s="4" cm="1">
        <f t="array" aca="1" ref="D736" ca="1">IFERROR( _xlfn.XLOOKUP(B736, B$2:INDEX(B:B,ROW()-1), I$2:INDEX(I:I,ROW()-1), 0, 0, -1),0)</f>
        <v>4</v>
      </c>
      <c r="E736">
        <v>10</v>
      </c>
      <c r="F736">
        <f t="shared" ca="1" si="80"/>
        <v>3</v>
      </c>
      <c r="G736">
        <f t="shared" ca="1" si="81"/>
        <v>7</v>
      </c>
      <c r="H736">
        <f t="shared" ca="1" si="82"/>
        <v>1</v>
      </c>
      <c r="I736">
        <f t="shared" ca="1" si="83"/>
        <v>3</v>
      </c>
      <c r="J736">
        <v>5.5</v>
      </c>
      <c r="K736">
        <v>4.5</v>
      </c>
      <c r="L736">
        <v>7</v>
      </c>
      <c r="M736" s="3">
        <f t="shared" ca="1" si="84"/>
        <v>45311</v>
      </c>
      <c r="N736" s="3">
        <f t="shared" ca="1" si="84"/>
        <v>45403</v>
      </c>
      <c r="O736" s="3">
        <v>45400</v>
      </c>
    </row>
    <row r="737" spans="1:15" x14ac:dyDescent="0.3">
      <c r="A737" s="3">
        <v>45399</v>
      </c>
      <c r="B737" t="s">
        <v>36</v>
      </c>
      <c r="C737" t="s">
        <v>33</v>
      </c>
      <c r="D737" s="4" cm="1">
        <f t="array" aca="1" ref="D737" ca="1">IFERROR( _xlfn.XLOOKUP(B737, B$2:INDEX(B:B,ROW()-1), I$2:INDEX(I:I,ROW()-1), 0, 0, -1),0)</f>
        <v>7</v>
      </c>
      <c r="E737">
        <v>12</v>
      </c>
      <c r="F737">
        <f t="shared" ca="1" si="80"/>
        <v>10</v>
      </c>
      <c r="G737">
        <f t="shared" ca="1" si="81"/>
        <v>4</v>
      </c>
      <c r="H737">
        <f t="shared" ca="1" si="82"/>
        <v>0</v>
      </c>
      <c r="I737">
        <f t="shared" ca="1" si="83"/>
        <v>5</v>
      </c>
      <c r="J737">
        <v>3.5</v>
      </c>
      <c r="K737">
        <v>3</v>
      </c>
      <c r="L737">
        <v>14</v>
      </c>
      <c r="M737" s="3">
        <f t="shared" ca="1" si="84"/>
        <v>45374</v>
      </c>
      <c r="N737" s="3">
        <f t="shared" ca="1" si="84"/>
        <v>45372</v>
      </c>
      <c r="O737" s="3">
        <v>45333</v>
      </c>
    </row>
    <row r="738" spans="1:15" x14ac:dyDescent="0.3">
      <c r="A738" s="3">
        <v>45400</v>
      </c>
      <c r="B738" t="s">
        <v>62</v>
      </c>
      <c r="C738" t="s">
        <v>96</v>
      </c>
      <c r="D738" s="4" cm="1">
        <f t="array" aca="1" ref="D738" ca="1">IFERROR( _xlfn.XLOOKUP(B738, B$2:INDEX(B:B,ROW()-1), I$2:INDEX(I:I,ROW()-1), 0, 0, -1),0)</f>
        <v>8</v>
      </c>
      <c r="E738">
        <v>10</v>
      </c>
      <c r="F738">
        <f t="shared" ca="1" si="80"/>
        <v>10</v>
      </c>
      <c r="G738">
        <f t="shared" ca="1" si="81"/>
        <v>5</v>
      </c>
      <c r="H738">
        <f t="shared" ca="1" si="82"/>
        <v>0</v>
      </c>
      <c r="I738">
        <f t="shared" ca="1" si="83"/>
        <v>3</v>
      </c>
      <c r="J738">
        <v>4</v>
      </c>
      <c r="K738">
        <v>3.5</v>
      </c>
      <c r="L738">
        <v>10</v>
      </c>
      <c r="M738" s="3">
        <f t="shared" ca="1" si="84"/>
        <v>45401</v>
      </c>
      <c r="N738" s="3">
        <f t="shared" ca="1" si="84"/>
        <v>45394</v>
      </c>
      <c r="O738" s="3">
        <v>45342</v>
      </c>
    </row>
    <row r="739" spans="1:15" x14ac:dyDescent="0.3">
      <c r="A739" s="3">
        <v>45400</v>
      </c>
      <c r="B739" t="s">
        <v>92</v>
      </c>
      <c r="C739" t="s">
        <v>91</v>
      </c>
      <c r="D739" s="4" cm="1">
        <f t="array" aca="1" ref="D739" ca="1">IFERROR( _xlfn.XLOOKUP(B739, B$2:INDEX(B:B,ROW()-1), I$2:INDEX(I:I,ROW()-1), 0, 0, -1),0)</f>
        <v>5</v>
      </c>
      <c r="E739">
        <v>6</v>
      </c>
      <c r="F739">
        <f t="shared" ca="1" si="80"/>
        <v>2</v>
      </c>
      <c r="G739">
        <f t="shared" ca="1" si="81"/>
        <v>5</v>
      </c>
      <c r="H739">
        <f t="shared" ca="1" si="82"/>
        <v>1</v>
      </c>
      <c r="I739">
        <f t="shared" ca="1" si="83"/>
        <v>3</v>
      </c>
      <c r="J739">
        <v>4.5</v>
      </c>
      <c r="K739">
        <v>4</v>
      </c>
      <c r="L739">
        <v>14</v>
      </c>
      <c r="M739" s="3">
        <f t="shared" ca="1" si="84"/>
        <v>45303</v>
      </c>
      <c r="N739" s="3">
        <f t="shared" ca="1" si="84"/>
        <v>45308</v>
      </c>
      <c r="O739" s="3">
        <v>45321</v>
      </c>
    </row>
    <row r="740" spans="1:15" x14ac:dyDescent="0.3">
      <c r="A740" s="3">
        <v>45400</v>
      </c>
      <c r="B740" t="s">
        <v>83</v>
      </c>
      <c r="C740" t="s">
        <v>100</v>
      </c>
      <c r="D740" s="4" cm="1">
        <f t="array" aca="1" ref="D740" ca="1">IFERROR( _xlfn.XLOOKUP(B740, B$2:INDEX(B:B,ROW()-1), I$2:INDEX(I:I,ROW()-1), 0, 0, -1),0)</f>
        <v>4</v>
      </c>
      <c r="E740">
        <v>10</v>
      </c>
      <c r="F740">
        <f t="shared" ca="1" si="80"/>
        <v>5</v>
      </c>
      <c r="G740">
        <f t="shared" ca="1" si="81"/>
        <v>3</v>
      </c>
      <c r="H740">
        <f t="shared" ca="1" si="82"/>
        <v>0</v>
      </c>
      <c r="I740">
        <f t="shared" ca="1" si="83"/>
        <v>6</v>
      </c>
      <c r="J740">
        <v>4.5</v>
      </c>
      <c r="K740">
        <v>4</v>
      </c>
      <c r="L740">
        <v>10</v>
      </c>
      <c r="M740" s="3">
        <f t="shared" ca="1" si="84"/>
        <v>45364</v>
      </c>
      <c r="N740" s="3">
        <f t="shared" ca="1" si="84"/>
        <v>45415</v>
      </c>
      <c r="O740" s="3">
        <v>45395</v>
      </c>
    </row>
    <row r="741" spans="1:15" x14ac:dyDescent="0.3">
      <c r="A741" s="3">
        <v>45400</v>
      </c>
      <c r="B741" t="s">
        <v>66</v>
      </c>
      <c r="C741" t="s">
        <v>45</v>
      </c>
      <c r="D741" s="4" cm="1">
        <f t="array" aca="1" ref="D741" ca="1">IFERROR( _xlfn.XLOOKUP(B741, B$2:INDEX(B:B,ROW()-1), I$2:INDEX(I:I,ROW()-1), 0, 0, -1),0)</f>
        <v>3</v>
      </c>
      <c r="E741">
        <v>8</v>
      </c>
      <c r="F741">
        <f t="shared" ca="1" si="80"/>
        <v>1</v>
      </c>
      <c r="G741">
        <f t="shared" ca="1" si="81"/>
        <v>6</v>
      </c>
      <c r="H741">
        <f t="shared" ca="1" si="82"/>
        <v>0</v>
      </c>
      <c r="I741">
        <f t="shared" ca="1" si="83"/>
        <v>4</v>
      </c>
      <c r="J741">
        <v>3.5</v>
      </c>
      <c r="K741">
        <v>3</v>
      </c>
      <c r="L741">
        <v>8</v>
      </c>
      <c r="M741" s="3">
        <f t="shared" ca="1" si="84"/>
        <v>45349</v>
      </c>
      <c r="N741" s="3">
        <f t="shared" ca="1" si="84"/>
        <v>45413</v>
      </c>
      <c r="O741" s="3">
        <v>45364</v>
      </c>
    </row>
    <row r="742" spans="1:15" x14ac:dyDescent="0.3">
      <c r="A742" s="3">
        <v>45401</v>
      </c>
      <c r="B742" t="s">
        <v>92</v>
      </c>
      <c r="C742" t="s">
        <v>91</v>
      </c>
      <c r="D742" s="4" cm="1">
        <f t="array" aca="1" ref="D742" ca="1">IFERROR( _xlfn.XLOOKUP(B742, B$2:INDEX(B:B,ROW()-1), I$2:INDEX(I:I,ROW()-1), 0, 0, -1),0)</f>
        <v>3</v>
      </c>
      <c r="E742">
        <v>6</v>
      </c>
      <c r="F742">
        <f t="shared" ca="1" si="80"/>
        <v>2</v>
      </c>
      <c r="G742">
        <f t="shared" ca="1" si="81"/>
        <v>1</v>
      </c>
      <c r="H742">
        <f t="shared" ca="1" si="82"/>
        <v>4</v>
      </c>
      <c r="I742">
        <f t="shared" ca="1" si="83"/>
        <v>2</v>
      </c>
      <c r="J742">
        <v>4.5</v>
      </c>
      <c r="K742">
        <v>4</v>
      </c>
      <c r="L742">
        <v>14</v>
      </c>
      <c r="M742" s="3">
        <f t="shared" ref="M742:N761" ca="1" si="85">DATE(2024,1,1) + RANDBETWEEN(0, DATE(2024,5,25) - DATE(2024,1,1))</f>
        <v>45369</v>
      </c>
      <c r="N742" s="3">
        <f t="shared" ca="1" si="85"/>
        <v>45331</v>
      </c>
      <c r="O742" s="3">
        <v>45397</v>
      </c>
    </row>
    <row r="743" spans="1:15" x14ac:dyDescent="0.3">
      <c r="A743" s="3">
        <v>45401</v>
      </c>
      <c r="B743" t="s">
        <v>72</v>
      </c>
      <c r="C743" t="s">
        <v>48</v>
      </c>
      <c r="D743" s="4" cm="1">
        <f t="array" aca="1" ref="D743" ca="1">IFERROR( _xlfn.XLOOKUP(B743, B$2:INDEX(B:B,ROW()-1), I$2:INDEX(I:I,ROW()-1), 0, 0, -1),0)</f>
        <v>1</v>
      </c>
      <c r="E743">
        <v>6</v>
      </c>
      <c r="F743">
        <f t="shared" ca="1" si="80"/>
        <v>2</v>
      </c>
      <c r="G743">
        <f t="shared" ca="1" si="81"/>
        <v>1</v>
      </c>
      <c r="H743">
        <f t="shared" ca="1" si="82"/>
        <v>1</v>
      </c>
      <c r="I743">
        <f t="shared" ca="1" si="83"/>
        <v>3</v>
      </c>
      <c r="J743">
        <v>4</v>
      </c>
      <c r="K743">
        <v>3</v>
      </c>
      <c r="L743">
        <v>7</v>
      </c>
      <c r="M743" s="3">
        <f t="shared" ca="1" si="85"/>
        <v>45364</v>
      </c>
      <c r="N743" s="3">
        <f t="shared" ca="1" si="85"/>
        <v>45337</v>
      </c>
      <c r="O743" s="3">
        <v>45393</v>
      </c>
    </row>
    <row r="744" spans="1:15" x14ac:dyDescent="0.3">
      <c r="A744" s="3">
        <v>45401</v>
      </c>
      <c r="B744" t="s">
        <v>90</v>
      </c>
      <c r="C744" t="s">
        <v>87</v>
      </c>
      <c r="D744" s="4" cm="1">
        <f t="array" aca="1" ref="D744" ca="1">IFERROR( _xlfn.XLOOKUP(B744, B$2:INDEX(B:B,ROW()-1), I$2:INDEX(I:I,ROW()-1), 0, 0, -1),0)</f>
        <v>1</v>
      </c>
      <c r="E744">
        <v>12</v>
      </c>
      <c r="F744">
        <f t="shared" ca="1" si="80"/>
        <v>3</v>
      </c>
      <c r="G744">
        <f t="shared" ca="1" si="81"/>
        <v>0</v>
      </c>
      <c r="H744">
        <f t="shared" ca="1" si="82"/>
        <v>3</v>
      </c>
      <c r="I744">
        <f t="shared" ca="1" si="83"/>
        <v>7</v>
      </c>
      <c r="J744">
        <v>4.5</v>
      </c>
      <c r="K744">
        <v>4</v>
      </c>
      <c r="L744">
        <v>14</v>
      </c>
      <c r="M744" s="3">
        <f t="shared" ca="1" si="85"/>
        <v>45347</v>
      </c>
      <c r="N744" s="3">
        <f t="shared" ca="1" si="85"/>
        <v>45323</v>
      </c>
      <c r="O744" s="3">
        <v>45294</v>
      </c>
    </row>
    <row r="745" spans="1:15" x14ac:dyDescent="0.3">
      <c r="A745" s="3">
        <v>45401</v>
      </c>
      <c r="B745" t="s">
        <v>67</v>
      </c>
      <c r="C745" t="s">
        <v>46</v>
      </c>
      <c r="D745" s="4" cm="1">
        <f t="array" aca="1" ref="D745" ca="1">IFERROR( _xlfn.XLOOKUP(B745, B$2:INDEX(B:B,ROW()-1), I$2:INDEX(I:I,ROW()-1), 0, 0, -1),0)</f>
        <v>5</v>
      </c>
      <c r="E745">
        <v>8</v>
      </c>
      <c r="F745">
        <f t="shared" ca="1" si="80"/>
        <v>8</v>
      </c>
      <c r="G745">
        <f t="shared" ca="1" si="81"/>
        <v>3</v>
      </c>
      <c r="H745">
        <f t="shared" ca="1" si="82"/>
        <v>1</v>
      </c>
      <c r="I745">
        <f t="shared" ca="1" si="83"/>
        <v>1</v>
      </c>
      <c r="J745">
        <v>3.5</v>
      </c>
      <c r="K745">
        <v>3</v>
      </c>
      <c r="L745">
        <v>8</v>
      </c>
      <c r="M745" s="3">
        <f t="shared" ca="1" si="85"/>
        <v>45322</v>
      </c>
      <c r="N745" s="3">
        <f t="shared" ca="1" si="85"/>
        <v>45325</v>
      </c>
      <c r="O745" s="3">
        <v>45384</v>
      </c>
    </row>
    <row r="746" spans="1:15" x14ac:dyDescent="0.3">
      <c r="A746" s="3">
        <v>45401</v>
      </c>
      <c r="B746" t="s">
        <v>78</v>
      </c>
      <c r="C746" t="s">
        <v>74</v>
      </c>
      <c r="D746" s="4" cm="1">
        <f t="array" aca="1" ref="D746" ca="1">IFERROR( _xlfn.XLOOKUP(B746, B$2:INDEX(B:B,ROW()-1), I$2:INDEX(I:I,ROW()-1), 0, 0, -1),0)</f>
        <v>2</v>
      </c>
      <c r="E746">
        <v>6</v>
      </c>
      <c r="F746">
        <f t="shared" ca="1" si="80"/>
        <v>0</v>
      </c>
      <c r="G746">
        <f t="shared" ca="1" si="81"/>
        <v>4</v>
      </c>
      <c r="H746">
        <f t="shared" ca="1" si="82"/>
        <v>0</v>
      </c>
      <c r="I746">
        <f t="shared" ca="1" si="83"/>
        <v>4</v>
      </c>
      <c r="J746">
        <v>4</v>
      </c>
      <c r="K746">
        <v>3</v>
      </c>
      <c r="L746">
        <v>7</v>
      </c>
      <c r="M746" s="3">
        <f t="shared" ca="1" si="85"/>
        <v>45379</v>
      </c>
      <c r="N746" s="3">
        <f t="shared" ca="1" si="85"/>
        <v>45432</v>
      </c>
      <c r="O746" s="3">
        <v>45364</v>
      </c>
    </row>
    <row r="747" spans="1:15" x14ac:dyDescent="0.3">
      <c r="A747" s="3">
        <v>45402</v>
      </c>
      <c r="B747" t="s">
        <v>23</v>
      </c>
      <c r="C747" t="s">
        <v>28</v>
      </c>
      <c r="D747" s="4" cm="1">
        <f t="array" aca="1" ref="D747" ca="1">IFERROR( _xlfn.XLOOKUP(B747, B$2:INDEX(B:B,ROW()-1), I$2:INDEX(I:I,ROW()-1), 0, 0, -1),0)</f>
        <v>6</v>
      </c>
      <c r="E747">
        <v>9</v>
      </c>
      <c r="F747">
        <f t="shared" ca="1" si="80"/>
        <v>1</v>
      </c>
      <c r="G747">
        <f t="shared" ca="1" si="81"/>
        <v>8</v>
      </c>
      <c r="H747">
        <f t="shared" ca="1" si="82"/>
        <v>1</v>
      </c>
      <c r="I747">
        <f t="shared" ca="1" si="83"/>
        <v>5</v>
      </c>
      <c r="J747">
        <v>6.5</v>
      </c>
      <c r="K747">
        <v>5.5</v>
      </c>
      <c r="L747">
        <v>9</v>
      </c>
      <c r="M747" s="3">
        <f t="shared" ca="1" si="85"/>
        <v>45425</v>
      </c>
      <c r="N747" s="3">
        <f t="shared" ca="1" si="85"/>
        <v>45365</v>
      </c>
      <c r="O747" s="3">
        <v>45373</v>
      </c>
    </row>
    <row r="748" spans="1:15" x14ac:dyDescent="0.3">
      <c r="A748" s="3">
        <v>45402</v>
      </c>
      <c r="B748" t="s">
        <v>34</v>
      </c>
      <c r="C748" t="s">
        <v>30</v>
      </c>
      <c r="D748" s="4" cm="1">
        <f t="array" aca="1" ref="D748" ca="1">IFERROR( _xlfn.XLOOKUP(B748, B$2:INDEX(B:B,ROW()-1), I$2:INDEX(I:I,ROW()-1), 0, 0, -1),0)</f>
        <v>2</v>
      </c>
      <c r="E748">
        <v>6</v>
      </c>
      <c r="F748">
        <f t="shared" ca="1" si="80"/>
        <v>2</v>
      </c>
      <c r="G748">
        <f t="shared" ca="1" si="81"/>
        <v>3</v>
      </c>
      <c r="H748">
        <f t="shared" ca="1" si="82"/>
        <v>0</v>
      </c>
      <c r="I748">
        <f t="shared" ca="1" si="83"/>
        <v>3</v>
      </c>
      <c r="J748">
        <v>3.5</v>
      </c>
      <c r="K748">
        <v>3</v>
      </c>
      <c r="L748">
        <v>10</v>
      </c>
      <c r="M748" s="3">
        <f t="shared" ca="1" si="85"/>
        <v>45408</v>
      </c>
      <c r="N748" s="3">
        <f t="shared" ca="1" si="85"/>
        <v>45341</v>
      </c>
      <c r="O748" s="3">
        <v>45336</v>
      </c>
    </row>
    <row r="749" spans="1:15" x14ac:dyDescent="0.3">
      <c r="A749" s="3">
        <v>45402</v>
      </c>
      <c r="B749" t="s">
        <v>88</v>
      </c>
      <c r="C749" t="s">
        <v>102</v>
      </c>
      <c r="D749" s="4" cm="1">
        <f t="array" aca="1" ref="D749" ca="1">IFERROR( _xlfn.XLOOKUP(B749, B$2:INDEX(B:B,ROW()-1), I$2:INDEX(I:I,ROW()-1), 0, 0, -1),0)</f>
        <v>3</v>
      </c>
      <c r="E749">
        <v>8</v>
      </c>
      <c r="F749">
        <f t="shared" ca="1" si="80"/>
        <v>0</v>
      </c>
      <c r="G749">
        <f t="shared" ca="1" si="81"/>
        <v>4</v>
      </c>
      <c r="H749">
        <f t="shared" ca="1" si="82"/>
        <v>1</v>
      </c>
      <c r="I749">
        <f t="shared" ca="1" si="83"/>
        <v>6</v>
      </c>
      <c r="J749">
        <v>3.5</v>
      </c>
      <c r="K749">
        <v>3</v>
      </c>
      <c r="L749">
        <v>8</v>
      </c>
      <c r="M749" s="3">
        <f t="shared" ca="1" si="85"/>
        <v>45366</v>
      </c>
      <c r="N749" s="3">
        <f t="shared" ca="1" si="85"/>
        <v>45405</v>
      </c>
      <c r="O749" s="3">
        <v>45388</v>
      </c>
    </row>
    <row r="750" spans="1:15" x14ac:dyDescent="0.3">
      <c r="A750" s="3">
        <v>45403</v>
      </c>
      <c r="B750" t="s">
        <v>60</v>
      </c>
      <c r="C750" t="s">
        <v>94</v>
      </c>
      <c r="D750" s="4" cm="1">
        <f t="array" aca="1" ref="D750" ca="1">IFERROR( _xlfn.XLOOKUP(B750, B$2:INDEX(B:B,ROW()-1), I$2:INDEX(I:I,ROW()-1), 0, 0, -1),0)</f>
        <v>13</v>
      </c>
      <c r="E750">
        <v>10</v>
      </c>
      <c r="F750">
        <f t="shared" ca="1" si="80"/>
        <v>10</v>
      </c>
      <c r="G750">
        <f t="shared" ca="1" si="81"/>
        <v>1</v>
      </c>
      <c r="H750">
        <f t="shared" ca="1" si="82"/>
        <v>0</v>
      </c>
      <c r="I750">
        <f t="shared" ca="1" si="83"/>
        <v>12</v>
      </c>
      <c r="J750">
        <v>4</v>
      </c>
      <c r="K750">
        <v>3.5</v>
      </c>
      <c r="L750">
        <v>10</v>
      </c>
      <c r="M750" s="3">
        <f t="shared" ca="1" si="85"/>
        <v>45373</v>
      </c>
      <c r="N750" s="3">
        <f t="shared" ca="1" si="85"/>
        <v>45413</v>
      </c>
      <c r="O750" s="3">
        <v>45406</v>
      </c>
    </row>
    <row r="751" spans="1:15" x14ac:dyDescent="0.3">
      <c r="A751" s="3">
        <v>45403</v>
      </c>
      <c r="B751" t="s">
        <v>82</v>
      </c>
      <c r="C751" t="s">
        <v>73</v>
      </c>
      <c r="D751" s="4" cm="1">
        <f t="array" aca="1" ref="D751" ca="1">IFERROR( _xlfn.XLOOKUP(B751, B$2:INDEX(B:B,ROW()-1), I$2:INDEX(I:I,ROW()-1), 0, 0, -1),0)</f>
        <v>3</v>
      </c>
      <c r="E751">
        <v>8</v>
      </c>
      <c r="F751">
        <f t="shared" ca="1" si="80"/>
        <v>4</v>
      </c>
      <c r="G751">
        <f t="shared" ca="1" si="81"/>
        <v>0</v>
      </c>
      <c r="H751">
        <f t="shared" ca="1" si="82"/>
        <v>3</v>
      </c>
      <c r="I751">
        <f t="shared" ca="1" si="83"/>
        <v>4</v>
      </c>
      <c r="J751">
        <v>2.5</v>
      </c>
      <c r="K751">
        <v>2</v>
      </c>
      <c r="L751">
        <v>5</v>
      </c>
      <c r="M751" s="3">
        <f t="shared" ca="1" si="85"/>
        <v>45301</v>
      </c>
      <c r="N751" s="3">
        <f t="shared" ca="1" si="85"/>
        <v>45298</v>
      </c>
      <c r="O751" s="3">
        <v>45334</v>
      </c>
    </row>
    <row r="752" spans="1:15" x14ac:dyDescent="0.3">
      <c r="A752" s="3">
        <v>45403</v>
      </c>
      <c r="B752" t="s">
        <v>82</v>
      </c>
      <c r="C752" t="s">
        <v>73</v>
      </c>
      <c r="D752" s="4" cm="1">
        <f t="array" aca="1" ref="D752" ca="1">IFERROR( _xlfn.XLOOKUP(B752, B$2:INDEX(B:B,ROW()-1), I$2:INDEX(I:I,ROW()-1), 0, 0, -1),0)</f>
        <v>4</v>
      </c>
      <c r="E752">
        <v>8</v>
      </c>
      <c r="F752">
        <f t="shared" ca="1" si="80"/>
        <v>2</v>
      </c>
      <c r="G752">
        <f t="shared" ca="1" si="81"/>
        <v>1</v>
      </c>
      <c r="H752">
        <f t="shared" ca="1" si="82"/>
        <v>2</v>
      </c>
      <c r="I752">
        <f t="shared" ca="1" si="83"/>
        <v>7</v>
      </c>
      <c r="J752">
        <v>2.5</v>
      </c>
      <c r="K752">
        <v>2</v>
      </c>
      <c r="L752">
        <v>5</v>
      </c>
      <c r="M752" s="3">
        <f t="shared" ca="1" si="85"/>
        <v>45323</v>
      </c>
      <c r="N752" s="3">
        <f t="shared" ca="1" si="85"/>
        <v>45407</v>
      </c>
      <c r="O752" s="3">
        <v>45433</v>
      </c>
    </row>
    <row r="753" spans="1:15" x14ac:dyDescent="0.3">
      <c r="A753" s="3">
        <v>45403</v>
      </c>
      <c r="B753" t="s">
        <v>40</v>
      </c>
      <c r="C753" t="s">
        <v>85</v>
      </c>
      <c r="D753" s="4" cm="1">
        <f t="array" aca="1" ref="D753" ca="1">IFERROR( _xlfn.XLOOKUP(B753, B$2:INDEX(B:B,ROW()-1), I$2:INDEX(I:I,ROW()-1), 0, 0, -1),0)</f>
        <v>12</v>
      </c>
      <c r="E753">
        <v>15</v>
      </c>
      <c r="F753">
        <f t="shared" ca="1" si="80"/>
        <v>1</v>
      </c>
      <c r="G753">
        <f t="shared" ca="1" si="81"/>
        <v>15</v>
      </c>
      <c r="H753">
        <f t="shared" ca="1" si="82"/>
        <v>5</v>
      </c>
      <c r="I753">
        <f t="shared" ca="1" si="83"/>
        <v>6</v>
      </c>
      <c r="J753">
        <v>3</v>
      </c>
      <c r="K753">
        <v>2.5</v>
      </c>
      <c r="L753">
        <v>14</v>
      </c>
      <c r="M753" s="3">
        <f t="shared" ca="1" si="85"/>
        <v>45413</v>
      </c>
      <c r="N753" s="3">
        <f t="shared" ca="1" si="85"/>
        <v>45296</v>
      </c>
      <c r="O753" s="3">
        <v>45384</v>
      </c>
    </row>
    <row r="754" spans="1:15" x14ac:dyDescent="0.3">
      <c r="A754" s="3">
        <v>45403</v>
      </c>
      <c r="B754" t="s">
        <v>82</v>
      </c>
      <c r="C754" t="s">
        <v>73</v>
      </c>
      <c r="D754" s="4" cm="1">
        <f t="array" aca="1" ref="D754" ca="1">IFERROR( _xlfn.XLOOKUP(B754, B$2:INDEX(B:B,ROW()-1), I$2:INDEX(I:I,ROW()-1), 0, 0, -1),0)</f>
        <v>7</v>
      </c>
      <c r="E754">
        <v>8</v>
      </c>
      <c r="F754">
        <f t="shared" ca="1" si="80"/>
        <v>7</v>
      </c>
      <c r="G754">
        <f t="shared" ca="1" si="81"/>
        <v>0</v>
      </c>
      <c r="H754">
        <f t="shared" ca="1" si="82"/>
        <v>0</v>
      </c>
      <c r="I754">
        <f t="shared" ca="1" si="83"/>
        <v>8</v>
      </c>
      <c r="J754">
        <v>2.5</v>
      </c>
      <c r="K754">
        <v>2</v>
      </c>
      <c r="L754">
        <v>5</v>
      </c>
      <c r="M754" s="3">
        <f t="shared" ca="1" si="85"/>
        <v>45398</v>
      </c>
      <c r="N754" s="3">
        <f t="shared" ca="1" si="85"/>
        <v>45339</v>
      </c>
      <c r="O754" s="3">
        <v>45355</v>
      </c>
    </row>
    <row r="755" spans="1:15" x14ac:dyDescent="0.3">
      <c r="A755" s="3">
        <v>45404</v>
      </c>
      <c r="B755" t="s">
        <v>79</v>
      </c>
      <c r="C755" t="s">
        <v>104</v>
      </c>
      <c r="D755" s="4" cm="1">
        <f t="array" aca="1" ref="D755" ca="1">IFERROR( _xlfn.XLOOKUP(B755, B$2:INDEX(B:B,ROW()-1), I$2:INDEX(I:I,ROW()-1), 0, 0, -1),0)</f>
        <v>2</v>
      </c>
      <c r="E755">
        <v>8</v>
      </c>
      <c r="F755">
        <f t="shared" ca="1" si="80"/>
        <v>6</v>
      </c>
      <c r="G755">
        <f t="shared" ca="1" si="81"/>
        <v>2</v>
      </c>
      <c r="H755">
        <f t="shared" ca="1" si="82"/>
        <v>1</v>
      </c>
      <c r="I755">
        <f t="shared" ca="1" si="83"/>
        <v>1</v>
      </c>
      <c r="J755">
        <v>2.5</v>
      </c>
      <c r="K755">
        <v>2</v>
      </c>
      <c r="L755">
        <v>5</v>
      </c>
      <c r="M755" s="3">
        <f t="shared" ca="1" si="85"/>
        <v>45301</v>
      </c>
      <c r="N755" s="3">
        <f t="shared" ca="1" si="85"/>
        <v>45369</v>
      </c>
      <c r="O755" s="3">
        <v>45426</v>
      </c>
    </row>
    <row r="756" spans="1:15" x14ac:dyDescent="0.3">
      <c r="A756" s="3">
        <v>45404</v>
      </c>
      <c r="B756" t="s">
        <v>83</v>
      </c>
      <c r="C756" t="s">
        <v>100</v>
      </c>
      <c r="D756" s="4" cm="1">
        <f t="array" aca="1" ref="D756" ca="1">IFERROR( _xlfn.XLOOKUP(B756, B$2:INDEX(B:B,ROW()-1), I$2:INDEX(I:I,ROW()-1), 0, 0, -1),0)</f>
        <v>6</v>
      </c>
      <c r="E756">
        <v>10</v>
      </c>
      <c r="F756">
        <f t="shared" ca="1" si="80"/>
        <v>0</v>
      </c>
      <c r="G756">
        <f t="shared" ca="1" si="81"/>
        <v>8</v>
      </c>
      <c r="H756">
        <f t="shared" ca="1" si="82"/>
        <v>1</v>
      </c>
      <c r="I756">
        <f t="shared" ca="1" si="83"/>
        <v>7</v>
      </c>
      <c r="J756">
        <v>4.5</v>
      </c>
      <c r="K756">
        <v>4</v>
      </c>
      <c r="L756">
        <v>10</v>
      </c>
      <c r="M756" s="3">
        <f t="shared" ca="1" si="85"/>
        <v>45379</v>
      </c>
      <c r="N756" s="3">
        <f t="shared" ca="1" si="85"/>
        <v>45309</v>
      </c>
      <c r="O756" s="3">
        <v>45374</v>
      </c>
    </row>
    <row r="757" spans="1:15" x14ac:dyDescent="0.3">
      <c r="A757" s="3">
        <v>45404</v>
      </c>
      <c r="B757" t="s">
        <v>20</v>
      </c>
      <c r="C757" t="s">
        <v>25</v>
      </c>
      <c r="D757" s="4" cm="1">
        <f t="array" aca="1" ref="D757" ca="1">IFERROR( _xlfn.XLOOKUP(B757, B$2:INDEX(B:B,ROW()-1), I$2:INDEX(I:I,ROW()-1), 0, 0, -1),0)</f>
        <v>7</v>
      </c>
      <c r="E757">
        <v>10</v>
      </c>
      <c r="F757">
        <f t="shared" ca="1" si="80"/>
        <v>9</v>
      </c>
      <c r="G757">
        <f t="shared" ca="1" si="81"/>
        <v>1</v>
      </c>
      <c r="H757">
        <f t="shared" ca="1" si="82"/>
        <v>3</v>
      </c>
      <c r="I757">
        <f t="shared" ca="1" si="83"/>
        <v>4</v>
      </c>
      <c r="J757">
        <v>4.5</v>
      </c>
      <c r="K757">
        <v>4</v>
      </c>
      <c r="L757">
        <v>10</v>
      </c>
      <c r="M757" s="3">
        <f t="shared" ca="1" si="85"/>
        <v>45426</v>
      </c>
      <c r="N757" s="3">
        <f t="shared" ca="1" si="85"/>
        <v>45301</v>
      </c>
      <c r="O757" s="3">
        <v>45329</v>
      </c>
    </row>
    <row r="758" spans="1:15" x14ac:dyDescent="0.3">
      <c r="A758" s="3">
        <v>45404</v>
      </c>
      <c r="B758" t="s">
        <v>21</v>
      </c>
      <c r="C758" t="s">
        <v>27</v>
      </c>
      <c r="D758" s="4" cm="1">
        <f t="array" aca="1" ref="D758" ca="1">IFERROR( _xlfn.XLOOKUP(B758, B$2:INDEX(B:B,ROW()-1), I$2:INDEX(I:I,ROW()-1), 0, 0, -1),0)</f>
        <v>6</v>
      </c>
      <c r="E758">
        <v>8</v>
      </c>
      <c r="F758">
        <f t="shared" ca="1" si="80"/>
        <v>2</v>
      </c>
      <c r="G758">
        <f t="shared" ca="1" si="81"/>
        <v>0</v>
      </c>
      <c r="H758">
        <f t="shared" ca="1" si="82"/>
        <v>1</v>
      </c>
      <c r="I758">
        <f t="shared" ca="1" si="83"/>
        <v>11</v>
      </c>
      <c r="J758">
        <v>4</v>
      </c>
      <c r="K758">
        <v>3</v>
      </c>
      <c r="L758">
        <v>14</v>
      </c>
      <c r="M758" s="3">
        <f t="shared" ca="1" si="85"/>
        <v>45407</v>
      </c>
      <c r="N758" s="3">
        <f t="shared" ca="1" si="85"/>
        <v>45418</v>
      </c>
      <c r="O758" s="3">
        <v>45389</v>
      </c>
    </row>
    <row r="759" spans="1:15" x14ac:dyDescent="0.3">
      <c r="A759" s="3">
        <v>45404</v>
      </c>
      <c r="B759" t="s">
        <v>16</v>
      </c>
      <c r="C759" t="s">
        <v>77</v>
      </c>
      <c r="D759" s="4" cm="1">
        <f t="array" aca="1" ref="D759" ca="1">IFERROR( _xlfn.XLOOKUP(B759, B$2:INDEX(B:B,ROW()-1), I$2:INDEX(I:I,ROW()-1), 0, 0, -1),0)</f>
        <v>10</v>
      </c>
      <c r="E759">
        <v>10</v>
      </c>
      <c r="F759">
        <f t="shared" ca="1" si="80"/>
        <v>6</v>
      </c>
      <c r="G759">
        <f t="shared" ca="1" si="81"/>
        <v>6</v>
      </c>
      <c r="H759">
        <f t="shared" ca="1" si="82"/>
        <v>3</v>
      </c>
      <c r="I759">
        <f t="shared" ca="1" si="83"/>
        <v>5</v>
      </c>
      <c r="J759">
        <v>5.5</v>
      </c>
      <c r="K759">
        <v>4.5</v>
      </c>
      <c r="L759">
        <v>7</v>
      </c>
      <c r="M759" s="3">
        <f t="shared" ca="1" si="85"/>
        <v>45336</v>
      </c>
      <c r="N759" s="3">
        <f t="shared" ca="1" si="85"/>
        <v>45387</v>
      </c>
      <c r="O759" s="3">
        <v>45393</v>
      </c>
    </row>
    <row r="760" spans="1:15" x14ac:dyDescent="0.3">
      <c r="A760" s="3">
        <v>45404</v>
      </c>
      <c r="B760" t="s">
        <v>19</v>
      </c>
      <c r="C760" t="s">
        <v>17</v>
      </c>
      <c r="D760" s="4" cm="1">
        <f t="array" aca="1" ref="D760" ca="1">IFERROR( _xlfn.XLOOKUP(B760, B$2:INDEX(B:B,ROW()-1), I$2:INDEX(I:I,ROW()-1), 0, 0, -1),0)</f>
        <v>3</v>
      </c>
      <c r="E760">
        <v>10</v>
      </c>
      <c r="F760">
        <f t="shared" ca="1" si="80"/>
        <v>1</v>
      </c>
      <c r="G760">
        <f t="shared" ca="1" si="81"/>
        <v>4</v>
      </c>
      <c r="H760">
        <f t="shared" ca="1" si="82"/>
        <v>1</v>
      </c>
      <c r="I760">
        <f t="shared" ca="1" si="83"/>
        <v>7</v>
      </c>
      <c r="J760">
        <v>4.5</v>
      </c>
      <c r="K760">
        <v>4</v>
      </c>
      <c r="L760">
        <v>10</v>
      </c>
      <c r="M760" s="3">
        <f t="shared" ca="1" si="85"/>
        <v>45298</v>
      </c>
      <c r="N760" s="3">
        <f t="shared" ca="1" si="85"/>
        <v>45433</v>
      </c>
      <c r="O760" s="3">
        <v>45395</v>
      </c>
    </row>
    <row r="761" spans="1:15" x14ac:dyDescent="0.3">
      <c r="A761" s="3">
        <v>45404</v>
      </c>
      <c r="B761" t="s">
        <v>36</v>
      </c>
      <c r="C761" t="s">
        <v>33</v>
      </c>
      <c r="D761" s="4" cm="1">
        <f t="array" aca="1" ref="D761" ca="1">IFERROR( _xlfn.XLOOKUP(B761, B$2:INDEX(B:B,ROW()-1), I$2:INDEX(I:I,ROW()-1), 0, 0, -1),0)</f>
        <v>5</v>
      </c>
      <c r="E761">
        <v>12</v>
      </c>
      <c r="F761">
        <f t="shared" ca="1" si="80"/>
        <v>1</v>
      </c>
      <c r="G761">
        <f t="shared" ca="1" si="81"/>
        <v>0</v>
      </c>
      <c r="H761">
        <f t="shared" ca="1" si="82"/>
        <v>10</v>
      </c>
      <c r="I761">
        <f t="shared" ca="1" si="83"/>
        <v>6</v>
      </c>
      <c r="J761">
        <v>3.5</v>
      </c>
      <c r="K761">
        <v>3</v>
      </c>
      <c r="L761">
        <v>14</v>
      </c>
      <c r="M761" s="3">
        <f t="shared" ca="1" si="85"/>
        <v>45359</v>
      </c>
      <c r="N761" s="3">
        <f t="shared" ca="1" si="85"/>
        <v>45437</v>
      </c>
      <c r="O761" s="3">
        <v>45341</v>
      </c>
    </row>
    <row r="762" spans="1:15" x14ac:dyDescent="0.3">
      <c r="A762" s="3">
        <v>45405</v>
      </c>
      <c r="B762" t="s">
        <v>59</v>
      </c>
      <c r="C762" t="s">
        <v>93</v>
      </c>
      <c r="D762" s="4" cm="1">
        <f t="array" aca="1" ref="D762" ca="1">IFERROR( _xlfn.XLOOKUP(B762, B$2:INDEX(B:B,ROW()-1), I$2:INDEX(I:I,ROW()-1), 0, 0, -1),0)</f>
        <v>8</v>
      </c>
      <c r="E762">
        <v>10</v>
      </c>
      <c r="F762">
        <f t="shared" ca="1" si="80"/>
        <v>10</v>
      </c>
      <c r="G762">
        <f t="shared" ca="1" si="81"/>
        <v>0</v>
      </c>
      <c r="H762">
        <f t="shared" ca="1" si="82"/>
        <v>1</v>
      </c>
      <c r="I762">
        <f t="shared" ca="1" si="83"/>
        <v>7</v>
      </c>
      <c r="J762">
        <v>4</v>
      </c>
      <c r="K762">
        <v>3.5</v>
      </c>
      <c r="L762">
        <v>10</v>
      </c>
      <c r="M762" s="3">
        <f t="shared" ref="M762:N781" ca="1" si="86">DATE(2024,1,1) + RANDBETWEEN(0, DATE(2024,5,25) - DATE(2024,1,1))</f>
        <v>45304</v>
      </c>
      <c r="N762" s="3">
        <f t="shared" ca="1" si="86"/>
        <v>45421</v>
      </c>
      <c r="O762" s="3">
        <v>45424</v>
      </c>
    </row>
    <row r="763" spans="1:15" x14ac:dyDescent="0.3">
      <c r="A763" s="3">
        <v>45405</v>
      </c>
      <c r="B763" t="s">
        <v>39</v>
      </c>
      <c r="C763" t="s">
        <v>32</v>
      </c>
      <c r="D763" s="4" cm="1">
        <f t="array" aca="1" ref="D763" ca="1">IFERROR( _xlfn.XLOOKUP(B763, B$2:INDEX(B:B,ROW()-1), I$2:INDEX(I:I,ROW()-1), 0, 0, -1),0)</f>
        <v>9</v>
      </c>
      <c r="E763">
        <v>12</v>
      </c>
      <c r="F763">
        <f t="shared" ca="1" si="80"/>
        <v>8</v>
      </c>
      <c r="G763">
        <f t="shared" ca="1" si="81"/>
        <v>2</v>
      </c>
      <c r="H763">
        <f t="shared" ca="1" si="82"/>
        <v>1</v>
      </c>
      <c r="I763">
        <f t="shared" ca="1" si="83"/>
        <v>10</v>
      </c>
      <c r="J763">
        <v>3.5</v>
      </c>
      <c r="K763">
        <v>3</v>
      </c>
      <c r="L763">
        <v>14</v>
      </c>
      <c r="M763" s="3">
        <f t="shared" ca="1" si="86"/>
        <v>45340</v>
      </c>
      <c r="N763" s="3">
        <f t="shared" ca="1" si="86"/>
        <v>45391</v>
      </c>
      <c r="O763" s="3">
        <v>45347</v>
      </c>
    </row>
    <row r="764" spans="1:15" x14ac:dyDescent="0.3">
      <c r="A764" s="3">
        <v>45405</v>
      </c>
      <c r="B764" t="s">
        <v>82</v>
      </c>
      <c r="C764" t="s">
        <v>73</v>
      </c>
      <c r="D764" s="4" cm="1">
        <f t="array" aca="1" ref="D764" ca="1">IFERROR( _xlfn.XLOOKUP(B764, B$2:INDEX(B:B,ROW()-1), I$2:INDEX(I:I,ROW()-1), 0, 0, -1),0)</f>
        <v>8</v>
      </c>
      <c r="E764">
        <v>8</v>
      </c>
      <c r="F764">
        <f t="shared" ca="1" si="80"/>
        <v>7</v>
      </c>
      <c r="G764">
        <f t="shared" ca="1" si="81"/>
        <v>5</v>
      </c>
      <c r="H764">
        <f t="shared" ca="1" si="82"/>
        <v>0</v>
      </c>
      <c r="I764">
        <f t="shared" ca="1" si="83"/>
        <v>4</v>
      </c>
      <c r="J764">
        <v>2.5</v>
      </c>
      <c r="K764">
        <v>2</v>
      </c>
      <c r="L764">
        <v>5</v>
      </c>
      <c r="M764" s="3">
        <f t="shared" ca="1" si="86"/>
        <v>45416</v>
      </c>
      <c r="N764" s="3">
        <f t="shared" ca="1" si="86"/>
        <v>45417</v>
      </c>
      <c r="O764" s="3">
        <v>45416</v>
      </c>
    </row>
    <row r="765" spans="1:15" x14ac:dyDescent="0.3">
      <c r="A765" s="3">
        <v>45405</v>
      </c>
      <c r="B765" t="s">
        <v>39</v>
      </c>
      <c r="C765" t="s">
        <v>32</v>
      </c>
      <c r="D765" s="4" cm="1">
        <f t="array" aca="1" ref="D765" ca="1">IFERROR( _xlfn.XLOOKUP(B765, B$2:INDEX(B:B,ROW()-1), I$2:INDEX(I:I,ROW()-1), 0, 0, -1),0)</f>
        <v>10</v>
      </c>
      <c r="E765">
        <v>12</v>
      </c>
      <c r="F765">
        <f t="shared" ca="1" si="80"/>
        <v>4</v>
      </c>
      <c r="G765">
        <f t="shared" ca="1" si="81"/>
        <v>2</v>
      </c>
      <c r="H765">
        <f t="shared" ca="1" si="82"/>
        <v>5</v>
      </c>
      <c r="I765">
        <f t="shared" ca="1" si="83"/>
        <v>11</v>
      </c>
      <c r="J765">
        <v>3.5</v>
      </c>
      <c r="K765">
        <v>3</v>
      </c>
      <c r="L765">
        <v>14</v>
      </c>
      <c r="M765" s="3">
        <f t="shared" ca="1" si="86"/>
        <v>45428</v>
      </c>
      <c r="N765" s="3">
        <f t="shared" ca="1" si="86"/>
        <v>45303</v>
      </c>
      <c r="O765" s="3">
        <v>45406</v>
      </c>
    </row>
    <row r="766" spans="1:15" x14ac:dyDescent="0.3">
      <c r="A766" s="3">
        <v>45405</v>
      </c>
      <c r="B766" t="s">
        <v>83</v>
      </c>
      <c r="C766" t="s">
        <v>100</v>
      </c>
      <c r="D766" s="4" cm="1">
        <f t="array" aca="1" ref="D766" ca="1">IFERROR( _xlfn.XLOOKUP(B766, B$2:INDEX(B:B,ROW()-1), I$2:INDEX(I:I,ROW()-1), 0, 0, -1),0)</f>
        <v>7</v>
      </c>
      <c r="E766">
        <v>10</v>
      </c>
      <c r="F766">
        <f t="shared" ca="1" si="80"/>
        <v>3</v>
      </c>
      <c r="G766">
        <f t="shared" ca="1" si="81"/>
        <v>5</v>
      </c>
      <c r="H766">
        <f t="shared" ca="1" si="82"/>
        <v>2</v>
      </c>
      <c r="I766">
        <f t="shared" ca="1" si="83"/>
        <v>7</v>
      </c>
      <c r="J766">
        <v>4.5</v>
      </c>
      <c r="K766">
        <v>4</v>
      </c>
      <c r="L766">
        <v>10</v>
      </c>
      <c r="M766" s="3">
        <f t="shared" ca="1" si="86"/>
        <v>45356</v>
      </c>
      <c r="N766" s="3">
        <f t="shared" ca="1" si="86"/>
        <v>45405</v>
      </c>
      <c r="O766" s="3">
        <v>45332</v>
      </c>
    </row>
    <row r="767" spans="1:15" x14ac:dyDescent="0.3">
      <c r="A767" s="3">
        <v>45405</v>
      </c>
      <c r="B767" t="s">
        <v>66</v>
      </c>
      <c r="C767" t="s">
        <v>45</v>
      </c>
      <c r="D767" s="4" cm="1">
        <f t="array" aca="1" ref="D767" ca="1">IFERROR( _xlfn.XLOOKUP(B767, B$2:INDEX(B:B,ROW()-1), I$2:INDEX(I:I,ROW()-1), 0, 0, -1),0)</f>
        <v>4</v>
      </c>
      <c r="E767">
        <v>8</v>
      </c>
      <c r="F767">
        <f t="shared" ca="1" si="80"/>
        <v>2</v>
      </c>
      <c r="G767">
        <f t="shared" ca="1" si="81"/>
        <v>3</v>
      </c>
      <c r="H767">
        <f t="shared" ca="1" si="82"/>
        <v>1</v>
      </c>
      <c r="I767">
        <f t="shared" ca="1" si="83"/>
        <v>6</v>
      </c>
      <c r="J767">
        <v>3.5</v>
      </c>
      <c r="K767">
        <v>3</v>
      </c>
      <c r="L767">
        <v>8</v>
      </c>
      <c r="M767" s="3">
        <f t="shared" ca="1" si="86"/>
        <v>45336</v>
      </c>
      <c r="N767" s="3">
        <f t="shared" ca="1" si="86"/>
        <v>45391</v>
      </c>
      <c r="O767" s="3">
        <v>45393</v>
      </c>
    </row>
    <row r="768" spans="1:15" x14ac:dyDescent="0.3">
      <c r="A768" s="3">
        <v>45406</v>
      </c>
      <c r="B768" t="s">
        <v>90</v>
      </c>
      <c r="C768" t="s">
        <v>87</v>
      </c>
      <c r="D768" s="4" cm="1">
        <f t="array" aca="1" ref="D768" ca="1">IFERROR( _xlfn.XLOOKUP(B768, B$2:INDEX(B:B,ROW()-1), I$2:INDEX(I:I,ROW()-1), 0, 0, -1),0)</f>
        <v>7</v>
      </c>
      <c r="E768">
        <v>12</v>
      </c>
      <c r="F768">
        <f t="shared" ca="1" si="80"/>
        <v>1</v>
      </c>
      <c r="G768">
        <f t="shared" ca="1" si="81"/>
        <v>1</v>
      </c>
      <c r="H768">
        <f t="shared" ca="1" si="82"/>
        <v>10</v>
      </c>
      <c r="I768">
        <f t="shared" ca="1" si="83"/>
        <v>7</v>
      </c>
      <c r="J768">
        <v>4.5</v>
      </c>
      <c r="K768">
        <v>4</v>
      </c>
      <c r="L768">
        <v>14</v>
      </c>
      <c r="M768" s="3">
        <f t="shared" ca="1" si="86"/>
        <v>45376</v>
      </c>
      <c r="N768" s="3">
        <f t="shared" ca="1" si="86"/>
        <v>45299</v>
      </c>
      <c r="O768" s="3">
        <v>45296</v>
      </c>
    </row>
    <row r="769" spans="1:15" x14ac:dyDescent="0.3">
      <c r="A769" s="3">
        <v>45406</v>
      </c>
      <c r="B769" t="s">
        <v>79</v>
      </c>
      <c r="C769" t="s">
        <v>104</v>
      </c>
      <c r="D769" s="4" cm="1">
        <f t="array" aca="1" ref="D769" ca="1">IFERROR( _xlfn.XLOOKUP(B769, B$2:INDEX(B:B,ROW()-1), I$2:INDEX(I:I,ROW()-1), 0, 0, -1),0)</f>
        <v>1</v>
      </c>
      <c r="E769">
        <v>8</v>
      </c>
      <c r="F769">
        <f t="shared" ca="1" si="80"/>
        <v>2</v>
      </c>
      <c r="G769">
        <f t="shared" ca="1" si="81"/>
        <v>3</v>
      </c>
      <c r="H769">
        <f t="shared" ca="1" si="82"/>
        <v>0</v>
      </c>
      <c r="I769">
        <f t="shared" ca="1" si="83"/>
        <v>4</v>
      </c>
      <c r="J769">
        <v>2.5</v>
      </c>
      <c r="K769">
        <v>2</v>
      </c>
      <c r="L769">
        <v>5</v>
      </c>
      <c r="M769" s="3">
        <f t="shared" ca="1" si="86"/>
        <v>45422</v>
      </c>
      <c r="N769" s="3">
        <f t="shared" ca="1" si="86"/>
        <v>45372</v>
      </c>
      <c r="O769" s="3">
        <v>45398</v>
      </c>
    </row>
    <row r="770" spans="1:15" x14ac:dyDescent="0.3">
      <c r="A770" s="3">
        <v>45406</v>
      </c>
      <c r="B770" t="s">
        <v>66</v>
      </c>
      <c r="C770" t="s">
        <v>45</v>
      </c>
      <c r="D770" s="4" cm="1">
        <f t="array" aca="1" ref="D770" ca="1">IFERROR( _xlfn.XLOOKUP(B770, B$2:INDEX(B:B,ROW()-1), I$2:INDEX(I:I,ROW()-1), 0, 0, -1),0)</f>
        <v>6</v>
      </c>
      <c r="E770">
        <v>8</v>
      </c>
      <c r="F770">
        <f t="shared" ref="F770:F833" ca="1" si="87">RANDBETWEEN(0, ROUND((D770+E770)*0.6,0))</f>
        <v>0</v>
      </c>
      <c r="G770">
        <f t="shared" ref="G770:G833" ca="1" si="88">RANDBETWEEN(0,ROUND((D770+E770-F770)*0.6,0))</f>
        <v>4</v>
      </c>
      <c r="H770">
        <f t="shared" ref="H770:H833" ca="1" si="89">RANDBETWEEN(0,ROUND((D770+E770-F770-G770)*0.6,0))</f>
        <v>2</v>
      </c>
      <c r="I770">
        <f t="shared" ref="I770:I833" ca="1" si="90">D770+E770-F770-G770-H770</f>
        <v>8</v>
      </c>
      <c r="J770">
        <v>3.5</v>
      </c>
      <c r="K770">
        <v>3</v>
      </c>
      <c r="L770">
        <v>8</v>
      </c>
      <c r="M770" s="3">
        <f t="shared" ca="1" si="86"/>
        <v>45294</v>
      </c>
      <c r="N770" s="3">
        <f t="shared" ca="1" si="86"/>
        <v>45357</v>
      </c>
      <c r="O770" s="3">
        <v>45308</v>
      </c>
    </row>
    <row r="771" spans="1:15" x14ac:dyDescent="0.3">
      <c r="A771" s="3">
        <v>45406</v>
      </c>
      <c r="B771" t="s">
        <v>92</v>
      </c>
      <c r="C771" t="s">
        <v>91</v>
      </c>
      <c r="D771" s="4" cm="1">
        <f t="array" aca="1" ref="D771" ca="1">IFERROR( _xlfn.XLOOKUP(B771, B$2:INDEX(B:B,ROW()-1), I$2:INDEX(I:I,ROW()-1), 0, 0, -1),0)</f>
        <v>2</v>
      </c>
      <c r="E771">
        <v>6</v>
      </c>
      <c r="F771">
        <f t="shared" ca="1" si="87"/>
        <v>5</v>
      </c>
      <c r="G771">
        <f t="shared" ca="1" si="88"/>
        <v>2</v>
      </c>
      <c r="H771">
        <f t="shared" ca="1" si="89"/>
        <v>1</v>
      </c>
      <c r="I771">
        <f t="shared" ca="1" si="90"/>
        <v>0</v>
      </c>
      <c r="J771">
        <v>4.5</v>
      </c>
      <c r="K771">
        <v>4</v>
      </c>
      <c r="L771">
        <v>14</v>
      </c>
      <c r="M771" s="3">
        <f t="shared" ca="1" si="86"/>
        <v>45429</v>
      </c>
      <c r="N771" s="3">
        <f t="shared" ca="1" si="86"/>
        <v>45382</v>
      </c>
      <c r="O771" s="3">
        <v>45375</v>
      </c>
    </row>
    <row r="772" spans="1:15" x14ac:dyDescent="0.3">
      <c r="A772" s="3">
        <v>45406</v>
      </c>
      <c r="B772" t="s">
        <v>84</v>
      </c>
      <c r="C772" t="s">
        <v>101</v>
      </c>
      <c r="D772" s="4" cm="1">
        <f t="array" aca="1" ref="D772" ca="1">IFERROR( _xlfn.XLOOKUP(B772, B$2:INDEX(B:B,ROW()-1), I$2:INDEX(I:I,ROW()-1), 0, 0, -1),0)</f>
        <v>3</v>
      </c>
      <c r="E772">
        <v>8</v>
      </c>
      <c r="F772">
        <f t="shared" ca="1" si="87"/>
        <v>0</v>
      </c>
      <c r="G772">
        <f t="shared" ca="1" si="88"/>
        <v>2</v>
      </c>
      <c r="H772">
        <f t="shared" ca="1" si="89"/>
        <v>2</v>
      </c>
      <c r="I772">
        <f t="shared" ca="1" si="90"/>
        <v>7</v>
      </c>
      <c r="J772">
        <v>3.5</v>
      </c>
      <c r="K772">
        <v>3</v>
      </c>
      <c r="L772">
        <v>8</v>
      </c>
      <c r="M772" s="3">
        <f t="shared" ca="1" si="86"/>
        <v>45373</v>
      </c>
      <c r="N772" s="3">
        <f t="shared" ca="1" si="86"/>
        <v>45436</v>
      </c>
      <c r="O772" s="3">
        <v>45331</v>
      </c>
    </row>
    <row r="773" spans="1:15" x14ac:dyDescent="0.3">
      <c r="A773" s="3">
        <v>45406</v>
      </c>
      <c r="B773" t="s">
        <v>63</v>
      </c>
      <c r="C773" t="s">
        <v>97</v>
      </c>
      <c r="D773" s="4" cm="1">
        <f t="array" aca="1" ref="D773" ca="1">IFERROR( _xlfn.XLOOKUP(B773, B$2:INDEX(B:B,ROW()-1), I$2:INDEX(I:I,ROW()-1), 0, 0, -1),0)</f>
        <v>3</v>
      </c>
      <c r="E773">
        <v>10</v>
      </c>
      <c r="F773">
        <f t="shared" ca="1" si="87"/>
        <v>2</v>
      </c>
      <c r="G773">
        <f t="shared" ca="1" si="88"/>
        <v>1</v>
      </c>
      <c r="H773">
        <f t="shared" ca="1" si="89"/>
        <v>3</v>
      </c>
      <c r="I773">
        <f t="shared" ca="1" si="90"/>
        <v>7</v>
      </c>
      <c r="J773">
        <v>4</v>
      </c>
      <c r="K773">
        <v>3.5</v>
      </c>
      <c r="L773">
        <v>10</v>
      </c>
      <c r="M773" s="3">
        <f t="shared" ca="1" si="86"/>
        <v>45372</v>
      </c>
      <c r="N773" s="3">
        <f t="shared" ca="1" si="86"/>
        <v>45364</v>
      </c>
      <c r="O773" s="3">
        <v>45382</v>
      </c>
    </row>
    <row r="774" spans="1:15" x14ac:dyDescent="0.3">
      <c r="A774" s="3">
        <v>45406</v>
      </c>
      <c r="B774" t="s">
        <v>34</v>
      </c>
      <c r="C774" t="s">
        <v>30</v>
      </c>
      <c r="D774" s="4" cm="1">
        <f t="array" aca="1" ref="D774" ca="1">IFERROR( _xlfn.XLOOKUP(B774, B$2:INDEX(B:B,ROW()-1), I$2:INDEX(I:I,ROW()-1), 0, 0, -1),0)</f>
        <v>3</v>
      </c>
      <c r="E774">
        <v>6</v>
      </c>
      <c r="F774">
        <f t="shared" ca="1" si="87"/>
        <v>2</v>
      </c>
      <c r="G774">
        <f t="shared" ca="1" si="88"/>
        <v>3</v>
      </c>
      <c r="H774">
        <f t="shared" ca="1" si="89"/>
        <v>1</v>
      </c>
      <c r="I774">
        <f t="shared" ca="1" si="90"/>
        <v>3</v>
      </c>
      <c r="J774">
        <v>3.5</v>
      </c>
      <c r="K774">
        <v>3</v>
      </c>
      <c r="L774">
        <v>10</v>
      </c>
      <c r="M774" s="3">
        <f t="shared" ca="1" si="86"/>
        <v>45313</v>
      </c>
      <c r="N774" s="3">
        <f t="shared" ca="1" si="86"/>
        <v>45295</v>
      </c>
      <c r="O774" s="3">
        <v>45374</v>
      </c>
    </row>
    <row r="775" spans="1:15" x14ac:dyDescent="0.3">
      <c r="A775" s="3">
        <v>45406</v>
      </c>
      <c r="B775" t="s">
        <v>71</v>
      </c>
      <c r="C775" t="s">
        <v>47</v>
      </c>
      <c r="D775" s="4" cm="1">
        <f t="array" aca="1" ref="D775" ca="1">IFERROR( _xlfn.XLOOKUP(B775, B$2:INDEX(B:B,ROW()-1), I$2:INDEX(I:I,ROW()-1), 0, 0, -1),0)</f>
        <v>2</v>
      </c>
      <c r="E775">
        <v>6</v>
      </c>
      <c r="F775">
        <f t="shared" ca="1" si="87"/>
        <v>2</v>
      </c>
      <c r="G775">
        <f t="shared" ca="1" si="88"/>
        <v>2</v>
      </c>
      <c r="H775">
        <f t="shared" ca="1" si="89"/>
        <v>2</v>
      </c>
      <c r="I775">
        <f t="shared" ca="1" si="90"/>
        <v>2</v>
      </c>
      <c r="J775">
        <v>4</v>
      </c>
      <c r="K775">
        <v>3</v>
      </c>
      <c r="L775">
        <v>7</v>
      </c>
      <c r="M775" s="3">
        <f t="shared" ca="1" si="86"/>
        <v>45432</v>
      </c>
      <c r="N775" s="3">
        <f t="shared" ca="1" si="86"/>
        <v>45299</v>
      </c>
      <c r="O775" s="3">
        <v>45346</v>
      </c>
    </row>
    <row r="776" spans="1:15" x14ac:dyDescent="0.3">
      <c r="A776" s="3">
        <v>45407</v>
      </c>
      <c r="B776" t="s">
        <v>57</v>
      </c>
      <c r="C776" t="s">
        <v>75</v>
      </c>
      <c r="D776" s="4" cm="1">
        <f t="array" aca="1" ref="D776" ca="1">IFERROR( _xlfn.XLOOKUP(B776, B$2:INDEX(B:B,ROW()-1), I$2:INDEX(I:I,ROW()-1), 0, 0, -1),0)</f>
        <v>4</v>
      </c>
      <c r="E776">
        <v>8</v>
      </c>
      <c r="F776">
        <f t="shared" ca="1" si="87"/>
        <v>7</v>
      </c>
      <c r="G776">
        <f t="shared" ca="1" si="88"/>
        <v>1</v>
      </c>
      <c r="H776">
        <f t="shared" ca="1" si="89"/>
        <v>1</v>
      </c>
      <c r="I776">
        <f t="shared" ca="1" si="90"/>
        <v>3</v>
      </c>
      <c r="J776">
        <v>6</v>
      </c>
      <c r="K776">
        <v>5.5</v>
      </c>
      <c r="L776">
        <v>20</v>
      </c>
      <c r="M776" s="3">
        <f t="shared" ca="1" si="86"/>
        <v>45328</v>
      </c>
      <c r="N776" s="3">
        <f t="shared" ca="1" si="86"/>
        <v>45328</v>
      </c>
      <c r="O776" s="3">
        <v>45348</v>
      </c>
    </row>
    <row r="777" spans="1:15" x14ac:dyDescent="0.3">
      <c r="A777" s="3">
        <v>45407</v>
      </c>
      <c r="B777" t="s">
        <v>24</v>
      </c>
      <c r="C777" t="s">
        <v>29</v>
      </c>
      <c r="D777" s="4" cm="1">
        <f t="array" aca="1" ref="D777" ca="1">IFERROR( _xlfn.XLOOKUP(B777, B$2:INDEX(B:B,ROW()-1), I$2:INDEX(I:I,ROW()-1), 0, 0, -1),0)</f>
        <v>4</v>
      </c>
      <c r="E777">
        <v>8</v>
      </c>
      <c r="F777">
        <f t="shared" ca="1" si="87"/>
        <v>3</v>
      </c>
      <c r="G777">
        <f t="shared" ca="1" si="88"/>
        <v>0</v>
      </c>
      <c r="H777">
        <f t="shared" ca="1" si="89"/>
        <v>2</v>
      </c>
      <c r="I777">
        <f t="shared" ca="1" si="90"/>
        <v>7</v>
      </c>
      <c r="J777">
        <v>7.5</v>
      </c>
      <c r="K777">
        <v>5.5</v>
      </c>
      <c r="L777">
        <v>7</v>
      </c>
      <c r="M777" s="3">
        <f t="shared" ca="1" si="86"/>
        <v>45429</v>
      </c>
      <c r="N777" s="3">
        <f t="shared" ca="1" si="86"/>
        <v>45308</v>
      </c>
      <c r="O777" s="3">
        <v>45385</v>
      </c>
    </row>
    <row r="778" spans="1:15" x14ac:dyDescent="0.3">
      <c r="A778" s="3">
        <v>45407</v>
      </c>
      <c r="B778" t="s">
        <v>84</v>
      </c>
      <c r="C778" t="s">
        <v>101</v>
      </c>
      <c r="D778" s="4" cm="1">
        <f t="array" aca="1" ref="D778" ca="1">IFERROR( _xlfn.XLOOKUP(B778, B$2:INDEX(B:B,ROW()-1), I$2:INDEX(I:I,ROW()-1), 0, 0, -1),0)</f>
        <v>7</v>
      </c>
      <c r="E778">
        <v>8</v>
      </c>
      <c r="F778">
        <f t="shared" ca="1" si="87"/>
        <v>7</v>
      </c>
      <c r="G778">
        <f t="shared" ca="1" si="88"/>
        <v>5</v>
      </c>
      <c r="H778">
        <f t="shared" ca="1" si="89"/>
        <v>2</v>
      </c>
      <c r="I778">
        <f t="shared" ca="1" si="90"/>
        <v>1</v>
      </c>
      <c r="J778">
        <v>3.5</v>
      </c>
      <c r="K778">
        <v>3</v>
      </c>
      <c r="L778">
        <v>8</v>
      </c>
      <c r="M778" s="3">
        <f t="shared" ca="1" si="86"/>
        <v>45318</v>
      </c>
      <c r="N778" s="3">
        <f t="shared" ca="1" si="86"/>
        <v>45369</v>
      </c>
      <c r="O778" s="3">
        <v>45419</v>
      </c>
    </row>
    <row r="779" spans="1:15" x14ac:dyDescent="0.3">
      <c r="A779" s="3">
        <v>45407</v>
      </c>
      <c r="B779" t="s">
        <v>19</v>
      </c>
      <c r="C779" t="s">
        <v>17</v>
      </c>
      <c r="D779" s="4" cm="1">
        <f t="array" aca="1" ref="D779" ca="1">IFERROR( _xlfn.XLOOKUP(B779, B$2:INDEX(B:B,ROW()-1), I$2:INDEX(I:I,ROW()-1), 0, 0, -1),0)</f>
        <v>7</v>
      </c>
      <c r="E779">
        <v>10</v>
      </c>
      <c r="F779">
        <f t="shared" ca="1" si="87"/>
        <v>0</v>
      </c>
      <c r="G779">
        <f t="shared" ca="1" si="88"/>
        <v>7</v>
      </c>
      <c r="H779">
        <f t="shared" ca="1" si="89"/>
        <v>6</v>
      </c>
      <c r="I779">
        <f t="shared" ca="1" si="90"/>
        <v>4</v>
      </c>
      <c r="J779">
        <v>4.5</v>
      </c>
      <c r="K779">
        <v>4</v>
      </c>
      <c r="L779">
        <v>10</v>
      </c>
      <c r="M779" s="3">
        <f t="shared" ca="1" si="86"/>
        <v>45325</v>
      </c>
      <c r="N779" s="3">
        <f t="shared" ca="1" si="86"/>
        <v>45324</v>
      </c>
      <c r="O779" s="3">
        <v>45375</v>
      </c>
    </row>
    <row r="780" spans="1:15" x14ac:dyDescent="0.3">
      <c r="A780" s="3">
        <v>45407</v>
      </c>
      <c r="B780" t="s">
        <v>40</v>
      </c>
      <c r="C780" t="s">
        <v>85</v>
      </c>
      <c r="D780" s="4" cm="1">
        <f t="array" aca="1" ref="D780" ca="1">IFERROR( _xlfn.XLOOKUP(B780, B$2:INDEX(B:B,ROW()-1), I$2:INDEX(I:I,ROW()-1), 0, 0, -1),0)</f>
        <v>6</v>
      </c>
      <c r="E780">
        <v>15</v>
      </c>
      <c r="F780">
        <f t="shared" ca="1" si="87"/>
        <v>7</v>
      </c>
      <c r="G780">
        <f t="shared" ca="1" si="88"/>
        <v>8</v>
      </c>
      <c r="H780">
        <f t="shared" ca="1" si="89"/>
        <v>4</v>
      </c>
      <c r="I780">
        <f t="shared" ca="1" si="90"/>
        <v>2</v>
      </c>
      <c r="J780">
        <v>3</v>
      </c>
      <c r="K780">
        <v>2.5</v>
      </c>
      <c r="L780">
        <v>14</v>
      </c>
      <c r="M780" s="3">
        <f t="shared" ca="1" si="86"/>
        <v>45327</v>
      </c>
      <c r="N780" s="3">
        <f t="shared" ca="1" si="86"/>
        <v>45377</v>
      </c>
      <c r="O780" s="3">
        <v>45397</v>
      </c>
    </row>
    <row r="781" spans="1:15" x14ac:dyDescent="0.3">
      <c r="A781" s="3">
        <v>45407</v>
      </c>
      <c r="B781" t="s">
        <v>81</v>
      </c>
      <c r="C781" t="s">
        <v>50</v>
      </c>
      <c r="D781" s="4" cm="1">
        <f t="array" aca="1" ref="D781" ca="1">IFERROR( _xlfn.XLOOKUP(B781, B$2:INDEX(B:B,ROW()-1), I$2:INDEX(I:I,ROW()-1), 0, 0, -1),0)</f>
        <v>5</v>
      </c>
      <c r="E781">
        <v>8</v>
      </c>
      <c r="F781">
        <f t="shared" ca="1" si="87"/>
        <v>1</v>
      </c>
      <c r="G781">
        <f t="shared" ca="1" si="88"/>
        <v>1</v>
      </c>
      <c r="H781">
        <f t="shared" ca="1" si="89"/>
        <v>1</v>
      </c>
      <c r="I781">
        <f t="shared" ca="1" si="90"/>
        <v>10</v>
      </c>
      <c r="J781">
        <v>2.5</v>
      </c>
      <c r="K781">
        <v>2</v>
      </c>
      <c r="L781">
        <v>5</v>
      </c>
      <c r="M781" s="3">
        <f t="shared" ca="1" si="86"/>
        <v>45410</v>
      </c>
      <c r="N781" s="3">
        <f t="shared" ca="1" si="86"/>
        <v>45433</v>
      </c>
      <c r="O781" s="3">
        <v>45363</v>
      </c>
    </row>
    <row r="782" spans="1:15" x14ac:dyDescent="0.3">
      <c r="A782" s="3">
        <v>45408</v>
      </c>
      <c r="B782" t="s">
        <v>92</v>
      </c>
      <c r="C782" t="s">
        <v>91</v>
      </c>
      <c r="D782" s="4" cm="1">
        <f t="array" aca="1" ref="D782" ca="1">IFERROR( _xlfn.XLOOKUP(B782, B$2:INDEX(B:B,ROW()-1), I$2:INDEX(I:I,ROW()-1), 0, 0, -1),0)</f>
        <v>0</v>
      </c>
      <c r="E782">
        <v>6</v>
      </c>
      <c r="F782">
        <f t="shared" ca="1" si="87"/>
        <v>3</v>
      </c>
      <c r="G782">
        <f t="shared" ca="1" si="88"/>
        <v>1</v>
      </c>
      <c r="H782">
        <f t="shared" ca="1" si="89"/>
        <v>1</v>
      </c>
      <c r="I782">
        <f t="shared" ca="1" si="90"/>
        <v>1</v>
      </c>
      <c r="J782">
        <v>4.5</v>
      </c>
      <c r="K782">
        <v>4</v>
      </c>
      <c r="L782">
        <v>14</v>
      </c>
      <c r="M782" s="3">
        <f t="shared" ref="M782:N801" ca="1" si="91">DATE(2024,1,1) + RANDBETWEEN(0, DATE(2024,5,25) - DATE(2024,1,1))</f>
        <v>45403</v>
      </c>
      <c r="N782" s="3">
        <f t="shared" ca="1" si="91"/>
        <v>45306</v>
      </c>
      <c r="O782" s="3">
        <v>45304</v>
      </c>
    </row>
    <row r="783" spans="1:15" x14ac:dyDescent="0.3">
      <c r="A783" s="3">
        <v>45408</v>
      </c>
      <c r="B783" t="s">
        <v>82</v>
      </c>
      <c r="C783" t="s">
        <v>73</v>
      </c>
      <c r="D783" s="4" cm="1">
        <f t="array" aca="1" ref="D783" ca="1">IFERROR( _xlfn.XLOOKUP(B783, B$2:INDEX(B:B,ROW()-1), I$2:INDEX(I:I,ROW()-1), 0, 0, -1),0)</f>
        <v>4</v>
      </c>
      <c r="E783">
        <v>8</v>
      </c>
      <c r="F783">
        <f t="shared" ca="1" si="87"/>
        <v>6</v>
      </c>
      <c r="G783">
        <f t="shared" ca="1" si="88"/>
        <v>3</v>
      </c>
      <c r="H783">
        <f t="shared" ca="1" si="89"/>
        <v>1</v>
      </c>
      <c r="I783">
        <f t="shared" ca="1" si="90"/>
        <v>2</v>
      </c>
      <c r="J783">
        <v>2.5</v>
      </c>
      <c r="K783">
        <v>2</v>
      </c>
      <c r="L783">
        <v>5</v>
      </c>
      <c r="M783" s="3">
        <f t="shared" ca="1" si="91"/>
        <v>45399</v>
      </c>
      <c r="N783" s="3">
        <f t="shared" ca="1" si="91"/>
        <v>45383</v>
      </c>
      <c r="O783" s="3">
        <v>45294</v>
      </c>
    </row>
    <row r="784" spans="1:15" x14ac:dyDescent="0.3">
      <c r="A784" s="3">
        <v>45408</v>
      </c>
      <c r="B784" t="s">
        <v>69</v>
      </c>
      <c r="C784" t="s">
        <v>98</v>
      </c>
      <c r="D784" s="4" cm="1">
        <f t="array" aca="1" ref="D784" ca="1">IFERROR( _xlfn.XLOOKUP(B784, B$2:INDEX(B:B,ROW()-1), I$2:INDEX(I:I,ROW()-1), 0, 0, -1),0)</f>
        <v>3</v>
      </c>
      <c r="E784">
        <v>6</v>
      </c>
      <c r="F784">
        <f t="shared" ca="1" si="87"/>
        <v>0</v>
      </c>
      <c r="G784">
        <f t="shared" ca="1" si="88"/>
        <v>5</v>
      </c>
      <c r="H784">
        <f t="shared" ca="1" si="89"/>
        <v>1</v>
      </c>
      <c r="I784">
        <f t="shared" ca="1" si="90"/>
        <v>3</v>
      </c>
      <c r="J784">
        <v>4</v>
      </c>
      <c r="K784">
        <v>3</v>
      </c>
      <c r="L784">
        <v>7</v>
      </c>
      <c r="M784" s="3">
        <f t="shared" ca="1" si="91"/>
        <v>45299</v>
      </c>
      <c r="N784" s="3">
        <f t="shared" ca="1" si="91"/>
        <v>45391</v>
      </c>
      <c r="O784" s="3">
        <v>45311</v>
      </c>
    </row>
    <row r="785" spans="1:15" x14ac:dyDescent="0.3">
      <c r="A785" s="3">
        <v>45408</v>
      </c>
      <c r="B785" t="s">
        <v>39</v>
      </c>
      <c r="C785" t="s">
        <v>32</v>
      </c>
      <c r="D785" s="4" cm="1">
        <f t="array" aca="1" ref="D785" ca="1">IFERROR( _xlfn.XLOOKUP(B785, B$2:INDEX(B:B,ROW()-1), I$2:INDEX(I:I,ROW()-1), 0, 0, -1),0)</f>
        <v>11</v>
      </c>
      <c r="E785">
        <v>12</v>
      </c>
      <c r="F785">
        <f t="shared" ca="1" si="87"/>
        <v>11</v>
      </c>
      <c r="G785">
        <f t="shared" ca="1" si="88"/>
        <v>6</v>
      </c>
      <c r="H785">
        <f t="shared" ca="1" si="89"/>
        <v>4</v>
      </c>
      <c r="I785">
        <f t="shared" ca="1" si="90"/>
        <v>2</v>
      </c>
      <c r="J785">
        <v>3.5</v>
      </c>
      <c r="K785">
        <v>3</v>
      </c>
      <c r="L785">
        <v>14</v>
      </c>
      <c r="M785" s="3">
        <f t="shared" ca="1" si="91"/>
        <v>45348</v>
      </c>
      <c r="N785" s="3">
        <f t="shared" ca="1" si="91"/>
        <v>45342</v>
      </c>
      <c r="O785" s="3">
        <v>45401</v>
      </c>
    </row>
    <row r="786" spans="1:15" x14ac:dyDescent="0.3">
      <c r="A786" s="3">
        <v>45409</v>
      </c>
      <c r="B786" t="s">
        <v>78</v>
      </c>
      <c r="C786" t="s">
        <v>74</v>
      </c>
      <c r="D786" s="4" cm="1">
        <f t="array" aca="1" ref="D786" ca="1">IFERROR( _xlfn.XLOOKUP(B786, B$2:INDEX(B:B,ROW()-1), I$2:INDEX(I:I,ROW()-1), 0, 0, -1),0)</f>
        <v>4</v>
      </c>
      <c r="E786">
        <v>6</v>
      </c>
      <c r="F786">
        <f t="shared" ca="1" si="87"/>
        <v>3</v>
      </c>
      <c r="G786">
        <f t="shared" ca="1" si="88"/>
        <v>3</v>
      </c>
      <c r="H786">
        <f t="shared" ca="1" si="89"/>
        <v>1</v>
      </c>
      <c r="I786">
        <f t="shared" ca="1" si="90"/>
        <v>3</v>
      </c>
      <c r="J786">
        <v>4</v>
      </c>
      <c r="K786">
        <v>3</v>
      </c>
      <c r="L786">
        <v>7</v>
      </c>
      <c r="M786" s="3">
        <f t="shared" ca="1" si="91"/>
        <v>45424</v>
      </c>
      <c r="N786" s="3">
        <f t="shared" ca="1" si="91"/>
        <v>45367</v>
      </c>
      <c r="O786" s="3">
        <v>45326</v>
      </c>
    </row>
    <row r="787" spans="1:15" x14ac:dyDescent="0.3">
      <c r="A787" s="3">
        <v>45409</v>
      </c>
      <c r="B787" t="s">
        <v>82</v>
      </c>
      <c r="C787" t="s">
        <v>73</v>
      </c>
      <c r="D787" s="4" cm="1">
        <f t="array" aca="1" ref="D787" ca="1">IFERROR( _xlfn.XLOOKUP(B787, B$2:INDEX(B:B,ROW()-1), I$2:INDEX(I:I,ROW()-1), 0, 0, -1),0)</f>
        <v>2</v>
      </c>
      <c r="E787">
        <v>8</v>
      </c>
      <c r="F787">
        <f t="shared" ca="1" si="87"/>
        <v>1</v>
      </c>
      <c r="G787">
        <f t="shared" ca="1" si="88"/>
        <v>2</v>
      </c>
      <c r="H787">
        <f t="shared" ca="1" si="89"/>
        <v>1</v>
      </c>
      <c r="I787">
        <f t="shared" ca="1" si="90"/>
        <v>6</v>
      </c>
      <c r="J787">
        <v>2.5</v>
      </c>
      <c r="K787">
        <v>2</v>
      </c>
      <c r="L787">
        <v>5</v>
      </c>
      <c r="M787" s="3">
        <f t="shared" ca="1" si="91"/>
        <v>45433</v>
      </c>
      <c r="N787" s="3">
        <f t="shared" ca="1" si="91"/>
        <v>45430</v>
      </c>
      <c r="O787" s="3">
        <v>45361</v>
      </c>
    </row>
    <row r="788" spans="1:15" x14ac:dyDescent="0.3">
      <c r="A788" s="3">
        <v>45409</v>
      </c>
      <c r="B788" t="s">
        <v>88</v>
      </c>
      <c r="C788" t="s">
        <v>102</v>
      </c>
      <c r="D788" s="4" cm="1">
        <f t="array" aca="1" ref="D788" ca="1">IFERROR( _xlfn.XLOOKUP(B788, B$2:INDEX(B:B,ROW()-1), I$2:INDEX(I:I,ROW()-1), 0, 0, -1),0)</f>
        <v>6</v>
      </c>
      <c r="E788">
        <v>8</v>
      </c>
      <c r="F788">
        <f t="shared" ca="1" si="87"/>
        <v>1</v>
      </c>
      <c r="G788">
        <f t="shared" ca="1" si="88"/>
        <v>7</v>
      </c>
      <c r="H788">
        <f t="shared" ca="1" si="89"/>
        <v>4</v>
      </c>
      <c r="I788">
        <f t="shared" ca="1" si="90"/>
        <v>2</v>
      </c>
      <c r="J788">
        <v>3.5</v>
      </c>
      <c r="K788">
        <v>3</v>
      </c>
      <c r="L788">
        <v>8</v>
      </c>
      <c r="M788" s="3">
        <f t="shared" ca="1" si="91"/>
        <v>45305</v>
      </c>
      <c r="N788" s="3">
        <f t="shared" ca="1" si="91"/>
        <v>45325</v>
      </c>
      <c r="O788" s="3">
        <v>45334</v>
      </c>
    </row>
    <row r="789" spans="1:15" x14ac:dyDescent="0.3">
      <c r="A789" s="3">
        <v>45409</v>
      </c>
      <c r="B789" t="s">
        <v>92</v>
      </c>
      <c r="C789" t="s">
        <v>91</v>
      </c>
      <c r="D789" s="4" cm="1">
        <f t="array" aca="1" ref="D789" ca="1">IFERROR( _xlfn.XLOOKUP(B789, B$2:INDEX(B:B,ROW()-1), I$2:INDEX(I:I,ROW()-1), 0, 0, -1),0)</f>
        <v>1</v>
      </c>
      <c r="E789">
        <v>6</v>
      </c>
      <c r="F789">
        <f t="shared" ca="1" si="87"/>
        <v>2</v>
      </c>
      <c r="G789">
        <f t="shared" ca="1" si="88"/>
        <v>1</v>
      </c>
      <c r="H789">
        <f t="shared" ca="1" si="89"/>
        <v>1</v>
      </c>
      <c r="I789">
        <f t="shared" ca="1" si="90"/>
        <v>3</v>
      </c>
      <c r="J789">
        <v>4.5</v>
      </c>
      <c r="K789">
        <v>4</v>
      </c>
      <c r="L789">
        <v>14</v>
      </c>
      <c r="M789" s="3">
        <f t="shared" ca="1" si="91"/>
        <v>45360</v>
      </c>
      <c r="N789" s="3">
        <f t="shared" ca="1" si="91"/>
        <v>45400</v>
      </c>
      <c r="O789" s="3">
        <v>45416</v>
      </c>
    </row>
    <row r="790" spans="1:15" x14ac:dyDescent="0.3">
      <c r="A790" s="3">
        <v>45409</v>
      </c>
      <c r="B790" t="s">
        <v>40</v>
      </c>
      <c r="C790" t="s">
        <v>85</v>
      </c>
      <c r="D790" s="4" cm="1">
        <f t="array" aca="1" ref="D790" ca="1">IFERROR( _xlfn.XLOOKUP(B790, B$2:INDEX(B:B,ROW()-1), I$2:INDEX(I:I,ROW()-1), 0, 0, -1),0)</f>
        <v>2</v>
      </c>
      <c r="E790">
        <v>15</v>
      </c>
      <c r="F790">
        <f t="shared" ca="1" si="87"/>
        <v>5</v>
      </c>
      <c r="G790">
        <f t="shared" ca="1" si="88"/>
        <v>3</v>
      </c>
      <c r="H790">
        <f t="shared" ca="1" si="89"/>
        <v>1</v>
      </c>
      <c r="I790">
        <f t="shared" ca="1" si="90"/>
        <v>8</v>
      </c>
      <c r="J790">
        <v>3</v>
      </c>
      <c r="K790">
        <v>2.5</v>
      </c>
      <c r="L790">
        <v>14</v>
      </c>
      <c r="M790" s="3">
        <f t="shared" ca="1" si="91"/>
        <v>45432</v>
      </c>
      <c r="N790" s="3">
        <f t="shared" ca="1" si="91"/>
        <v>45348</v>
      </c>
      <c r="O790" s="3">
        <v>45330</v>
      </c>
    </row>
    <row r="791" spans="1:15" x14ac:dyDescent="0.3">
      <c r="A791" s="3">
        <v>45410</v>
      </c>
      <c r="B791" t="s">
        <v>20</v>
      </c>
      <c r="C791" t="s">
        <v>25</v>
      </c>
      <c r="D791" s="4" cm="1">
        <f t="array" aca="1" ref="D791" ca="1">IFERROR( _xlfn.XLOOKUP(B791, B$2:INDEX(B:B,ROW()-1), I$2:INDEX(I:I,ROW()-1), 0, 0, -1),0)</f>
        <v>4</v>
      </c>
      <c r="E791">
        <v>10</v>
      </c>
      <c r="F791">
        <f t="shared" ca="1" si="87"/>
        <v>0</v>
      </c>
      <c r="G791">
        <f t="shared" ca="1" si="88"/>
        <v>6</v>
      </c>
      <c r="H791">
        <f t="shared" ca="1" si="89"/>
        <v>2</v>
      </c>
      <c r="I791">
        <f t="shared" ca="1" si="90"/>
        <v>6</v>
      </c>
      <c r="J791">
        <v>4.5</v>
      </c>
      <c r="K791">
        <v>4</v>
      </c>
      <c r="L791">
        <v>10</v>
      </c>
      <c r="M791" s="3">
        <f t="shared" ca="1" si="91"/>
        <v>45322</v>
      </c>
      <c r="N791" s="3">
        <f t="shared" ca="1" si="91"/>
        <v>45420</v>
      </c>
      <c r="O791" s="3">
        <v>45413</v>
      </c>
    </row>
    <row r="792" spans="1:15" x14ac:dyDescent="0.3">
      <c r="A792" s="3">
        <v>45410</v>
      </c>
      <c r="B792" t="s">
        <v>82</v>
      </c>
      <c r="C792" t="s">
        <v>73</v>
      </c>
      <c r="D792" s="4" cm="1">
        <f t="array" aca="1" ref="D792" ca="1">IFERROR( _xlfn.XLOOKUP(B792, B$2:INDEX(B:B,ROW()-1), I$2:INDEX(I:I,ROW()-1), 0, 0, -1),0)</f>
        <v>6</v>
      </c>
      <c r="E792">
        <v>8</v>
      </c>
      <c r="F792">
        <f t="shared" ca="1" si="87"/>
        <v>7</v>
      </c>
      <c r="G792">
        <f t="shared" ca="1" si="88"/>
        <v>2</v>
      </c>
      <c r="H792">
        <f t="shared" ca="1" si="89"/>
        <v>0</v>
      </c>
      <c r="I792">
        <f t="shared" ca="1" si="90"/>
        <v>5</v>
      </c>
      <c r="J792">
        <v>2.5</v>
      </c>
      <c r="K792">
        <v>2</v>
      </c>
      <c r="L792">
        <v>5</v>
      </c>
      <c r="M792" s="3">
        <f t="shared" ca="1" si="91"/>
        <v>45373</v>
      </c>
      <c r="N792" s="3">
        <f t="shared" ca="1" si="91"/>
        <v>45406</v>
      </c>
      <c r="O792" s="3">
        <v>45349</v>
      </c>
    </row>
    <row r="793" spans="1:15" x14ac:dyDescent="0.3">
      <c r="A793" s="3">
        <v>45410</v>
      </c>
      <c r="B793" t="s">
        <v>63</v>
      </c>
      <c r="C793" t="s">
        <v>97</v>
      </c>
      <c r="D793" s="4" cm="1">
        <f t="array" aca="1" ref="D793" ca="1">IFERROR( _xlfn.XLOOKUP(B793, B$2:INDEX(B:B,ROW()-1), I$2:INDEX(I:I,ROW()-1), 0, 0, -1),0)</f>
        <v>7</v>
      </c>
      <c r="E793">
        <v>10</v>
      </c>
      <c r="F793">
        <f t="shared" ca="1" si="87"/>
        <v>6</v>
      </c>
      <c r="G793">
        <f t="shared" ca="1" si="88"/>
        <v>2</v>
      </c>
      <c r="H793">
        <f t="shared" ca="1" si="89"/>
        <v>4</v>
      </c>
      <c r="I793">
        <f t="shared" ca="1" si="90"/>
        <v>5</v>
      </c>
      <c r="J793">
        <v>4</v>
      </c>
      <c r="K793">
        <v>3.5</v>
      </c>
      <c r="L793">
        <v>10</v>
      </c>
      <c r="M793" s="3">
        <f t="shared" ca="1" si="91"/>
        <v>45396</v>
      </c>
      <c r="N793" s="3">
        <f t="shared" ca="1" si="91"/>
        <v>45354</v>
      </c>
      <c r="O793" s="3">
        <v>45429</v>
      </c>
    </row>
    <row r="794" spans="1:15" x14ac:dyDescent="0.3">
      <c r="A794" s="3">
        <v>45410</v>
      </c>
      <c r="B794" t="s">
        <v>81</v>
      </c>
      <c r="C794" t="s">
        <v>50</v>
      </c>
      <c r="D794" s="4" cm="1">
        <f t="array" aca="1" ref="D794" ca="1">IFERROR( _xlfn.XLOOKUP(B794, B$2:INDEX(B:B,ROW()-1), I$2:INDEX(I:I,ROW()-1), 0, 0, -1),0)</f>
        <v>10</v>
      </c>
      <c r="E794">
        <v>8</v>
      </c>
      <c r="F794">
        <f t="shared" ca="1" si="87"/>
        <v>3</v>
      </c>
      <c r="G794">
        <f t="shared" ca="1" si="88"/>
        <v>1</v>
      </c>
      <c r="H794">
        <f t="shared" ca="1" si="89"/>
        <v>2</v>
      </c>
      <c r="I794">
        <f t="shared" ca="1" si="90"/>
        <v>12</v>
      </c>
      <c r="J794">
        <v>2.5</v>
      </c>
      <c r="K794">
        <v>2</v>
      </c>
      <c r="L794">
        <v>5</v>
      </c>
      <c r="M794" s="3">
        <f t="shared" ca="1" si="91"/>
        <v>45331</v>
      </c>
      <c r="N794" s="3">
        <f t="shared" ca="1" si="91"/>
        <v>45316</v>
      </c>
      <c r="O794" s="3">
        <v>45365</v>
      </c>
    </row>
    <row r="795" spans="1:15" x14ac:dyDescent="0.3">
      <c r="A795" s="3">
        <v>45410</v>
      </c>
      <c r="B795" t="s">
        <v>83</v>
      </c>
      <c r="C795" t="s">
        <v>100</v>
      </c>
      <c r="D795" s="4" cm="1">
        <f t="array" aca="1" ref="D795" ca="1">IFERROR( _xlfn.XLOOKUP(B795, B$2:INDEX(B:B,ROW()-1), I$2:INDEX(I:I,ROW()-1), 0, 0, -1),0)</f>
        <v>7</v>
      </c>
      <c r="E795">
        <v>10</v>
      </c>
      <c r="F795">
        <f t="shared" ca="1" si="87"/>
        <v>8</v>
      </c>
      <c r="G795">
        <f t="shared" ca="1" si="88"/>
        <v>1</v>
      </c>
      <c r="H795">
        <f t="shared" ca="1" si="89"/>
        <v>2</v>
      </c>
      <c r="I795">
        <f t="shared" ca="1" si="90"/>
        <v>6</v>
      </c>
      <c r="J795">
        <v>4.5</v>
      </c>
      <c r="K795">
        <v>4</v>
      </c>
      <c r="L795">
        <v>10</v>
      </c>
      <c r="M795" s="3">
        <f t="shared" ca="1" si="91"/>
        <v>45391</v>
      </c>
      <c r="N795" s="3">
        <f t="shared" ca="1" si="91"/>
        <v>45395</v>
      </c>
      <c r="O795" s="3">
        <v>45338</v>
      </c>
    </row>
    <row r="796" spans="1:15" x14ac:dyDescent="0.3">
      <c r="A796" s="3">
        <v>45410</v>
      </c>
      <c r="B796" t="s">
        <v>23</v>
      </c>
      <c r="C796" t="s">
        <v>28</v>
      </c>
      <c r="D796" s="4" cm="1">
        <f t="array" aca="1" ref="D796" ca="1">IFERROR( _xlfn.XLOOKUP(B796, B$2:INDEX(B:B,ROW()-1), I$2:INDEX(I:I,ROW()-1), 0, 0, -1),0)</f>
        <v>5</v>
      </c>
      <c r="E796">
        <v>9</v>
      </c>
      <c r="F796">
        <f t="shared" ca="1" si="87"/>
        <v>1</v>
      </c>
      <c r="G796">
        <f t="shared" ca="1" si="88"/>
        <v>2</v>
      </c>
      <c r="H796">
        <f t="shared" ca="1" si="89"/>
        <v>7</v>
      </c>
      <c r="I796">
        <f t="shared" ca="1" si="90"/>
        <v>4</v>
      </c>
      <c r="J796">
        <v>6.5</v>
      </c>
      <c r="K796">
        <v>5.5</v>
      </c>
      <c r="L796">
        <v>9</v>
      </c>
      <c r="M796" s="3">
        <f t="shared" ca="1" si="91"/>
        <v>45343</v>
      </c>
      <c r="N796" s="3">
        <f t="shared" ca="1" si="91"/>
        <v>45403</v>
      </c>
      <c r="O796" s="3">
        <v>45334</v>
      </c>
    </row>
    <row r="797" spans="1:15" x14ac:dyDescent="0.3">
      <c r="A797" s="3">
        <v>45410</v>
      </c>
      <c r="B797" t="s">
        <v>41</v>
      </c>
      <c r="C797" t="s">
        <v>86</v>
      </c>
      <c r="D797" s="4" cm="1">
        <f t="array" aca="1" ref="D797" ca="1">IFERROR( _xlfn.XLOOKUP(B797, B$2:INDEX(B:B,ROW()-1), I$2:INDEX(I:I,ROW()-1), 0, 0, -1),0)</f>
        <v>3</v>
      </c>
      <c r="E797">
        <v>15</v>
      </c>
      <c r="F797">
        <f t="shared" ca="1" si="87"/>
        <v>3</v>
      </c>
      <c r="G797">
        <f t="shared" ca="1" si="88"/>
        <v>2</v>
      </c>
      <c r="H797">
        <f t="shared" ca="1" si="89"/>
        <v>8</v>
      </c>
      <c r="I797">
        <f t="shared" ca="1" si="90"/>
        <v>5</v>
      </c>
      <c r="J797">
        <v>3</v>
      </c>
      <c r="K797">
        <v>2.5</v>
      </c>
      <c r="L797">
        <v>14</v>
      </c>
      <c r="M797" s="3">
        <f t="shared" ca="1" si="91"/>
        <v>45399</v>
      </c>
      <c r="N797" s="3">
        <f t="shared" ca="1" si="91"/>
        <v>45299</v>
      </c>
      <c r="O797" s="3">
        <v>45331</v>
      </c>
    </row>
    <row r="798" spans="1:15" x14ac:dyDescent="0.3">
      <c r="A798" s="3">
        <v>45410</v>
      </c>
      <c r="B798" t="s">
        <v>23</v>
      </c>
      <c r="C798" t="s">
        <v>28</v>
      </c>
      <c r="D798" s="4" cm="1">
        <f t="array" aca="1" ref="D798" ca="1">IFERROR( _xlfn.XLOOKUP(B798, B$2:INDEX(B:B,ROW()-1), I$2:INDEX(I:I,ROW()-1), 0, 0, -1),0)</f>
        <v>4</v>
      </c>
      <c r="E798">
        <v>9</v>
      </c>
      <c r="F798">
        <f t="shared" ca="1" si="87"/>
        <v>7</v>
      </c>
      <c r="G798">
        <f t="shared" ca="1" si="88"/>
        <v>3</v>
      </c>
      <c r="H798">
        <f t="shared" ca="1" si="89"/>
        <v>2</v>
      </c>
      <c r="I798">
        <f t="shared" ca="1" si="90"/>
        <v>1</v>
      </c>
      <c r="J798">
        <v>6.5</v>
      </c>
      <c r="K798">
        <v>5.5</v>
      </c>
      <c r="L798">
        <v>9</v>
      </c>
      <c r="M798" s="3">
        <f t="shared" ca="1" si="91"/>
        <v>45317</v>
      </c>
      <c r="N798" s="3">
        <f t="shared" ca="1" si="91"/>
        <v>45427</v>
      </c>
      <c r="O798" s="3">
        <v>45301</v>
      </c>
    </row>
    <row r="799" spans="1:15" x14ac:dyDescent="0.3">
      <c r="A799" s="3">
        <v>45411</v>
      </c>
      <c r="B799" t="s">
        <v>84</v>
      </c>
      <c r="C799" t="s">
        <v>101</v>
      </c>
      <c r="D799" s="4" cm="1">
        <f t="array" aca="1" ref="D799" ca="1">IFERROR( _xlfn.XLOOKUP(B799, B$2:INDEX(B:B,ROW()-1), I$2:INDEX(I:I,ROW()-1), 0, 0, -1),0)</f>
        <v>1</v>
      </c>
      <c r="E799">
        <v>8</v>
      </c>
      <c r="F799">
        <f t="shared" ca="1" si="87"/>
        <v>2</v>
      </c>
      <c r="G799">
        <f t="shared" ca="1" si="88"/>
        <v>2</v>
      </c>
      <c r="H799">
        <f t="shared" ca="1" si="89"/>
        <v>3</v>
      </c>
      <c r="I799">
        <f t="shared" ca="1" si="90"/>
        <v>2</v>
      </c>
      <c r="J799">
        <v>3.5</v>
      </c>
      <c r="K799">
        <v>3</v>
      </c>
      <c r="L799">
        <v>8</v>
      </c>
      <c r="M799" s="3">
        <f t="shared" ca="1" si="91"/>
        <v>45365</v>
      </c>
      <c r="N799" s="3">
        <f t="shared" ca="1" si="91"/>
        <v>45318</v>
      </c>
      <c r="O799" s="3">
        <v>45350</v>
      </c>
    </row>
    <row r="800" spans="1:15" x14ac:dyDescent="0.3">
      <c r="A800" s="3">
        <v>45411</v>
      </c>
      <c r="B800" t="s">
        <v>81</v>
      </c>
      <c r="C800" t="s">
        <v>50</v>
      </c>
      <c r="D800" s="4" cm="1">
        <f t="array" aca="1" ref="D800" ca="1">IFERROR( _xlfn.XLOOKUP(B800, B$2:INDEX(B:B,ROW()-1), I$2:INDEX(I:I,ROW()-1), 0, 0, -1),0)</f>
        <v>12</v>
      </c>
      <c r="E800">
        <v>8</v>
      </c>
      <c r="F800">
        <f t="shared" ca="1" si="87"/>
        <v>3</v>
      </c>
      <c r="G800">
        <f t="shared" ca="1" si="88"/>
        <v>9</v>
      </c>
      <c r="H800">
        <f t="shared" ca="1" si="89"/>
        <v>0</v>
      </c>
      <c r="I800">
        <f t="shared" ca="1" si="90"/>
        <v>8</v>
      </c>
      <c r="J800">
        <v>2.5</v>
      </c>
      <c r="K800">
        <v>2</v>
      </c>
      <c r="L800">
        <v>5</v>
      </c>
      <c r="M800" s="3">
        <f t="shared" ca="1" si="91"/>
        <v>45405</v>
      </c>
      <c r="N800" s="3">
        <f t="shared" ca="1" si="91"/>
        <v>45430</v>
      </c>
      <c r="O800" s="3">
        <v>45413</v>
      </c>
    </row>
    <row r="801" spans="1:15" x14ac:dyDescent="0.3">
      <c r="A801" s="3">
        <v>45411</v>
      </c>
      <c r="B801" t="s">
        <v>24</v>
      </c>
      <c r="C801" t="s">
        <v>29</v>
      </c>
      <c r="D801" s="4" cm="1">
        <f t="array" aca="1" ref="D801" ca="1">IFERROR( _xlfn.XLOOKUP(B801, B$2:INDEX(B:B,ROW()-1), I$2:INDEX(I:I,ROW()-1), 0, 0, -1),0)</f>
        <v>7</v>
      </c>
      <c r="E801">
        <v>8</v>
      </c>
      <c r="F801">
        <f t="shared" ca="1" si="87"/>
        <v>2</v>
      </c>
      <c r="G801">
        <f t="shared" ca="1" si="88"/>
        <v>3</v>
      </c>
      <c r="H801">
        <f t="shared" ca="1" si="89"/>
        <v>6</v>
      </c>
      <c r="I801">
        <f t="shared" ca="1" si="90"/>
        <v>4</v>
      </c>
      <c r="J801">
        <v>7.5</v>
      </c>
      <c r="K801">
        <v>5.5</v>
      </c>
      <c r="L801">
        <v>7</v>
      </c>
      <c r="M801" s="3">
        <f t="shared" ca="1" si="91"/>
        <v>45331</v>
      </c>
      <c r="N801" s="3">
        <f t="shared" ca="1" si="91"/>
        <v>45326</v>
      </c>
      <c r="O801" s="3">
        <v>45397</v>
      </c>
    </row>
    <row r="802" spans="1:15" x14ac:dyDescent="0.3">
      <c r="A802" s="3">
        <v>45411</v>
      </c>
      <c r="B802" t="s">
        <v>61</v>
      </c>
      <c r="C802" t="s">
        <v>95</v>
      </c>
      <c r="D802" s="4" cm="1">
        <f t="array" aca="1" ref="D802" ca="1">IFERROR( _xlfn.XLOOKUP(B802, B$2:INDEX(B:B,ROW()-1), I$2:INDEX(I:I,ROW()-1), 0, 0, -1),0)</f>
        <v>2</v>
      </c>
      <c r="E802">
        <v>10</v>
      </c>
      <c r="F802">
        <f t="shared" ca="1" si="87"/>
        <v>0</v>
      </c>
      <c r="G802">
        <f t="shared" ca="1" si="88"/>
        <v>1</v>
      </c>
      <c r="H802">
        <f t="shared" ca="1" si="89"/>
        <v>2</v>
      </c>
      <c r="I802">
        <f t="shared" ca="1" si="90"/>
        <v>9</v>
      </c>
      <c r="J802">
        <v>4</v>
      </c>
      <c r="K802">
        <v>3.5</v>
      </c>
      <c r="L802">
        <v>10</v>
      </c>
      <c r="M802" s="3">
        <f t="shared" ref="M802:N821" ca="1" si="92">DATE(2024,1,1) + RANDBETWEEN(0, DATE(2024,5,25) - DATE(2024,1,1))</f>
        <v>45397</v>
      </c>
      <c r="N802" s="3">
        <f t="shared" ca="1" si="92"/>
        <v>45355</v>
      </c>
      <c r="O802" s="3">
        <v>45403</v>
      </c>
    </row>
    <row r="803" spans="1:15" x14ac:dyDescent="0.3">
      <c r="A803" s="3">
        <v>45411</v>
      </c>
      <c r="B803" t="s">
        <v>36</v>
      </c>
      <c r="C803" t="s">
        <v>33</v>
      </c>
      <c r="D803" s="4" cm="1">
        <f t="array" aca="1" ref="D803" ca="1">IFERROR( _xlfn.XLOOKUP(B803, B$2:INDEX(B:B,ROW()-1), I$2:INDEX(I:I,ROW()-1), 0, 0, -1),0)</f>
        <v>6</v>
      </c>
      <c r="E803">
        <v>12</v>
      </c>
      <c r="F803">
        <f t="shared" ca="1" si="87"/>
        <v>11</v>
      </c>
      <c r="G803">
        <f t="shared" ca="1" si="88"/>
        <v>2</v>
      </c>
      <c r="H803">
        <f t="shared" ca="1" si="89"/>
        <v>3</v>
      </c>
      <c r="I803">
        <f t="shared" ca="1" si="90"/>
        <v>2</v>
      </c>
      <c r="J803">
        <v>3.5</v>
      </c>
      <c r="K803">
        <v>3</v>
      </c>
      <c r="L803">
        <v>14</v>
      </c>
      <c r="M803" s="3">
        <f t="shared" ca="1" si="92"/>
        <v>45314</v>
      </c>
      <c r="N803" s="3">
        <f t="shared" ca="1" si="92"/>
        <v>45345</v>
      </c>
      <c r="O803" s="3">
        <v>45309</v>
      </c>
    </row>
    <row r="804" spans="1:15" x14ac:dyDescent="0.3">
      <c r="A804" s="3">
        <v>45411</v>
      </c>
      <c r="B804" t="s">
        <v>70</v>
      </c>
      <c r="C804" t="s">
        <v>99</v>
      </c>
      <c r="D804" s="4" cm="1">
        <f t="array" aca="1" ref="D804" ca="1">IFERROR( _xlfn.XLOOKUP(B804, B$2:INDEX(B:B,ROW()-1), I$2:INDEX(I:I,ROW()-1), 0, 0, -1),0)</f>
        <v>4</v>
      </c>
      <c r="E804">
        <v>6</v>
      </c>
      <c r="F804">
        <f t="shared" ca="1" si="87"/>
        <v>4</v>
      </c>
      <c r="G804">
        <f t="shared" ca="1" si="88"/>
        <v>1</v>
      </c>
      <c r="H804">
        <f t="shared" ca="1" si="89"/>
        <v>2</v>
      </c>
      <c r="I804">
        <f t="shared" ca="1" si="90"/>
        <v>3</v>
      </c>
      <c r="J804">
        <v>4</v>
      </c>
      <c r="K804">
        <v>3</v>
      </c>
      <c r="L804">
        <v>7</v>
      </c>
      <c r="M804" s="3">
        <f t="shared" ca="1" si="92"/>
        <v>45319</v>
      </c>
      <c r="N804" s="3">
        <f t="shared" ca="1" si="92"/>
        <v>45362</v>
      </c>
      <c r="O804" s="3">
        <v>45317</v>
      </c>
    </row>
    <row r="805" spans="1:15" x14ac:dyDescent="0.3">
      <c r="A805" s="3">
        <v>45411</v>
      </c>
      <c r="B805" t="s">
        <v>59</v>
      </c>
      <c r="C805" t="s">
        <v>93</v>
      </c>
      <c r="D805" s="4" cm="1">
        <f t="array" aca="1" ref="D805" ca="1">IFERROR( _xlfn.XLOOKUP(B805, B$2:INDEX(B:B,ROW()-1), I$2:INDEX(I:I,ROW()-1), 0, 0, -1),0)</f>
        <v>7</v>
      </c>
      <c r="E805">
        <v>10</v>
      </c>
      <c r="F805">
        <f t="shared" ca="1" si="87"/>
        <v>4</v>
      </c>
      <c r="G805">
        <f t="shared" ca="1" si="88"/>
        <v>7</v>
      </c>
      <c r="H805">
        <f t="shared" ca="1" si="89"/>
        <v>0</v>
      </c>
      <c r="I805">
        <f t="shared" ca="1" si="90"/>
        <v>6</v>
      </c>
      <c r="J805">
        <v>4</v>
      </c>
      <c r="K805">
        <v>3.5</v>
      </c>
      <c r="L805">
        <v>10</v>
      </c>
      <c r="M805" s="3">
        <f t="shared" ca="1" si="92"/>
        <v>45397</v>
      </c>
      <c r="N805" s="3">
        <f t="shared" ca="1" si="92"/>
        <v>45419</v>
      </c>
      <c r="O805" s="3">
        <v>45402</v>
      </c>
    </row>
    <row r="806" spans="1:15" x14ac:dyDescent="0.3">
      <c r="A806" s="3">
        <v>45412</v>
      </c>
      <c r="B806" t="s">
        <v>63</v>
      </c>
      <c r="C806" t="s">
        <v>97</v>
      </c>
      <c r="D806" s="4" cm="1">
        <f t="array" aca="1" ref="D806" ca="1">IFERROR( _xlfn.XLOOKUP(B806, B$2:INDEX(B:B,ROW()-1), I$2:INDEX(I:I,ROW()-1), 0, 0, -1),0)</f>
        <v>5</v>
      </c>
      <c r="E806">
        <v>10</v>
      </c>
      <c r="F806">
        <f t="shared" ca="1" si="87"/>
        <v>1</v>
      </c>
      <c r="G806">
        <f t="shared" ca="1" si="88"/>
        <v>4</v>
      </c>
      <c r="H806">
        <f t="shared" ca="1" si="89"/>
        <v>5</v>
      </c>
      <c r="I806">
        <f t="shared" ca="1" si="90"/>
        <v>5</v>
      </c>
      <c r="J806">
        <v>4</v>
      </c>
      <c r="K806">
        <v>3.5</v>
      </c>
      <c r="L806">
        <v>10</v>
      </c>
      <c r="M806" s="3">
        <f t="shared" ca="1" si="92"/>
        <v>45301</v>
      </c>
      <c r="N806" s="3">
        <f t="shared" ca="1" si="92"/>
        <v>45386</v>
      </c>
      <c r="O806" s="3">
        <v>45349</v>
      </c>
    </row>
    <row r="807" spans="1:15" x14ac:dyDescent="0.3">
      <c r="A807" s="3">
        <v>45412</v>
      </c>
      <c r="B807" t="s">
        <v>36</v>
      </c>
      <c r="C807" t="s">
        <v>33</v>
      </c>
      <c r="D807" s="4" cm="1">
        <f t="array" aca="1" ref="D807" ca="1">IFERROR( _xlfn.XLOOKUP(B807, B$2:INDEX(B:B,ROW()-1), I$2:INDEX(I:I,ROW()-1), 0, 0, -1),0)</f>
        <v>2</v>
      </c>
      <c r="E807">
        <v>12</v>
      </c>
      <c r="F807">
        <f t="shared" ca="1" si="87"/>
        <v>6</v>
      </c>
      <c r="G807">
        <f t="shared" ca="1" si="88"/>
        <v>0</v>
      </c>
      <c r="H807">
        <f t="shared" ca="1" si="89"/>
        <v>3</v>
      </c>
      <c r="I807">
        <f t="shared" ca="1" si="90"/>
        <v>5</v>
      </c>
      <c r="J807">
        <v>3.5</v>
      </c>
      <c r="K807">
        <v>3</v>
      </c>
      <c r="L807">
        <v>14</v>
      </c>
      <c r="M807" s="3">
        <f t="shared" ca="1" si="92"/>
        <v>45430</v>
      </c>
      <c r="N807" s="3">
        <f t="shared" ca="1" si="92"/>
        <v>45292</v>
      </c>
      <c r="O807" s="3">
        <v>45437</v>
      </c>
    </row>
    <row r="808" spans="1:15" x14ac:dyDescent="0.3">
      <c r="A808" s="3">
        <v>45412</v>
      </c>
      <c r="B808" t="s">
        <v>71</v>
      </c>
      <c r="C808" t="s">
        <v>47</v>
      </c>
      <c r="D808" s="4" cm="1">
        <f t="array" aca="1" ref="D808" ca="1">IFERROR( _xlfn.XLOOKUP(B808, B$2:INDEX(B:B,ROW()-1), I$2:INDEX(I:I,ROW()-1), 0, 0, -1),0)</f>
        <v>2</v>
      </c>
      <c r="E808">
        <v>6</v>
      </c>
      <c r="F808">
        <f t="shared" ca="1" si="87"/>
        <v>1</v>
      </c>
      <c r="G808">
        <f t="shared" ca="1" si="88"/>
        <v>2</v>
      </c>
      <c r="H808">
        <f t="shared" ca="1" si="89"/>
        <v>0</v>
      </c>
      <c r="I808">
        <f t="shared" ca="1" si="90"/>
        <v>5</v>
      </c>
      <c r="J808">
        <v>4</v>
      </c>
      <c r="K808">
        <v>3</v>
      </c>
      <c r="L808">
        <v>7</v>
      </c>
      <c r="M808" s="3">
        <f t="shared" ca="1" si="92"/>
        <v>45409</v>
      </c>
      <c r="N808" s="3">
        <f t="shared" ca="1" si="92"/>
        <v>45364</v>
      </c>
      <c r="O808" s="3">
        <v>45320</v>
      </c>
    </row>
    <row r="809" spans="1:15" x14ac:dyDescent="0.3">
      <c r="A809" s="3">
        <v>45412</v>
      </c>
      <c r="B809" t="s">
        <v>21</v>
      </c>
      <c r="C809" t="s">
        <v>27</v>
      </c>
      <c r="D809" s="4" cm="1">
        <f t="array" aca="1" ref="D809" ca="1">IFERROR( _xlfn.XLOOKUP(B809, B$2:INDEX(B:B,ROW()-1), I$2:INDEX(I:I,ROW()-1), 0, 0, -1),0)</f>
        <v>11</v>
      </c>
      <c r="E809">
        <v>8</v>
      </c>
      <c r="F809">
        <f t="shared" ca="1" si="87"/>
        <v>0</v>
      </c>
      <c r="G809">
        <f t="shared" ca="1" si="88"/>
        <v>9</v>
      </c>
      <c r="H809">
        <f t="shared" ca="1" si="89"/>
        <v>3</v>
      </c>
      <c r="I809">
        <f t="shared" ca="1" si="90"/>
        <v>7</v>
      </c>
      <c r="J809">
        <v>4</v>
      </c>
      <c r="K809">
        <v>3</v>
      </c>
      <c r="L809">
        <v>14</v>
      </c>
      <c r="M809" s="3">
        <f t="shared" ca="1" si="92"/>
        <v>45395</v>
      </c>
      <c r="N809" s="3">
        <f t="shared" ca="1" si="92"/>
        <v>45426</v>
      </c>
      <c r="O809" s="3">
        <v>45437</v>
      </c>
    </row>
    <row r="810" spans="1:15" x14ac:dyDescent="0.3">
      <c r="A810" s="3">
        <v>45412</v>
      </c>
      <c r="B810" t="s">
        <v>16</v>
      </c>
      <c r="C810" t="s">
        <v>77</v>
      </c>
      <c r="D810" s="4" cm="1">
        <f t="array" aca="1" ref="D810" ca="1">IFERROR( _xlfn.XLOOKUP(B810, B$2:INDEX(B:B,ROW()-1), I$2:INDEX(I:I,ROW()-1), 0, 0, -1),0)</f>
        <v>5</v>
      </c>
      <c r="E810">
        <v>10</v>
      </c>
      <c r="F810">
        <f t="shared" ca="1" si="87"/>
        <v>4</v>
      </c>
      <c r="G810">
        <f t="shared" ca="1" si="88"/>
        <v>7</v>
      </c>
      <c r="H810">
        <f t="shared" ca="1" si="89"/>
        <v>0</v>
      </c>
      <c r="I810">
        <f t="shared" ca="1" si="90"/>
        <v>4</v>
      </c>
      <c r="J810">
        <v>5.5</v>
      </c>
      <c r="K810">
        <v>4.5</v>
      </c>
      <c r="L810">
        <v>7</v>
      </c>
      <c r="M810" s="3">
        <f t="shared" ca="1" si="92"/>
        <v>45424</v>
      </c>
      <c r="N810" s="3">
        <f t="shared" ca="1" si="92"/>
        <v>45432</v>
      </c>
      <c r="O810" s="3">
        <v>45360</v>
      </c>
    </row>
    <row r="811" spans="1:15" x14ac:dyDescent="0.3">
      <c r="A811" s="3">
        <v>45412</v>
      </c>
      <c r="B811" t="s">
        <v>10</v>
      </c>
      <c r="C811" t="s">
        <v>18</v>
      </c>
      <c r="D811" s="4" cm="1">
        <f t="array" aca="1" ref="D811" ca="1">IFERROR( _xlfn.XLOOKUP(B811, B$2:INDEX(B:B,ROW()-1), I$2:INDEX(I:I,ROW()-1), 0, 0, -1),0)</f>
        <v>3</v>
      </c>
      <c r="E811">
        <v>10</v>
      </c>
      <c r="F811">
        <f t="shared" ca="1" si="87"/>
        <v>6</v>
      </c>
      <c r="G811">
        <f t="shared" ca="1" si="88"/>
        <v>2</v>
      </c>
      <c r="H811">
        <f t="shared" ca="1" si="89"/>
        <v>3</v>
      </c>
      <c r="I811">
        <f t="shared" ca="1" si="90"/>
        <v>2</v>
      </c>
      <c r="J811">
        <v>5.5</v>
      </c>
      <c r="K811">
        <v>4.5</v>
      </c>
      <c r="L811">
        <v>7</v>
      </c>
      <c r="M811" s="3">
        <f t="shared" ca="1" si="92"/>
        <v>45366</v>
      </c>
      <c r="N811" s="3">
        <f t="shared" ca="1" si="92"/>
        <v>45428</v>
      </c>
      <c r="O811" s="3">
        <v>45372</v>
      </c>
    </row>
    <row r="812" spans="1:15" x14ac:dyDescent="0.3">
      <c r="A812" s="3">
        <v>45412</v>
      </c>
      <c r="B812" t="s">
        <v>58</v>
      </c>
      <c r="C812" t="s">
        <v>76</v>
      </c>
      <c r="D812" s="4" cm="1">
        <f t="array" aca="1" ref="D812" ca="1">IFERROR( _xlfn.XLOOKUP(B812, B$2:INDEX(B:B,ROW()-1), I$2:INDEX(I:I,ROW()-1), 0, 0, -1),0)</f>
        <v>8</v>
      </c>
      <c r="E812">
        <v>15</v>
      </c>
      <c r="F812">
        <f t="shared" ca="1" si="87"/>
        <v>5</v>
      </c>
      <c r="G812">
        <f t="shared" ca="1" si="88"/>
        <v>8</v>
      </c>
      <c r="H812">
        <f t="shared" ca="1" si="89"/>
        <v>1</v>
      </c>
      <c r="I812">
        <f t="shared" ca="1" si="90"/>
        <v>9</v>
      </c>
      <c r="J812">
        <v>6</v>
      </c>
      <c r="K812">
        <v>5.5</v>
      </c>
      <c r="L812">
        <v>20</v>
      </c>
      <c r="M812" s="3">
        <f t="shared" ca="1" si="92"/>
        <v>45304</v>
      </c>
      <c r="N812" s="3">
        <f t="shared" ca="1" si="92"/>
        <v>45434</v>
      </c>
      <c r="O812" s="3">
        <v>45385</v>
      </c>
    </row>
    <row r="813" spans="1:15" x14ac:dyDescent="0.3">
      <c r="A813" s="3">
        <v>45413</v>
      </c>
      <c r="B813" t="s">
        <v>72</v>
      </c>
      <c r="C813" t="s">
        <v>48</v>
      </c>
      <c r="D813" s="4" cm="1">
        <f t="array" aca="1" ref="D813" ca="1">IFERROR( _xlfn.XLOOKUP(B813, B$2:INDEX(B:B,ROW()-1), I$2:INDEX(I:I,ROW()-1), 0, 0, -1),0)</f>
        <v>3</v>
      </c>
      <c r="E813">
        <v>6</v>
      </c>
      <c r="F813">
        <f t="shared" ca="1" si="87"/>
        <v>2</v>
      </c>
      <c r="G813">
        <f t="shared" ca="1" si="88"/>
        <v>0</v>
      </c>
      <c r="H813">
        <f t="shared" ca="1" si="89"/>
        <v>1</v>
      </c>
      <c r="I813">
        <f t="shared" ca="1" si="90"/>
        <v>6</v>
      </c>
      <c r="J813">
        <v>4</v>
      </c>
      <c r="K813">
        <v>3</v>
      </c>
      <c r="L813">
        <v>7</v>
      </c>
      <c r="M813" s="3">
        <f t="shared" ca="1" si="92"/>
        <v>45378</v>
      </c>
      <c r="N813" s="3">
        <f t="shared" ca="1" si="92"/>
        <v>45354</v>
      </c>
      <c r="O813" s="3">
        <v>45429</v>
      </c>
    </row>
    <row r="814" spans="1:15" x14ac:dyDescent="0.3">
      <c r="A814" s="3">
        <v>45413</v>
      </c>
      <c r="B814" t="s">
        <v>39</v>
      </c>
      <c r="C814" t="s">
        <v>32</v>
      </c>
      <c r="D814" s="4" cm="1">
        <f t="array" aca="1" ref="D814" ca="1">IFERROR( _xlfn.XLOOKUP(B814, B$2:INDEX(B:B,ROW()-1), I$2:INDEX(I:I,ROW()-1), 0, 0, -1),0)</f>
        <v>2</v>
      </c>
      <c r="E814">
        <v>12</v>
      </c>
      <c r="F814">
        <f t="shared" ca="1" si="87"/>
        <v>2</v>
      </c>
      <c r="G814">
        <f t="shared" ca="1" si="88"/>
        <v>5</v>
      </c>
      <c r="H814">
        <f t="shared" ca="1" si="89"/>
        <v>0</v>
      </c>
      <c r="I814">
        <f t="shared" ca="1" si="90"/>
        <v>7</v>
      </c>
      <c r="J814">
        <v>3.5</v>
      </c>
      <c r="K814">
        <v>3</v>
      </c>
      <c r="L814">
        <v>14</v>
      </c>
      <c r="M814" s="3">
        <f t="shared" ca="1" si="92"/>
        <v>45424</v>
      </c>
      <c r="N814" s="3">
        <f t="shared" ca="1" si="92"/>
        <v>45380</v>
      </c>
      <c r="O814" s="3">
        <v>45376</v>
      </c>
    </row>
    <row r="815" spans="1:15" x14ac:dyDescent="0.3">
      <c r="A815" s="3">
        <v>45413</v>
      </c>
      <c r="B815" t="s">
        <v>40</v>
      </c>
      <c r="C815" t="s">
        <v>85</v>
      </c>
      <c r="D815" s="4" cm="1">
        <f t="array" aca="1" ref="D815" ca="1">IFERROR( _xlfn.XLOOKUP(B815, B$2:INDEX(B:B,ROW()-1), I$2:INDEX(I:I,ROW()-1), 0, 0, -1),0)</f>
        <v>8</v>
      </c>
      <c r="E815">
        <v>15</v>
      </c>
      <c r="F815">
        <f t="shared" ca="1" si="87"/>
        <v>9</v>
      </c>
      <c r="G815">
        <f t="shared" ca="1" si="88"/>
        <v>5</v>
      </c>
      <c r="H815">
        <f t="shared" ca="1" si="89"/>
        <v>1</v>
      </c>
      <c r="I815">
        <f t="shared" ca="1" si="90"/>
        <v>8</v>
      </c>
      <c r="J815">
        <v>3</v>
      </c>
      <c r="K815">
        <v>2.5</v>
      </c>
      <c r="L815">
        <v>14</v>
      </c>
      <c r="M815" s="3">
        <f t="shared" ca="1" si="92"/>
        <v>45424</v>
      </c>
      <c r="N815" s="3">
        <f t="shared" ca="1" si="92"/>
        <v>45302</v>
      </c>
      <c r="O815" s="3">
        <v>45398</v>
      </c>
    </row>
    <row r="816" spans="1:15" x14ac:dyDescent="0.3">
      <c r="A816" s="3">
        <v>45413</v>
      </c>
      <c r="B816" t="s">
        <v>67</v>
      </c>
      <c r="C816" t="s">
        <v>46</v>
      </c>
      <c r="D816" s="4" cm="1">
        <f t="array" aca="1" ref="D816" ca="1">IFERROR( _xlfn.XLOOKUP(B816, B$2:INDEX(B:B,ROW()-1), I$2:INDEX(I:I,ROW()-1), 0, 0, -1),0)</f>
        <v>1</v>
      </c>
      <c r="E816">
        <v>8</v>
      </c>
      <c r="F816">
        <f t="shared" ca="1" si="87"/>
        <v>1</v>
      </c>
      <c r="G816">
        <f t="shared" ca="1" si="88"/>
        <v>1</v>
      </c>
      <c r="H816">
        <f t="shared" ca="1" si="89"/>
        <v>4</v>
      </c>
      <c r="I816">
        <f t="shared" ca="1" si="90"/>
        <v>3</v>
      </c>
      <c r="J816">
        <v>3.5</v>
      </c>
      <c r="K816">
        <v>3</v>
      </c>
      <c r="L816">
        <v>8</v>
      </c>
      <c r="M816" s="3">
        <f t="shared" ca="1" si="92"/>
        <v>45360</v>
      </c>
      <c r="N816" s="3">
        <f t="shared" ca="1" si="92"/>
        <v>45387</v>
      </c>
      <c r="O816" s="3">
        <v>45348</v>
      </c>
    </row>
    <row r="817" spans="1:15" x14ac:dyDescent="0.3">
      <c r="A817" s="3">
        <v>45413</v>
      </c>
      <c r="B817" t="s">
        <v>21</v>
      </c>
      <c r="C817" t="s">
        <v>27</v>
      </c>
      <c r="D817" s="4" cm="1">
        <f t="array" aca="1" ref="D817" ca="1">IFERROR( _xlfn.XLOOKUP(B817, B$2:INDEX(B:B,ROW()-1), I$2:INDEX(I:I,ROW()-1), 0, 0, -1),0)</f>
        <v>7</v>
      </c>
      <c r="E817">
        <v>8</v>
      </c>
      <c r="F817">
        <f t="shared" ca="1" si="87"/>
        <v>3</v>
      </c>
      <c r="G817">
        <f t="shared" ca="1" si="88"/>
        <v>5</v>
      </c>
      <c r="H817">
        <f t="shared" ca="1" si="89"/>
        <v>4</v>
      </c>
      <c r="I817">
        <f t="shared" ca="1" si="90"/>
        <v>3</v>
      </c>
      <c r="J817">
        <v>4</v>
      </c>
      <c r="K817">
        <v>3</v>
      </c>
      <c r="L817">
        <v>14</v>
      </c>
      <c r="M817" s="3">
        <f t="shared" ca="1" si="92"/>
        <v>45389</v>
      </c>
      <c r="N817" s="3">
        <f t="shared" ca="1" si="92"/>
        <v>45433</v>
      </c>
      <c r="O817" s="3">
        <v>45367</v>
      </c>
    </row>
    <row r="818" spans="1:15" x14ac:dyDescent="0.3">
      <c r="A818" s="3">
        <v>45413</v>
      </c>
      <c r="B818" t="s">
        <v>41</v>
      </c>
      <c r="C818" t="s">
        <v>86</v>
      </c>
      <c r="D818" s="4" cm="1">
        <f t="array" aca="1" ref="D818" ca="1">IFERROR( _xlfn.XLOOKUP(B818, B$2:INDEX(B:B,ROW()-1), I$2:INDEX(I:I,ROW()-1), 0, 0, -1),0)</f>
        <v>5</v>
      </c>
      <c r="E818">
        <v>15</v>
      </c>
      <c r="F818">
        <f t="shared" ca="1" si="87"/>
        <v>2</v>
      </c>
      <c r="G818">
        <f t="shared" ca="1" si="88"/>
        <v>4</v>
      </c>
      <c r="H818">
        <f t="shared" ca="1" si="89"/>
        <v>5</v>
      </c>
      <c r="I818">
        <f t="shared" ca="1" si="90"/>
        <v>9</v>
      </c>
      <c r="J818">
        <v>3</v>
      </c>
      <c r="K818">
        <v>2.5</v>
      </c>
      <c r="L818">
        <v>14</v>
      </c>
      <c r="M818" s="3">
        <f t="shared" ca="1" si="92"/>
        <v>45395</v>
      </c>
      <c r="N818" s="3">
        <f t="shared" ca="1" si="92"/>
        <v>45380</v>
      </c>
      <c r="O818" s="3">
        <v>45322</v>
      </c>
    </row>
    <row r="819" spans="1:15" x14ac:dyDescent="0.3">
      <c r="A819" s="3">
        <v>45413</v>
      </c>
      <c r="B819" t="s">
        <v>19</v>
      </c>
      <c r="C819" t="s">
        <v>17</v>
      </c>
      <c r="D819" s="4" cm="1">
        <f t="array" aca="1" ref="D819" ca="1">IFERROR( _xlfn.XLOOKUP(B819, B$2:INDEX(B:B,ROW()-1), I$2:INDEX(I:I,ROW()-1), 0, 0, -1),0)</f>
        <v>4</v>
      </c>
      <c r="E819">
        <v>10</v>
      </c>
      <c r="F819">
        <f t="shared" ca="1" si="87"/>
        <v>1</v>
      </c>
      <c r="G819">
        <f t="shared" ca="1" si="88"/>
        <v>5</v>
      </c>
      <c r="H819">
        <f t="shared" ca="1" si="89"/>
        <v>0</v>
      </c>
      <c r="I819">
        <f t="shared" ca="1" si="90"/>
        <v>8</v>
      </c>
      <c r="J819">
        <v>4.5</v>
      </c>
      <c r="K819">
        <v>4</v>
      </c>
      <c r="L819">
        <v>10</v>
      </c>
      <c r="M819" s="3">
        <f t="shared" ca="1" si="92"/>
        <v>45333</v>
      </c>
      <c r="N819" s="3">
        <f t="shared" ca="1" si="92"/>
        <v>45314</v>
      </c>
      <c r="O819" s="3">
        <v>45293</v>
      </c>
    </row>
    <row r="820" spans="1:15" x14ac:dyDescent="0.3">
      <c r="A820" s="3">
        <v>45413</v>
      </c>
      <c r="B820" t="s">
        <v>64</v>
      </c>
      <c r="C820" t="s">
        <v>42</v>
      </c>
      <c r="D820" s="4" cm="1">
        <f t="array" aca="1" ref="D820" ca="1">IFERROR( _xlfn.XLOOKUP(B820, B$2:INDEX(B:B,ROW()-1), I$2:INDEX(I:I,ROW()-1), 0, 0, -1),0)</f>
        <v>3</v>
      </c>
      <c r="E820">
        <v>8</v>
      </c>
      <c r="F820">
        <f t="shared" ca="1" si="87"/>
        <v>3</v>
      </c>
      <c r="G820">
        <f t="shared" ca="1" si="88"/>
        <v>2</v>
      </c>
      <c r="H820">
        <f t="shared" ca="1" si="89"/>
        <v>3</v>
      </c>
      <c r="I820">
        <f t="shared" ca="1" si="90"/>
        <v>3</v>
      </c>
      <c r="J820">
        <v>3.5</v>
      </c>
      <c r="K820">
        <v>3</v>
      </c>
      <c r="L820">
        <v>8</v>
      </c>
      <c r="M820" s="3">
        <f t="shared" ca="1" si="92"/>
        <v>45409</v>
      </c>
      <c r="N820" s="3">
        <f t="shared" ca="1" si="92"/>
        <v>45420</v>
      </c>
      <c r="O820" s="3">
        <v>45311</v>
      </c>
    </row>
    <row r="821" spans="1:15" x14ac:dyDescent="0.3">
      <c r="A821" s="3">
        <v>45414</v>
      </c>
      <c r="B821" t="s">
        <v>84</v>
      </c>
      <c r="C821" t="s">
        <v>101</v>
      </c>
      <c r="D821" s="4" cm="1">
        <f t="array" aca="1" ref="D821" ca="1">IFERROR( _xlfn.XLOOKUP(B821, B$2:INDEX(B:B,ROW()-1), I$2:INDEX(I:I,ROW()-1), 0, 0, -1),0)</f>
        <v>2</v>
      </c>
      <c r="E821">
        <v>8</v>
      </c>
      <c r="F821">
        <f t="shared" ca="1" si="87"/>
        <v>4</v>
      </c>
      <c r="G821">
        <f t="shared" ca="1" si="88"/>
        <v>3</v>
      </c>
      <c r="H821">
        <f t="shared" ca="1" si="89"/>
        <v>2</v>
      </c>
      <c r="I821">
        <f t="shared" ca="1" si="90"/>
        <v>1</v>
      </c>
      <c r="J821">
        <v>3.5</v>
      </c>
      <c r="K821">
        <v>3</v>
      </c>
      <c r="L821">
        <v>8</v>
      </c>
      <c r="M821" s="3">
        <f t="shared" ca="1" si="92"/>
        <v>45338</v>
      </c>
      <c r="N821" s="3">
        <f t="shared" ca="1" si="92"/>
        <v>45407</v>
      </c>
      <c r="O821" s="3">
        <v>45349</v>
      </c>
    </row>
    <row r="822" spans="1:15" x14ac:dyDescent="0.3">
      <c r="A822" s="3">
        <v>45414</v>
      </c>
      <c r="B822" t="s">
        <v>88</v>
      </c>
      <c r="C822" t="s">
        <v>102</v>
      </c>
      <c r="D822" s="4" cm="1">
        <f t="array" aca="1" ref="D822" ca="1">IFERROR( _xlfn.XLOOKUP(B822, B$2:INDEX(B:B,ROW()-1), I$2:INDEX(I:I,ROW()-1), 0, 0, -1),0)</f>
        <v>2</v>
      </c>
      <c r="E822">
        <v>8</v>
      </c>
      <c r="F822">
        <f t="shared" ca="1" si="87"/>
        <v>4</v>
      </c>
      <c r="G822">
        <f t="shared" ca="1" si="88"/>
        <v>2</v>
      </c>
      <c r="H822">
        <f t="shared" ca="1" si="89"/>
        <v>1</v>
      </c>
      <c r="I822">
        <f t="shared" ca="1" si="90"/>
        <v>3</v>
      </c>
      <c r="J822">
        <v>3.5</v>
      </c>
      <c r="K822">
        <v>3</v>
      </c>
      <c r="L822">
        <v>8</v>
      </c>
      <c r="M822" s="3">
        <f t="shared" ref="M822:N841" ca="1" si="93">DATE(2024,1,1) + RANDBETWEEN(0, DATE(2024,5,25) - DATE(2024,1,1))</f>
        <v>45292</v>
      </c>
      <c r="N822" s="3">
        <f t="shared" ca="1" si="93"/>
        <v>45356</v>
      </c>
      <c r="O822" s="3">
        <v>45331</v>
      </c>
    </row>
    <row r="823" spans="1:15" x14ac:dyDescent="0.3">
      <c r="A823" s="3">
        <v>45414</v>
      </c>
      <c r="B823" t="s">
        <v>57</v>
      </c>
      <c r="C823" t="s">
        <v>75</v>
      </c>
      <c r="D823" s="4" cm="1">
        <f t="array" aca="1" ref="D823" ca="1">IFERROR( _xlfn.XLOOKUP(B823, B$2:INDEX(B:B,ROW()-1), I$2:INDEX(I:I,ROW()-1), 0, 0, -1),0)</f>
        <v>3</v>
      </c>
      <c r="E823">
        <v>8</v>
      </c>
      <c r="F823">
        <f t="shared" ca="1" si="87"/>
        <v>6</v>
      </c>
      <c r="G823">
        <f t="shared" ca="1" si="88"/>
        <v>3</v>
      </c>
      <c r="H823">
        <f t="shared" ca="1" si="89"/>
        <v>1</v>
      </c>
      <c r="I823">
        <f t="shared" ca="1" si="90"/>
        <v>1</v>
      </c>
      <c r="J823">
        <v>6</v>
      </c>
      <c r="K823">
        <v>5.5</v>
      </c>
      <c r="L823">
        <v>20</v>
      </c>
      <c r="M823" s="3">
        <f t="shared" ca="1" si="93"/>
        <v>45407</v>
      </c>
      <c r="N823" s="3">
        <f t="shared" ca="1" si="93"/>
        <v>45344</v>
      </c>
      <c r="O823" s="3">
        <v>45434</v>
      </c>
    </row>
    <row r="824" spans="1:15" x14ac:dyDescent="0.3">
      <c r="A824" s="3">
        <v>45414</v>
      </c>
      <c r="B824" t="s">
        <v>59</v>
      </c>
      <c r="C824" t="s">
        <v>93</v>
      </c>
      <c r="D824" s="4" cm="1">
        <f t="array" aca="1" ref="D824" ca="1">IFERROR( _xlfn.XLOOKUP(B824, B$2:INDEX(B:B,ROW()-1), I$2:INDEX(I:I,ROW()-1), 0, 0, -1),0)</f>
        <v>6</v>
      </c>
      <c r="E824">
        <v>10</v>
      </c>
      <c r="F824">
        <f t="shared" ca="1" si="87"/>
        <v>9</v>
      </c>
      <c r="G824">
        <f t="shared" ca="1" si="88"/>
        <v>3</v>
      </c>
      <c r="H824">
        <f t="shared" ca="1" si="89"/>
        <v>1</v>
      </c>
      <c r="I824">
        <f t="shared" ca="1" si="90"/>
        <v>3</v>
      </c>
      <c r="J824">
        <v>4</v>
      </c>
      <c r="K824">
        <v>3.5</v>
      </c>
      <c r="L824">
        <v>10</v>
      </c>
      <c r="M824" s="3">
        <f t="shared" ca="1" si="93"/>
        <v>45423</v>
      </c>
      <c r="N824" s="3">
        <f t="shared" ca="1" si="93"/>
        <v>45354</v>
      </c>
      <c r="O824" s="3">
        <v>45386</v>
      </c>
    </row>
    <row r="825" spans="1:15" x14ac:dyDescent="0.3">
      <c r="A825" s="3">
        <v>45414</v>
      </c>
      <c r="B825" t="s">
        <v>36</v>
      </c>
      <c r="C825" t="s">
        <v>33</v>
      </c>
      <c r="D825" s="4" cm="1">
        <f t="array" aca="1" ref="D825" ca="1">IFERROR( _xlfn.XLOOKUP(B825, B$2:INDEX(B:B,ROW()-1), I$2:INDEX(I:I,ROW()-1), 0, 0, -1),0)</f>
        <v>5</v>
      </c>
      <c r="E825">
        <v>12</v>
      </c>
      <c r="F825">
        <f t="shared" ca="1" si="87"/>
        <v>8</v>
      </c>
      <c r="G825">
        <f t="shared" ca="1" si="88"/>
        <v>0</v>
      </c>
      <c r="H825">
        <f t="shared" ca="1" si="89"/>
        <v>5</v>
      </c>
      <c r="I825">
        <f t="shared" ca="1" si="90"/>
        <v>4</v>
      </c>
      <c r="J825">
        <v>3.5</v>
      </c>
      <c r="K825">
        <v>3</v>
      </c>
      <c r="L825">
        <v>14</v>
      </c>
      <c r="M825" s="3">
        <f t="shared" ca="1" si="93"/>
        <v>45354</v>
      </c>
      <c r="N825" s="3">
        <f t="shared" ca="1" si="93"/>
        <v>45401</v>
      </c>
      <c r="O825" s="3">
        <v>45387</v>
      </c>
    </row>
    <row r="826" spans="1:15" x14ac:dyDescent="0.3">
      <c r="A826" s="3">
        <v>45414</v>
      </c>
      <c r="B826" t="s">
        <v>22</v>
      </c>
      <c r="C826" t="s">
        <v>26</v>
      </c>
      <c r="D826" s="4" cm="1">
        <f t="array" aca="1" ref="D826" ca="1">IFERROR( _xlfn.XLOOKUP(B826, B$2:INDEX(B:B,ROW()-1), I$2:INDEX(I:I,ROW()-1), 0, 0, -1),0)</f>
        <v>4</v>
      </c>
      <c r="E826">
        <v>12</v>
      </c>
      <c r="F826">
        <f t="shared" ca="1" si="87"/>
        <v>8</v>
      </c>
      <c r="G826">
        <f t="shared" ca="1" si="88"/>
        <v>3</v>
      </c>
      <c r="H826">
        <f t="shared" ca="1" si="89"/>
        <v>0</v>
      </c>
      <c r="I826">
        <f t="shared" ca="1" si="90"/>
        <v>5</v>
      </c>
      <c r="J826">
        <v>3.5</v>
      </c>
      <c r="K826">
        <v>3</v>
      </c>
      <c r="L826">
        <v>14</v>
      </c>
      <c r="M826" s="3">
        <f t="shared" ca="1" si="93"/>
        <v>45305</v>
      </c>
      <c r="N826" s="3">
        <f t="shared" ca="1" si="93"/>
        <v>45367</v>
      </c>
      <c r="O826" s="3">
        <v>45294</v>
      </c>
    </row>
    <row r="827" spans="1:15" x14ac:dyDescent="0.3">
      <c r="A827" s="3">
        <v>45415</v>
      </c>
      <c r="B827" t="s">
        <v>83</v>
      </c>
      <c r="C827" t="s">
        <v>100</v>
      </c>
      <c r="D827" s="4" cm="1">
        <f t="array" aca="1" ref="D827" ca="1">IFERROR( _xlfn.XLOOKUP(B827, B$2:INDEX(B:B,ROW()-1), I$2:INDEX(I:I,ROW()-1), 0, 0, -1),0)</f>
        <v>6</v>
      </c>
      <c r="E827">
        <v>10</v>
      </c>
      <c r="F827">
        <f t="shared" ca="1" si="87"/>
        <v>9</v>
      </c>
      <c r="G827">
        <f t="shared" ca="1" si="88"/>
        <v>3</v>
      </c>
      <c r="H827">
        <f t="shared" ca="1" si="89"/>
        <v>1</v>
      </c>
      <c r="I827">
        <f t="shared" ca="1" si="90"/>
        <v>3</v>
      </c>
      <c r="J827">
        <v>4.5</v>
      </c>
      <c r="K827">
        <v>4</v>
      </c>
      <c r="L827">
        <v>10</v>
      </c>
      <c r="M827" s="3">
        <f t="shared" ca="1" si="93"/>
        <v>45392</v>
      </c>
      <c r="N827" s="3">
        <f t="shared" ca="1" si="93"/>
        <v>45328</v>
      </c>
      <c r="O827" s="3">
        <v>45423</v>
      </c>
    </row>
    <row r="828" spans="1:15" x14ac:dyDescent="0.3">
      <c r="A828" s="3">
        <v>45415</v>
      </c>
      <c r="B828" t="s">
        <v>24</v>
      </c>
      <c r="C828" t="s">
        <v>29</v>
      </c>
      <c r="D828" s="4" cm="1">
        <f t="array" aca="1" ref="D828" ca="1">IFERROR( _xlfn.XLOOKUP(B828, B$2:INDEX(B:B,ROW()-1), I$2:INDEX(I:I,ROW()-1), 0, 0, -1),0)</f>
        <v>4</v>
      </c>
      <c r="E828">
        <v>8</v>
      </c>
      <c r="F828">
        <f t="shared" ca="1" si="87"/>
        <v>0</v>
      </c>
      <c r="G828">
        <f t="shared" ca="1" si="88"/>
        <v>3</v>
      </c>
      <c r="H828">
        <f t="shared" ca="1" si="89"/>
        <v>1</v>
      </c>
      <c r="I828">
        <f t="shared" ca="1" si="90"/>
        <v>8</v>
      </c>
      <c r="J828">
        <v>7.5</v>
      </c>
      <c r="K828">
        <v>5.5</v>
      </c>
      <c r="L828">
        <v>7</v>
      </c>
      <c r="M828" s="3">
        <f t="shared" ca="1" si="93"/>
        <v>45317</v>
      </c>
      <c r="N828" s="3">
        <f t="shared" ca="1" si="93"/>
        <v>45333</v>
      </c>
      <c r="O828" s="3">
        <v>45437</v>
      </c>
    </row>
    <row r="829" spans="1:15" x14ac:dyDescent="0.3">
      <c r="A829" s="3">
        <v>45415</v>
      </c>
      <c r="B829" t="s">
        <v>56</v>
      </c>
      <c r="C829" t="s">
        <v>54</v>
      </c>
      <c r="D829" s="4" cm="1">
        <f t="array" aca="1" ref="D829" ca="1">IFERROR( _xlfn.XLOOKUP(B829, B$2:INDEX(B:B,ROW()-1), I$2:INDEX(I:I,ROW()-1), 0, 0, -1),0)</f>
        <v>6</v>
      </c>
      <c r="E829">
        <v>8</v>
      </c>
      <c r="F829">
        <f t="shared" ca="1" si="87"/>
        <v>2</v>
      </c>
      <c r="G829">
        <f t="shared" ca="1" si="88"/>
        <v>2</v>
      </c>
      <c r="H829">
        <f t="shared" ca="1" si="89"/>
        <v>4</v>
      </c>
      <c r="I829">
        <f t="shared" ca="1" si="90"/>
        <v>6</v>
      </c>
      <c r="J829">
        <v>6</v>
      </c>
      <c r="K829">
        <v>5.5</v>
      </c>
      <c r="L829">
        <v>20</v>
      </c>
      <c r="M829" s="3">
        <f t="shared" ca="1" si="93"/>
        <v>45320</v>
      </c>
      <c r="N829" s="3">
        <f t="shared" ca="1" si="93"/>
        <v>45398</v>
      </c>
      <c r="O829" s="3">
        <v>45429</v>
      </c>
    </row>
    <row r="830" spans="1:15" x14ac:dyDescent="0.3">
      <c r="A830" s="3">
        <v>45415</v>
      </c>
      <c r="B830" t="s">
        <v>80</v>
      </c>
      <c r="C830" t="s">
        <v>49</v>
      </c>
      <c r="D830" s="4" cm="1">
        <f t="array" aca="1" ref="D830" ca="1">IFERROR( _xlfn.XLOOKUP(B830, B$2:INDEX(B:B,ROW()-1), I$2:INDEX(I:I,ROW()-1), 0, 0, -1),0)</f>
        <v>8</v>
      </c>
      <c r="E830">
        <v>8</v>
      </c>
      <c r="F830">
        <f t="shared" ca="1" si="87"/>
        <v>4</v>
      </c>
      <c r="G830">
        <f t="shared" ca="1" si="88"/>
        <v>5</v>
      </c>
      <c r="H830">
        <f t="shared" ca="1" si="89"/>
        <v>0</v>
      </c>
      <c r="I830">
        <f t="shared" ca="1" si="90"/>
        <v>7</v>
      </c>
      <c r="J830">
        <v>2.5</v>
      </c>
      <c r="K830">
        <v>2</v>
      </c>
      <c r="L830">
        <v>5</v>
      </c>
      <c r="M830" s="3">
        <f t="shared" ca="1" si="93"/>
        <v>45423</v>
      </c>
      <c r="N830" s="3">
        <f t="shared" ca="1" si="93"/>
        <v>45358</v>
      </c>
      <c r="O830" s="3">
        <v>45343</v>
      </c>
    </row>
    <row r="831" spans="1:15" x14ac:dyDescent="0.3">
      <c r="A831" s="3">
        <v>45415</v>
      </c>
      <c r="B831" t="s">
        <v>56</v>
      </c>
      <c r="C831" t="s">
        <v>54</v>
      </c>
      <c r="D831" s="4" cm="1">
        <f t="array" aca="1" ref="D831" ca="1">IFERROR( _xlfn.XLOOKUP(B831, B$2:INDEX(B:B,ROW()-1), I$2:INDEX(I:I,ROW()-1), 0, 0, -1),0)</f>
        <v>6</v>
      </c>
      <c r="E831">
        <v>8</v>
      </c>
      <c r="F831">
        <f t="shared" ca="1" si="87"/>
        <v>5</v>
      </c>
      <c r="G831">
        <f t="shared" ca="1" si="88"/>
        <v>1</v>
      </c>
      <c r="H831">
        <f t="shared" ca="1" si="89"/>
        <v>3</v>
      </c>
      <c r="I831">
        <f t="shared" ca="1" si="90"/>
        <v>5</v>
      </c>
      <c r="J831">
        <v>6</v>
      </c>
      <c r="K831">
        <v>5.5</v>
      </c>
      <c r="L831">
        <v>20</v>
      </c>
      <c r="M831" s="3">
        <f t="shared" ca="1" si="93"/>
        <v>45302</v>
      </c>
      <c r="N831" s="3">
        <f t="shared" ca="1" si="93"/>
        <v>45394</v>
      </c>
      <c r="O831" s="3">
        <v>45396</v>
      </c>
    </row>
    <row r="832" spans="1:15" x14ac:dyDescent="0.3">
      <c r="A832" s="3">
        <v>45415</v>
      </c>
      <c r="B832" t="s">
        <v>68</v>
      </c>
      <c r="C832" t="s">
        <v>43</v>
      </c>
      <c r="D832" s="4" cm="1">
        <f t="array" aca="1" ref="D832" ca="1">IFERROR( _xlfn.XLOOKUP(B832, B$2:INDEX(B:B,ROW()-1), I$2:INDEX(I:I,ROW()-1), 0, 0, -1),0)</f>
        <v>6</v>
      </c>
      <c r="E832">
        <v>15</v>
      </c>
      <c r="F832">
        <f t="shared" ca="1" si="87"/>
        <v>6</v>
      </c>
      <c r="G832">
        <f t="shared" ca="1" si="88"/>
        <v>8</v>
      </c>
      <c r="H832">
        <f t="shared" ca="1" si="89"/>
        <v>1</v>
      </c>
      <c r="I832">
        <f t="shared" ca="1" si="90"/>
        <v>6</v>
      </c>
      <c r="J832">
        <v>4</v>
      </c>
      <c r="K832">
        <v>3</v>
      </c>
      <c r="L832">
        <v>14</v>
      </c>
      <c r="M832" s="3">
        <f t="shared" ca="1" si="93"/>
        <v>45312</v>
      </c>
      <c r="N832" s="3">
        <f t="shared" ca="1" si="93"/>
        <v>45313</v>
      </c>
      <c r="O832" s="3">
        <v>45426</v>
      </c>
    </row>
    <row r="833" spans="1:15" x14ac:dyDescent="0.3">
      <c r="A833" s="3">
        <v>45415</v>
      </c>
      <c r="B833" t="s">
        <v>55</v>
      </c>
      <c r="C833" t="s">
        <v>53</v>
      </c>
      <c r="D833" s="4" cm="1">
        <f t="array" aca="1" ref="D833" ca="1">IFERROR( _xlfn.XLOOKUP(B833, B$2:INDEX(B:B,ROW()-1), I$2:INDEX(I:I,ROW()-1), 0, 0, -1),0)</f>
        <v>3</v>
      </c>
      <c r="E833">
        <v>4</v>
      </c>
      <c r="F833">
        <f t="shared" ca="1" si="87"/>
        <v>2</v>
      </c>
      <c r="G833">
        <f t="shared" ca="1" si="88"/>
        <v>1</v>
      </c>
      <c r="H833">
        <f t="shared" ca="1" si="89"/>
        <v>0</v>
      </c>
      <c r="I833">
        <f t="shared" ca="1" si="90"/>
        <v>4</v>
      </c>
      <c r="J833">
        <v>8.5</v>
      </c>
      <c r="K833">
        <v>6</v>
      </c>
      <c r="L833">
        <v>7</v>
      </c>
      <c r="M833" s="3">
        <f t="shared" ca="1" si="93"/>
        <v>45352</v>
      </c>
      <c r="N833" s="3">
        <f t="shared" ca="1" si="93"/>
        <v>45301</v>
      </c>
      <c r="O833" s="3">
        <v>45350</v>
      </c>
    </row>
    <row r="834" spans="1:15" x14ac:dyDescent="0.3">
      <c r="A834" s="3">
        <v>45415</v>
      </c>
      <c r="B834" t="s">
        <v>71</v>
      </c>
      <c r="C834" t="s">
        <v>47</v>
      </c>
      <c r="D834" s="4" cm="1">
        <f t="array" aca="1" ref="D834" ca="1">IFERROR( _xlfn.XLOOKUP(B834, B$2:INDEX(B:B,ROW()-1), I$2:INDEX(I:I,ROW()-1), 0, 0, -1),0)</f>
        <v>5</v>
      </c>
      <c r="E834">
        <v>6</v>
      </c>
      <c r="F834">
        <f t="shared" ref="F834:F897" ca="1" si="94">RANDBETWEEN(0, ROUND((D834+E834)*0.6,0))</f>
        <v>4</v>
      </c>
      <c r="G834">
        <f t="shared" ref="G834:G897" ca="1" si="95">RANDBETWEEN(0,ROUND((D834+E834-F834)*0.6,0))</f>
        <v>1</v>
      </c>
      <c r="H834">
        <f t="shared" ref="H834:H897" ca="1" si="96">RANDBETWEEN(0,ROUND((D834+E834-F834-G834)*0.6,0))</f>
        <v>2</v>
      </c>
      <c r="I834">
        <f t="shared" ref="I834:I897" ca="1" si="97">D834+E834-F834-G834-H834</f>
        <v>4</v>
      </c>
      <c r="J834">
        <v>4</v>
      </c>
      <c r="K834">
        <v>3</v>
      </c>
      <c r="L834">
        <v>7</v>
      </c>
      <c r="M834" s="3">
        <f t="shared" ca="1" si="93"/>
        <v>45313</v>
      </c>
      <c r="N834" s="3">
        <f t="shared" ca="1" si="93"/>
        <v>45306</v>
      </c>
      <c r="O834" s="3">
        <v>45340</v>
      </c>
    </row>
    <row r="835" spans="1:15" x14ac:dyDescent="0.3">
      <c r="A835" s="3">
        <v>45416</v>
      </c>
      <c r="B835" t="s">
        <v>22</v>
      </c>
      <c r="C835" t="s">
        <v>26</v>
      </c>
      <c r="D835" s="4" cm="1">
        <f t="array" aca="1" ref="D835" ca="1">IFERROR( _xlfn.XLOOKUP(B835, B$2:INDEX(B:B,ROW()-1), I$2:INDEX(I:I,ROW()-1), 0, 0, -1),0)</f>
        <v>5</v>
      </c>
      <c r="E835">
        <v>12</v>
      </c>
      <c r="F835">
        <f t="shared" ca="1" si="94"/>
        <v>5</v>
      </c>
      <c r="G835">
        <f t="shared" ca="1" si="95"/>
        <v>7</v>
      </c>
      <c r="H835">
        <f t="shared" ca="1" si="96"/>
        <v>3</v>
      </c>
      <c r="I835">
        <f t="shared" ca="1" si="97"/>
        <v>2</v>
      </c>
      <c r="J835">
        <v>3.5</v>
      </c>
      <c r="K835">
        <v>3</v>
      </c>
      <c r="L835">
        <v>14</v>
      </c>
      <c r="M835" s="3">
        <f t="shared" ca="1" si="93"/>
        <v>45360</v>
      </c>
      <c r="N835" s="3">
        <f t="shared" ca="1" si="93"/>
        <v>45370</v>
      </c>
      <c r="O835" s="3">
        <v>45294</v>
      </c>
    </row>
    <row r="836" spans="1:15" x14ac:dyDescent="0.3">
      <c r="A836" s="3">
        <v>45416</v>
      </c>
      <c r="B836" t="s">
        <v>56</v>
      </c>
      <c r="C836" t="s">
        <v>54</v>
      </c>
      <c r="D836" s="4" cm="1">
        <f t="array" aca="1" ref="D836" ca="1">IFERROR( _xlfn.XLOOKUP(B836, B$2:INDEX(B:B,ROW()-1), I$2:INDEX(I:I,ROW()-1), 0, 0, -1),0)</f>
        <v>5</v>
      </c>
      <c r="E836">
        <v>8</v>
      </c>
      <c r="F836">
        <f t="shared" ca="1" si="94"/>
        <v>1</v>
      </c>
      <c r="G836">
        <f t="shared" ca="1" si="95"/>
        <v>2</v>
      </c>
      <c r="H836">
        <f t="shared" ca="1" si="96"/>
        <v>6</v>
      </c>
      <c r="I836">
        <f t="shared" ca="1" si="97"/>
        <v>4</v>
      </c>
      <c r="J836">
        <v>6</v>
      </c>
      <c r="K836">
        <v>5.5</v>
      </c>
      <c r="L836">
        <v>20</v>
      </c>
      <c r="M836" s="3">
        <f t="shared" ca="1" si="93"/>
        <v>45426</v>
      </c>
      <c r="N836" s="3">
        <f t="shared" ca="1" si="93"/>
        <v>45309</v>
      </c>
      <c r="O836" s="3">
        <v>45330</v>
      </c>
    </row>
    <row r="837" spans="1:15" x14ac:dyDescent="0.3">
      <c r="A837" s="3">
        <v>45416</v>
      </c>
      <c r="B837" t="s">
        <v>40</v>
      </c>
      <c r="C837" t="s">
        <v>85</v>
      </c>
      <c r="D837" s="4" cm="1">
        <f t="array" aca="1" ref="D837" ca="1">IFERROR( _xlfn.XLOOKUP(B837, B$2:INDEX(B:B,ROW()-1), I$2:INDEX(I:I,ROW()-1), 0, 0, -1),0)</f>
        <v>8</v>
      </c>
      <c r="E837">
        <v>15</v>
      </c>
      <c r="F837">
        <f t="shared" ca="1" si="94"/>
        <v>14</v>
      </c>
      <c r="G837">
        <f t="shared" ca="1" si="95"/>
        <v>5</v>
      </c>
      <c r="H837">
        <f t="shared" ca="1" si="96"/>
        <v>0</v>
      </c>
      <c r="I837">
        <f t="shared" ca="1" si="97"/>
        <v>4</v>
      </c>
      <c r="J837">
        <v>3</v>
      </c>
      <c r="K837">
        <v>2.5</v>
      </c>
      <c r="L837">
        <v>14</v>
      </c>
      <c r="M837" s="3">
        <f t="shared" ca="1" si="93"/>
        <v>45411</v>
      </c>
      <c r="N837" s="3">
        <f t="shared" ca="1" si="93"/>
        <v>45353</v>
      </c>
      <c r="O837" s="3">
        <v>45314</v>
      </c>
    </row>
    <row r="838" spans="1:15" x14ac:dyDescent="0.3">
      <c r="A838" s="3">
        <v>45416</v>
      </c>
      <c r="B838" t="s">
        <v>10</v>
      </c>
      <c r="C838" t="s">
        <v>18</v>
      </c>
      <c r="D838" s="4" cm="1">
        <f t="array" aca="1" ref="D838" ca="1">IFERROR( _xlfn.XLOOKUP(B838, B$2:INDEX(B:B,ROW()-1), I$2:INDEX(I:I,ROW()-1), 0, 0, -1),0)</f>
        <v>2</v>
      </c>
      <c r="E838">
        <v>10</v>
      </c>
      <c r="F838">
        <f t="shared" ca="1" si="94"/>
        <v>6</v>
      </c>
      <c r="G838">
        <f t="shared" ca="1" si="95"/>
        <v>0</v>
      </c>
      <c r="H838">
        <f t="shared" ca="1" si="96"/>
        <v>4</v>
      </c>
      <c r="I838">
        <f t="shared" ca="1" si="97"/>
        <v>2</v>
      </c>
      <c r="J838">
        <v>5.5</v>
      </c>
      <c r="K838">
        <v>4.5</v>
      </c>
      <c r="L838">
        <v>7</v>
      </c>
      <c r="M838" s="3">
        <f t="shared" ca="1" si="93"/>
        <v>45424</v>
      </c>
      <c r="N838" s="3">
        <f t="shared" ca="1" si="93"/>
        <v>45343</v>
      </c>
      <c r="O838" s="3">
        <v>45373</v>
      </c>
    </row>
    <row r="839" spans="1:15" x14ac:dyDescent="0.3">
      <c r="A839" s="3">
        <v>45416</v>
      </c>
      <c r="B839" t="s">
        <v>70</v>
      </c>
      <c r="C839" t="s">
        <v>99</v>
      </c>
      <c r="D839" s="4" cm="1">
        <f t="array" aca="1" ref="D839" ca="1">IFERROR( _xlfn.XLOOKUP(B839, B$2:INDEX(B:B,ROW()-1), I$2:INDEX(I:I,ROW()-1), 0, 0, -1),0)</f>
        <v>3</v>
      </c>
      <c r="E839">
        <v>6</v>
      </c>
      <c r="F839">
        <f t="shared" ca="1" si="94"/>
        <v>0</v>
      </c>
      <c r="G839">
        <f t="shared" ca="1" si="95"/>
        <v>5</v>
      </c>
      <c r="H839">
        <f t="shared" ca="1" si="96"/>
        <v>0</v>
      </c>
      <c r="I839">
        <f t="shared" ca="1" si="97"/>
        <v>4</v>
      </c>
      <c r="J839">
        <v>4</v>
      </c>
      <c r="K839">
        <v>3</v>
      </c>
      <c r="L839">
        <v>7</v>
      </c>
      <c r="M839" s="3">
        <f t="shared" ca="1" si="93"/>
        <v>45346</v>
      </c>
      <c r="N839" s="3">
        <f t="shared" ca="1" si="93"/>
        <v>45307</v>
      </c>
      <c r="O839" s="3">
        <v>45413</v>
      </c>
    </row>
    <row r="840" spans="1:15" x14ac:dyDescent="0.3">
      <c r="A840" s="3">
        <v>45416</v>
      </c>
      <c r="B840" t="s">
        <v>19</v>
      </c>
      <c r="C840" t="s">
        <v>17</v>
      </c>
      <c r="D840" s="4" cm="1">
        <f t="array" aca="1" ref="D840" ca="1">IFERROR( _xlfn.XLOOKUP(B840, B$2:INDEX(B:B,ROW()-1), I$2:INDEX(I:I,ROW()-1), 0, 0, -1),0)</f>
        <v>8</v>
      </c>
      <c r="E840">
        <v>10</v>
      </c>
      <c r="F840">
        <f t="shared" ca="1" si="94"/>
        <v>0</v>
      </c>
      <c r="G840">
        <f t="shared" ca="1" si="95"/>
        <v>4</v>
      </c>
      <c r="H840">
        <f t="shared" ca="1" si="96"/>
        <v>6</v>
      </c>
      <c r="I840">
        <f t="shared" ca="1" si="97"/>
        <v>8</v>
      </c>
      <c r="J840">
        <v>4.5</v>
      </c>
      <c r="K840">
        <v>4</v>
      </c>
      <c r="L840">
        <v>10</v>
      </c>
      <c r="M840" s="3">
        <f t="shared" ca="1" si="93"/>
        <v>45360</v>
      </c>
      <c r="N840" s="3">
        <f t="shared" ca="1" si="93"/>
        <v>45380</v>
      </c>
      <c r="O840" s="3">
        <v>45418</v>
      </c>
    </row>
    <row r="841" spans="1:15" x14ac:dyDescent="0.3">
      <c r="A841" s="3">
        <v>45417</v>
      </c>
      <c r="B841" t="s">
        <v>70</v>
      </c>
      <c r="C841" t="s">
        <v>99</v>
      </c>
      <c r="D841" s="4" cm="1">
        <f t="array" aca="1" ref="D841" ca="1">IFERROR( _xlfn.XLOOKUP(B841, B$2:INDEX(B:B,ROW()-1), I$2:INDEX(I:I,ROW()-1), 0, 0, -1),0)</f>
        <v>4</v>
      </c>
      <c r="E841">
        <v>6</v>
      </c>
      <c r="F841">
        <f t="shared" ca="1" si="94"/>
        <v>4</v>
      </c>
      <c r="G841">
        <f t="shared" ca="1" si="95"/>
        <v>3</v>
      </c>
      <c r="H841">
        <f t="shared" ca="1" si="96"/>
        <v>0</v>
      </c>
      <c r="I841">
        <f t="shared" ca="1" si="97"/>
        <v>3</v>
      </c>
      <c r="J841">
        <v>4</v>
      </c>
      <c r="K841">
        <v>3</v>
      </c>
      <c r="L841">
        <v>7</v>
      </c>
      <c r="M841" s="3">
        <f t="shared" ca="1" si="93"/>
        <v>45321</v>
      </c>
      <c r="N841" s="3">
        <f t="shared" ca="1" si="93"/>
        <v>45433</v>
      </c>
      <c r="O841" s="3">
        <v>45379</v>
      </c>
    </row>
    <row r="842" spans="1:15" x14ac:dyDescent="0.3">
      <c r="A842" s="3">
        <v>45417</v>
      </c>
      <c r="B842" t="s">
        <v>68</v>
      </c>
      <c r="C842" t="s">
        <v>43</v>
      </c>
      <c r="D842" s="4" cm="1">
        <f t="array" aca="1" ref="D842" ca="1">IFERROR( _xlfn.XLOOKUP(B842, B$2:INDEX(B:B,ROW()-1), I$2:INDEX(I:I,ROW()-1), 0, 0, -1),0)</f>
        <v>9</v>
      </c>
      <c r="E842">
        <v>15</v>
      </c>
      <c r="F842">
        <f t="shared" ca="1" si="94"/>
        <v>8</v>
      </c>
      <c r="G842">
        <f t="shared" ca="1" si="95"/>
        <v>10</v>
      </c>
      <c r="H842">
        <f t="shared" ca="1" si="96"/>
        <v>0</v>
      </c>
      <c r="I842">
        <f t="shared" ca="1" si="97"/>
        <v>6</v>
      </c>
      <c r="J842">
        <v>4</v>
      </c>
      <c r="K842">
        <v>3</v>
      </c>
      <c r="L842">
        <v>14</v>
      </c>
      <c r="M842" s="3">
        <f t="shared" ref="M842:N861" ca="1" si="98">DATE(2024,1,1) + RANDBETWEEN(0, DATE(2024,5,25) - DATE(2024,1,1))</f>
        <v>45408</v>
      </c>
      <c r="N842" s="3">
        <f t="shared" ca="1" si="98"/>
        <v>45320</v>
      </c>
      <c r="O842" s="3">
        <v>45335</v>
      </c>
    </row>
    <row r="843" spans="1:15" x14ac:dyDescent="0.3">
      <c r="A843" s="3">
        <v>45417</v>
      </c>
      <c r="B843" t="s">
        <v>21</v>
      </c>
      <c r="C843" t="s">
        <v>27</v>
      </c>
      <c r="D843" s="4" cm="1">
        <f t="array" aca="1" ref="D843" ca="1">IFERROR( _xlfn.XLOOKUP(B843, B$2:INDEX(B:B,ROW()-1), I$2:INDEX(I:I,ROW()-1), 0, 0, -1),0)</f>
        <v>3</v>
      </c>
      <c r="E843">
        <v>8</v>
      </c>
      <c r="F843">
        <f t="shared" ca="1" si="94"/>
        <v>5</v>
      </c>
      <c r="G843">
        <f t="shared" ca="1" si="95"/>
        <v>3</v>
      </c>
      <c r="H843">
        <f t="shared" ca="1" si="96"/>
        <v>0</v>
      </c>
      <c r="I843">
        <f t="shared" ca="1" si="97"/>
        <v>3</v>
      </c>
      <c r="J843">
        <v>4</v>
      </c>
      <c r="K843">
        <v>3</v>
      </c>
      <c r="L843">
        <v>14</v>
      </c>
      <c r="M843" s="3">
        <f t="shared" ca="1" si="98"/>
        <v>45317</v>
      </c>
      <c r="N843" s="3">
        <f t="shared" ca="1" si="98"/>
        <v>45379</v>
      </c>
      <c r="O843" s="3">
        <v>45434</v>
      </c>
    </row>
    <row r="844" spans="1:15" x14ac:dyDescent="0.3">
      <c r="A844" s="3">
        <v>45418</v>
      </c>
      <c r="B844" t="s">
        <v>10</v>
      </c>
      <c r="C844" t="s">
        <v>18</v>
      </c>
      <c r="D844" s="4" cm="1">
        <f t="array" aca="1" ref="D844" ca="1">IFERROR( _xlfn.XLOOKUP(B844, B$2:INDEX(B:B,ROW()-1), I$2:INDEX(I:I,ROW()-1), 0, 0, -1),0)</f>
        <v>2</v>
      </c>
      <c r="E844">
        <v>10</v>
      </c>
      <c r="F844">
        <f t="shared" ca="1" si="94"/>
        <v>1</v>
      </c>
      <c r="G844">
        <f t="shared" ca="1" si="95"/>
        <v>0</v>
      </c>
      <c r="H844">
        <f t="shared" ca="1" si="96"/>
        <v>6</v>
      </c>
      <c r="I844">
        <f t="shared" ca="1" si="97"/>
        <v>5</v>
      </c>
      <c r="J844">
        <v>5.5</v>
      </c>
      <c r="K844">
        <v>4.5</v>
      </c>
      <c r="L844">
        <v>7</v>
      </c>
      <c r="M844" s="3">
        <f t="shared" ca="1" si="98"/>
        <v>45432</v>
      </c>
      <c r="N844" s="3">
        <f t="shared" ca="1" si="98"/>
        <v>45347</v>
      </c>
      <c r="O844" s="3">
        <v>45337</v>
      </c>
    </row>
    <row r="845" spans="1:15" x14ac:dyDescent="0.3">
      <c r="A845" s="3">
        <v>45418</v>
      </c>
      <c r="B845" t="s">
        <v>24</v>
      </c>
      <c r="C845" t="s">
        <v>29</v>
      </c>
      <c r="D845" s="4" cm="1">
        <f t="array" aca="1" ref="D845" ca="1">IFERROR( _xlfn.XLOOKUP(B845, B$2:INDEX(B:B,ROW()-1), I$2:INDEX(I:I,ROW()-1), 0, 0, -1),0)</f>
        <v>8</v>
      </c>
      <c r="E845">
        <v>8</v>
      </c>
      <c r="F845">
        <f t="shared" ca="1" si="94"/>
        <v>4</v>
      </c>
      <c r="G845">
        <f t="shared" ca="1" si="95"/>
        <v>1</v>
      </c>
      <c r="H845">
        <f t="shared" ca="1" si="96"/>
        <v>0</v>
      </c>
      <c r="I845">
        <f t="shared" ca="1" si="97"/>
        <v>11</v>
      </c>
      <c r="J845">
        <v>7.5</v>
      </c>
      <c r="K845">
        <v>5.5</v>
      </c>
      <c r="L845">
        <v>7</v>
      </c>
      <c r="M845" s="3">
        <f t="shared" ca="1" si="98"/>
        <v>45424</v>
      </c>
      <c r="N845" s="3">
        <f t="shared" ca="1" si="98"/>
        <v>45402</v>
      </c>
      <c r="O845" s="3">
        <v>45319</v>
      </c>
    </row>
    <row r="846" spans="1:15" x14ac:dyDescent="0.3">
      <c r="A846" s="3">
        <v>45418</v>
      </c>
      <c r="B846" t="s">
        <v>36</v>
      </c>
      <c r="C846" t="s">
        <v>33</v>
      </c>
      <c r="D846" s="4" cm="1">
        <f t="array" aca="1" ref="D846" ca="1">IFERROR( _xlfn.XLOOKUP(B846, B$2:INDEX(B:B,ROW()-1), I$2:INDEX(I:I,ROW()-1), 0, 0, -1),0)</f>
        <v>4</v>
      </c>
      <c r="E846">
        <v>12</v>
      </c>
      <c r="F846">
        <f t="shared" ca="1" si="94"/>
        <v>0</v>
      </c>
      <c r="G846">
        <f t="shared" ca="1" si="95"/>
        <v>1</v>
      </c>
      <c r="H846">
        <f t="shared" ca="1" si="96"/>
        <v>2</v>
      </c>
      <c r="I846">
        <f t="shared" ca="1" si="97"/>
        <v>13</v>
      </c>
      <c r="J846">
        <v>3.5</v>
      </c>
      <c r="K846">
        <v>3</v>
      </c>
      <c r="L846">
        <v>14</v>
      </c>
      <c r="M846" s="3">
        <f t="shared" ca="1" si="98"/>
        <v>45334</v>
      </c>
      <c r="N846" s="3">
        <f t="shared" ca="1" si="98"/>
        <v>45394</v>
      </c>
      <c r="O846" s="3">
        <v>45334</v>
      </c>
    </row>
    <row r="847" spans="1:15" x14ac:dyDescent="0.3">
      <c r="A847" s="3">
        <v>45418</v>
      </c>
      <c r="B847" t="s">
        <v>24</v>
      </c>
      <c r="C847" t="s">
        <v>29</v>
      </c>
      <c r="D847" s="4" cm="1">
        <f t="array" aca="1" ref="D847" ca="1">IFERROR( _xlfn.XLOOKUP(B847, B$2:INDEX(B:B,ROW()-1), I$2:INDEX(I:I,ROW()-1), 0, 0, -1),0)</f>
        <v>11</v>
      </c>
      <c r="E847">
        <v>8</v>
      </c>
      <c r="F847">
        <f t="shared" ca="1" si="94"/>
        <v>10</v>
      </c>
      <c r="G847">
        <f t="shared" ca="1" si="95"/>
        <v>3</v>
      </c>
      <c r="H847">
        <f t="shared" ca="1" si="96"/>
        <v>3</v>
      </c>
      <c r="I847">
        <f t="shared" ca="1" si="97"/>
        <v>3</v>
      </c>
      <c r="J847">
        <v>7.5</v>
      </c>
      <c r="K847">
        <v>5.5</v>
      </c>
      <c r="L847">
        <v>7</v>
      </c>
      <c r="M847" s="3">
        <f t="shared" ca="1" si="98"/>
        <v>45297</v>
      </c>
      <c r="N847" s="3">
        <f t="shared" ca="1" si="98"/>
        <v>45400</v>
      </c>
      <c r="O847" s="3">
        <v>45305</v>
      </c>
    </row>
    <row r="848" spans="1:15" x14ac:dyDescent="0.3">
      <c r="A848" s="3">
        <v>45418</v>
      </c>
      <c r="B848" t="s">
        <v>19</v>
      </c>
      <c r="C848" t="s">
        <v>17</v>
      </c>
      <c r="D848" s="4" cm="1">
        <f t="array" aca="1" ref="D848" ca="1">IFERROR( _xlfn.XLOOKUP(B848, B$2:INDEX(B:B,ROW()-1), I$2:INDEX(I:I,ROW()-1), 0, 0, -1),0)</f>
        <v>8</v>
      </c>
      <c r="E848">
        <v>10</v>
      </c>
      <c r="F848">
        <f t="shared" ca="1" si="94"/>
        <v>0</v>
      </c>
      <c r="G848">
        <f t="shared" ca="1" si="95"/>
        <v>3</v>
      </c>
      <c r="H848">
        <f t="shared" ca="1" si="96"/>
        <v>5</v>
      </c>
      <c r="I848">
        <f t="shared" ca="1" si="97"/>
        <v>10</v>
      </c>
      <c r="J848">
        <v>4.5</v>
      </c>
      <c r="K848">
        <v>4</v>
      </c>
      <c r="L848">
        <v>10</v>
      </c>
      <c r="M848" s="3">
        <f t="shared" ca="1" si="98"/>
        <v>45390</v>
      </c>
      <c r="N848" s="3">
        <f t="shared" ca="1" si="98"/>
        <v>45311</v>
      </c>
      <c r="O848" s="3">
        <v>45419</v>
      </c>
    </row>
    <row r="849" spans="1:15" x14ac:dyDescent="0.3">
      <c r="A849" s="3">
        <v>45418</v>
      </c>
      <c r="B849" t="s">
        <v>79</v>
      </c>
      <c r="C849" t="s">
        <v>104</v>
      </c>
      <c r="D849" s="4" cm="1">
        <f t="array" aca="1" ref="D849" ca="1">IFERROR( _xlfn.XLOOKUP(B849, B$2:INDEX(B:B,ROW()-1), I$2:INDEX(I:I,ROW()-1), 0, 0, -1),0)</f>
        <v>4</v>
      </c>
      <c r="E849">
        <v>8</v>
      </c>
      <c r="F849">
        <f t="shared" ca="1" si="94"/>
        <v>5</v>
      </c>
      <c r="G849">
        <f t="shared" ca="1" si="95"/>
        <v>0</v>
      </c>
      <c r="H849">
        <f t="shared" ca="1" si="96"/>
        <v>4</v>
      </c>
      <c r="I849">
        <f t="shared" ca="1" si="97"/>
        <v>3</v>
      </c>
      <c r="J849">
        <v>2.5</v>
      </c>
      <c r="K849">
        <v>2</v>
      </c>
      <c r="L849">
        <v>5</v>
      </c>
      <c r="M849" s="3">
        <f t="shared" ca="1" si="98"/>
        <v>45424</v>
      </c>
      <c r="N849" s="3">
        <f t="shared" ca="1" si="98"/>
        <v>45389</v>
      </c>
      <c r="O849" s="3">
        <v>45354</v>
      </c>
    </row>
    <row r="850" spans="1:15" x14ac:dyDescent="0.3">
      <c r="A850" s="3">
        <v>45418</v>
      </c>
      <c r="B850" t="s">
        <v>92</v>
      </c>
      <c r="C850" t="s">
        <v>91</v>
      </c>
      <c r="D850" s="4" cm="1">
        <f t="array" aca="1" ref="D850" ca="1">IFERROR( _xlfn.XLOOKUP(B850, B$2:INDEX(B:B,ROW()-1), I$2:INDEX(I:I,ROW()-1), 0, 0, -1),0)</f>
        <v>3</v>
      </c>
      <c r="E850">
        <v>6</v>
      </c>
      <c r="F850">
        <f t="shared" ca="1" si="94"/>
        <v>5</v>
      </c>
      <c r="G850">
        <f t="shared" ca="1" si="95"/>
        <v>2</v>
      </c>
      <c r="H850">
        <f t="shared" ca="1" si="96"/>
        <v>1</v>
      </c>
      <c r="I850">
        <f t="shared" ca="1" si="97"/>
        <v>1</v>
      </c>
      <c r="J850">
        <v>4.5</v>
      </c>
      <c r="K850">
        <v>4</v>
      </c>
      <c r="L850">
        <v>14</v>
      </c>
      <c r="M850" s="3">
        <f t="shared" ca="1" si="98"/>
        <v>45420</v>
      </c>
      <c r="N850" s="3">
        <f t="shared" ca="1" si="98"/>
        <v>45323</v>
      </c>
      <c r="O850" s="3">
        <v>45301</v>
      </c>
    </row>
    <row r="851" spans="1:15" x14ac:dyDescent="0.3">
      <c r="A851" s="3">
        <v>45418</v>
      </c>
      <c r="B851" t="s">
        <v>58</v>
      </c>
      <c r="C851" t="s">
        <v>76</v>
      </c>
      <c r="D851" s="4" cm="1">
        <f t="array" aca="1" ref="D851" ca="1">IFERROR( _xlfn.XLOOKUP(B851, B$2:INDEX(B:B,ROW()-1), I$2:INDEX(I:I,ROW()-1), 0, 0, -1),0)</f>
        <v>9</v>
      </c>
      <c r="E851">
        <v>15</v>
      </c>
      <c r="F851">
        <f t="shared" ca="1" si="94"/>
        <v>8</v>
      </c>
      <c r="G851">
        <f t="shared" ca="1" si="95"/>
        <v>9</v>
      </c>
      <c r="H851">
        <f t="shared" ca="1" si="96"/>
        <v>4</v>
      </c>
      <c r="I851">
        <f t="shared" ca="1" si="97"/>
        <v>3</v>
      </c>
      <c r="J851">
        <v>6</v>
      </c>
      <c r="K851">
        <v>5.5</v>
      </c>
      <c r="L851">
        <v>20</v>
      </c>
      <c r="M851" s="3">
        <f t="shared" ca="1" si="98"/>
        <v>45433</v>
      </c>
      <c r="N851" s="3">
        <f t="shared" ca="1" si="98"/>
        <v>45386</v>
      </c>
      <c r="O851" s="3">
        <v>45323</v>
      </c>
    </row>
    <row r="852" spans="1:15" x14ac:dyDescent="0.3">
      <c r="A852" s="3">
        <v>45418</v>
      </c>
      <c r="B852" t="s">
        <v>83</v>
      </c>
      <c r="C852" t="s">
        <v>100</v>
      </c>
      <c r="D852" s="4" cm="1">
        <f t="array" aca="1" ref="D852" ca="1">IFERROR( _xlfn.XLOOKUP(B852, B$2:INDEX(B:B,ROW()-1), I$2:INDEX(I:I,ROW()-1), 0, 0, -1),0)</f>
        <v>3</v>
      </c>
      <c r="E852">
        <v>10</v>
      </c>
      <c r="F852">
        <f t="shared" ca="1" si="94"/>
        <v>1</v>
      </c>
      <c r="G852">
        <f t="shared" ca="1" si="95"/>
        <v>3</v>
      </c>
      <c r="H852">
        <f t="shared" ca="1" si="96"/>
        <v>2</v>
      </c>
      <c r="I852">
        <f t="shared" ca="1" si="97"/>
        <v>7</v>
      </c>
      <c r="J852">
        <v>4.5</v>
      </c>
      <c r="K852">
        <v>4</v>
      </c>
      <c r="L852">
        <v>10</v>
      </c>
      <c r="M852" s="3">
        <f t="shared" ca="1" si="98"/>
        <v>45344</v>
      </c>
      <c r="N852" s="3">
        <f t="shared" ca="1" si="98"/>
        <v>45375</v>
      </c>
      <c r="O852" s="3">
        <v>45419</v>
      </c>
    </row>
    <row r="853" spans="1:15" x14ac:dyDescent="0.3">
      <c r="A853" s="3">
        <v>45418</v>
      </c>
      <c r="B853" t="s">
        <v>84</v>
      </c>
      <c r="C853" t="s">
        <v>101</v>
      </c>
      <c r="D853" s="4" cm="1">
        <f t="array" aca="1" ref="D853" ca="1">IFERROR( _xlfn.XLOOKUP(B853, B$2:INDEX(B:B,ROW()-1), I$2:INDEX(I:I,ROW()-1), 0, 0, -1),0)</f>
        <v>1</v>
      </c>
      <c r="E853">
        <v>8</v>
      </c>
      <c r="F853">
        <f t="shared" ca="1" si="94"/>
        <v>3</v>
      </c>
      <c r="G853">
        <f t="shared" ca="1" si="95"/>
        <v>1</v>
      </c>
      <c r="H853">
        <f t="shared" ca="1" si="96"/>
        <v>3</v>
      </c>
      <c r="I853">
        <f t="shared" ca="1" si="97"/>
        <v>2</v>
      </c>
      <c r="J853">
        <v>3.5</v>
      </c>
      <c r="K853">
        <v>3</v>
      </c>
      <c r="L853">
        <v>8</v>
      </c>
      <c r="M853" s="3">
        <f t="shared" ca="1" si="98"/>
        <v>45316</v>
      </c>
      <c r="N853" s="3">
        <f t="shared" ca="1" si="98"/>
        <v>45329</v>
      </c>
      <c r="O853" s="3">
        <v>45418</v>
      </c>
    </row>
    <row r="854" spans="1:15" x14ac:dyDescent="0.3">
      <c r="A854" s="3">
        <v>45418</v>
      </c>
      <c r="B854" t="s">
        <v>92</v>
      </c>
      <c r="C854" t="s">
        <v>91</v>
      </c>
      <c r="D854" s="4" cm="1">
        <f t="array" aca="1" ref="D854" ca="1">IFERROR( _xlfn.XLOOKUP(B854, B$2:INDEX(B:B,ROW()-1), I$2:INDEX(I:I,ROW()-1), 0, 0, -1),0)</f>
        <v>1</v>
      </c>
      <c r="E854">
        <v>6</v>
      </c>
      <c r="F854">
        <f t="shared" ca="1" si="94"/>
        <v>2</v>
      </c>
      <c r="G854">
        <f t="shared" ca="1" si="95"/>
        <v>1</v>
      </c>
      <c r="H854">
        <f t="shared" ca="1" si="96"/>
        <v>2</v>
      </c>
      <c r="I854">
        <f t="shared" ca="1" si="97"/>
        <v>2</v>
      </c>
      <c r="J854">
        <v>4.5</v>
      </c>
      <c r="K854">
        <v>4</v>
      </c>
      <c r="L854">
        <v>14</v>
      </c>
      <c r="M854" s="3">
        <f t="shared" ca="1" si="98"/>
        <v>45415</v>
      </c>
      <c r="N854" s="3">
        <f t="shared" ca="1" si="98"/>
        <v>45332</v>
      </c>
      <c r="O854" s="3">
        <v>45399</v>
      </c>
    </row>
    <row r="855" spans="1:15" x14ac:dyDescent="0.3">
      <c r="A855" s="3">
        <v>45418</v>
      </c>
      <c r="B855" t="s">
        <v>61</v>
      </c>
      <c r="C855" t="s">
        <v>95</v>
      </c>
      <c r="D855" s="4" cm="1">
        <f t="array" aca="1" ref="D855" ca="1">IFERROR( _xlfn.XLOOKUP(B855, B$2:INDEX(B:B,ROW()-1), I$2:INDEX(I:I,ROW()-1), 0, 0, -1),0)</f>
        <v>9</v>
      </c>
      <c r="E855">
        <v>10</v>
      </c>
      <c r="F855">
        <f t="shared" ca="1" si="94"/>
        <v>11</v>
      </c>
      <c r="G855">
        <f t="shared" ca="1" si="95"/>
        <v>1</v>
      </c>
      <c r="H855">
        <f t="shared" ca="1" si="96"/>
        <v>4</v>
      </c>
      <c r="I855">
        <f t="shared" ca="1" si="97"/>
        <v>3</v>
      </c>
      <c r="J855">
        <v>4</v>
      </c>
      <c r="K855">
        <v>3.5</v>
      </c>
      <c r="L855">
        <v>10</v>
      </c>
      <c r="M855" s="3">
        <f t="shared" ca="1" si="98"/>
        <v>45302</v>
      </c>
      <c r="N855" s="3">
        <f t="shared" ca="1" si="98"/>
        <v>45434</v>
      </c>
      <c r="O855" s="3">
        <v>45382</v>
      </c>
    </row>
    <row r="856" spans="1:15" x14ac:dyDescent="0.3">
      <c r="A856" s="3">
        <v>45418</v>
      </c>
      <c r="B856" t="s">
        <v>55</v>
      </c>
      <c r="C856" t="s">
        <v>53</v>
      </c>
      <c r="D856" s="4" cm="1">
        <f t="array" aca="1" ref="D856" ca="1">IFERROR( _xlfn.XLOOKUP(B856, B$2:INDEX(B:B,ROW()-1), I$2:INDEX(I:I,ROW()-1), 0, 0, -1),0)</f>
        <v>4</v>
      </c>
      <c r="E856">
        <v>4</v>
      </c>
      <c r="F856">
        <f t="shared" ca="1" si="94"/>
        <v>0</v>
      </c>
      <c r="G856">
        <f t="shared" ca="1" si="95"/>
        <v>1</v>
      </c>
      <c r="H856">
        <f t="shared" ca="1" si="96"/>
        <v>3</v>
      </c>
      <c r="I856">
        <f t="shared" ca="1" si="97"/>
        <v>4</v>
      </c>
      <c r="J856">
        <v>8.5</v>
      </c>
      <c r="K856">
        <v>6</v>
      </c>
      <c r="L856">
        <v>7</v>
      </c>
      <c r="M856" s="3">
        <f t="shared" ca="1" si="98"/>
        <v>45404</v>
      </c>
      <c r="N856" s="3">
        <f t="shared" ca="1" si="98"/>
        <v>45383</v>
      </c>
      <c r="O856" s="3">
        <v>45332</v>
      </c>
    </row>
    <row r="857" spans="1:15" x14ac:dyDescent="0.3">
      <c r="A857" s="3">
        <v>45418</v>
      </c>
      <c r="B857" t="s">
        <v>70</v>
      </c>
      <c r="C857" t="s">
        <v>99</v>
      </c>
      <c r="D857" s="4" cm="1">
        <f t="array" aca="1" ref="D857" ca="1">IFERROR( _xlfn.XLOOKUP(B857, B$2:INDEX(B:B,ROW()-1), I$2:INDEX(I:I,ROW()-1), 0, 0, -1),0)</f>
        <v>3</v>
      </c>
      <c r="E857">
        <v>6</v>
      </c>
      <c r="F857">
        <f t="shared" ca="1" si="94"/>
        <v>1</v>
      </c>
      <c r="G857">
        <f t="shared" ca="1" si="95"/>
        <v>4</v>
      </c>
      <c r="H857">
        <f t="shared" ca="1" si="96"/>
        <v>2</v>
      </c>
      <c r="I857">
        <f t="shared" ca="1" si="97"/>
        <v>2</v>
      </c>
      <c r="J857">
        <v>4</v>
      </c>
      <c r="K857">
        <v>3</v>
      </c>
      <c r="L857">
        <v>7</v>
      </c>
      <c r="M857" s="3">
        <f t="shared" ca="1" si="98"/>
        <v>45334</v>
      </c>
      <c r="N857" s="3">
        <f t="shared" ca="1" si="98"/>
        <v>45317</v>
      </c>
      <c r="O857" s="3">
        <v>45322</v>
      </c>
    </row>
    <row r="858" spans="1:15" x14ac:dyDescent="0.3">
      <c r="A858" s="3">
        <v>45418</v>
      </c>
      <c r="B858" t="s">
        <v>34</v>
      </c>
      <c r="C858" t="s">
        <v>30</v>
      </c>
      <c r="D858" s="4" cm="1">
        <f t="array" aca="1" ref="D858" ca="1">IFERROR( _xlfn.XLOOKUP(B858, B$2:INDEX(B:B,ROW()-1), I$2:INDEX(I:I,ROW()-1), 0, 0, -1),0)</f>
        <v>3</v>
      </c>
      <c r="E858">
        <v>6</v>
      </c>
      <c r="F858">
        <f t="shared" ca="1" si="94"/>
        <v>4</v>
      </c>
      <c r="G858">
        <f t="shared" ca="1" si="95"/>
        <v>0</v>
      </c>
      <c r="H858">
        <f t="shared" ca="1" si="96"/>
        <v>0</v>
      </c>
      <c r="I858">
        <f t="shared" ca="1" si="97"/>
        <v>5</v>
      </c>
      <c r="J858">
        <v>3.5</v>
      </c>
      <c r="K858">
        <v>3</v>
      </c>
      <c r="L858">
        <v>10</v>
      </c>
      <c r="M858" s="3">
        <f t="shared" ca="1" si="98"/>
        <v>45425</v>
      </c>
      <c r="N858" s="3">
        <f t="shared" ca="1" si="98"/>
        <v>45373</v>
      </c>
      <c r="O858" s="3">
        <v>45418</v>
      </c>
    </row>
    <row r="859" spans="1:15" x14ac:dyDescent="0.3">
      <c r="A859" s="3">
        <v>45418</v>
      </c>
      <c r="B859" t="s">
        <v>69</v>
      </c>
      <c r="C859" t="s">
        <v>98</v>
      </c>
      <c r="D859" s="4" cm="1">
        <f t="array" aca="1" ref="D859" ca="1">IFERROR( _xlfn.XLOOKUP(B859, B$2:INDEX(B:B,ROW()-1), I$2:INDEX(I:I,ROW()-1), 0, 0, -1),0)</f>
        <v>3</v>
      </c>
      <c r="E859">
        <v>6</v>
      </c>
      <c r="F859">
        <f t="shared" ca="1" si="94"/>
        <v>4</v>
      </c>
      <c r="G859">
        <f t="shared" ca="1" si="95"/>
        <v>1</v>
      </c>
      <c r="H859">
        <f t="shared" ca="1" si="96"/>
        <v>2</v>
      </c>
      <c r="I859">
        <f t="shared" ca="1" si="97"/>
        <v>2</v>
      </c>
      <c r="J859">
        <v>4</v>
      </c>
      <c r="K859">
        <v>3</v>
      </c>
      <c r="L859">
        <v>7</v>
      </c>
      <c r="M859" s="3">
        <f t="shared" ca="1" si="98"/>
        <v>45432</v>
      </c>
      <c r="N859" s="3">
        <f t="shared" ca="1" si="98"/>
        <v>45390</v>
      </c>
      <c r="O859" s="3">
        <v>45355</v>
      </c>
    </row>
    <row r="860" spans="1:15" x14ac:dyDescent="0.3">
      <c r="A860" s="3">
        <v>45418</v>
      </c>
      <c r="B860" t="s">
        <v>24</v>
      </c>
      <c r="C860" t="s">
        <v>29</v>
      </c>
      <c r="D860" s="4" cm="1">
        <f t="array" aca="1" ref="D860" ca="1">IFERROR( _xlfn.XLOOKUP(B860, B$2:INDEX(B:B,ROW()-1), I$2:INDEX(I:I,ROW()-1), 0, 0, -1),0)</f>
        <v>3</v>
      </c>
      <c r="E860">
        <v>8</v>
      </c>
      <c r="F860">
        <f t="shared" ca="1" si="94"/>
        <v>5</v>
      </c>
      <c r="G860">
        <f t="shared" ca="1" si="95"/>
        <v>1</v>
      </c>
      <c r="H860">
        <f t="shared" ca="1" si="96"/>
        <v>3</v>
      </c>
      <c r="I860">
        <f t="shared" ca="1" si="97"/>
        <v>2</v>
      </c>
      <c r="J860">
        <v>7.5</v>
      </c>
      <c r="K860">
        <v>5.5</v>
      </c>
      <c r="L860">
        <v>7</v>
      </c>
      <c r="M860" s="3">
        <f t="shared" ca="1" si="98"/>
        <v>45330</v>
      </c>
      <c r="N860" s="3">
        <f t="shared" ca="1" si="98"/>
        <v>45392</v>
      </c>
      <c r="O860" s="3">
        <v>45319</v>
      </c>
    </row>
    <row r="861" spans="1:15" x14ac:dyDescent="0.3">
      <c r="A861" s="3">
        <v>45419</v>
      </c>
      <c r="B861" t="s">
        <v>39</v>
      </c>
      <c r="C861" t="s">
        <v>32</v>
      </c>
      <c r="D861" s="4" cm="1">
        <f t="array" aca="1" ref="D861" ca="1">IFERROR( _xlfn.XLOOKUP(B861, B$2:INDEX(B:B,ROW()-1), I$2:INDEX(I:I,ROW()-1), 0, 0, -1),0)</f>
        <v>7</v>
      </c>
      <c r="E861">
        <v>12</v>
      </c>
      <c r="F861">
        <f t="shared" ca="1" si="94"/>
        <v>10</v>
      </c>
      <c r="G861">
        <f t="shared" ca="1" si="95"/>
        <v>3</v>
      </c>
      <c r="H861">
        <f t="shared" ca="1" si="96"/>
        <v>1</v>
      </c>
      <c r="I861">
        <f t="shared" ca="1" si="97"/>
        <v>5</v>
      </c>
      <c r="J861">
        <v>3.5</v>
      </c>
      <c r="K861">
        <v>3</v>
      </c>
      <c r="L861">
        <v>14</v>
      </c>
      <c r="M861" s="3">
        <f t="shared" ca="1" si="98"/>
        <v>45409</v>
      </c>
      <c r="N861" s="3">
        <f t="shared" ca="1" si="98"/>
        <v>45397</v>
      </c>
      <c r="O861" s="3">
        <v>45429</v>
      </c>
    </row>
    <row r="862" spans="1:15" x14ac:dyDescent="0.3">
      <c r="A862" s="3">
        <v>45419</v>
      </c>
      <c r="B862" t="s">
        <v>58</v>
      </c>
      <c r="C862" t="s">
        <v>76</v>
      </c>
      <c r="D862" s="4" cm="1">
        <f t="array" aca="1" ref="D862" ca="1">IFERROR( _xlfn.XLOOKUP(B862, B$2:INDEX(B:B,ROW()-1), I$2:INDEX(I:I,ROW()-1), 0, 0, -1),0)</f>
        <v>3</v>
      </c>
      <c r="E862">
        <v>15</v>
      </c>
      <c r="F862">
        <f t="shared" ca="1" si="94"/>
        <v>5</v>
      </c>
      <c r="G862">
        <f t="shared" ca="1" si="95"/>
        <v>6</v>
      </c>
      <c r="H862">
        <f t="shared" ca="1" si="96"/>
        <v>1</v>
      </c>
      <c r="I862">
        <f t="shared" ca="1" si="97"/>
        <v>6</v>
      </c>
      <c r="J862">
        <v>6</v>
      </c>
      <c r="K862">
        <v>5.5</v>
      </c>
      <c r="L862">
        <v>20</v>
      </c>
      <c r="M862" s="3">
        <f t="shared" ref="M862:N881" ca="1" si="99">DATE(2024,1,1) + RANDBETWEEN(0, DATE(2024,5,25) - DATE(2024,1,1))</f>
        <v>45396</v>
      </c>
      <c r="N862" s="3">
        <f t="shared" ca="1" si="99"/>
        <v>45336</v>
      </c>
      <c r="O862" s="3">
        <v>45316</v>
      </c>
    </row>
    <row r="863" spans="1:15" x14ac:dyDescent="0.3">
      <c r="A863" s="3">
        <v>45419</v>
      </c>
      <c r="B863" t="s">
        <v>81</v>
      </c>
      <c r="C863" t="s">
        <v>50</v>
      </c>
      <c r="D863" s="4" cm="1">
        <f t="array" aca="1" ref="D863" ca="1">IFERROR( _xlfn.XLOOKUP(B863, B$2:INDEX(B:B,ROW()-1), I$2:INDEX(I:I,ROW()-1), 0, 0, -1),0)</f>
        <v>8</v>
      </c>
      <c r="E863">
        <v>8</v>
      </c>
      <c r="F863">
        <f t="shared" ca="1" si="94"/>
        <v>9</v>
      </c>
      <c r="G863">
        <f t="shared" ca="1" si="95"/>
        <v>3</v>
      </c>
      <c r="H863">
        <f t="shared" ca="1" si="96"/>
        <v>0</v>
      </c>
      <c r="I863">
        <f t="shared" ca="1" si="97"/>
        <v>4</v>
      </c>
      <c r="J863">
        <v>2.5</v>
      </c>
      <c r="K863">
        <v>2</v>
      </c>
      <c r="L863">
        <v>5</v>
      </c>
      <c r="M863" s="3">
        <f t="shared" ca="1" si="99"/>
        <v>45387</v>
      </c>
      <c r="N863" s="3">
        <f t="shared" ca="1" si="99"/>
        <v>45386</v>
      </c>
      <c r="O863" s="3">
        <v>45424</v>
      </c>
    </row>
    <row r="864" spans="1:15" x14ac:dyDescent="0.3">
      <c r="A864" s="3">
        <v>45419</v>
      </c>
      <c r="B864" t="s">
        <v>80</v>
      </c>
      <c r="C864" t="s">
        <v>49</v>
      </c>
      <c r="D864" s="4" cm="1">
        <f t="array" aca="1" ref="D864" ca="1">IFERROR( _xlfn.XLOOKUP(B864, B$2:INDEX(B:B,ROW()-1), I$2:INDEX(I:I,ROW()-1), 0, 0, -1),0)</f>
        <v>7</v>
      </c>
      <c r="E864">
        <v>8</v>
      </c>
      <c r="F864">
        <f t="shared" ca="1" si="94"/>
        <v>2</v>
      </c>
      <c r="G864">
        <f t="shared" ca="1" si="95"/>
        <v>0</v>
      </c>
      <c r="H864">
        <f t="shared" ca="1" si="96"/>
        <v>3</v>
      </c>
      <c r="I864">
        <f t="shared" ca="1" si="97"/>
        <v>10</v>
      </c>
      <c r="J864">
        <v>2.5</v>
      </c>
      <c r="K864">
        <v>2</v>
      </c>
      <c r="L864">
        <v>5</v>
      </c>
      <c r="M864" s="3">
        <f t="shared" ca="1" si="99"/>
        <v>45423</v>
      </c>
      <c r="N864" s="3">
        <f t="shared" ca="1" si="99"/>
        <v>45309</v>
      </c>
      <c r="O864" s="3">
        <v>45387</v>
      </c>
    </row>
    <row r="865" spans="1:15" x14ac:dyDescent="0.3">
      <c r="A865" s="3">
        <v>45419</v>
      </c>
      <c r="B865" t="s">
        <v>72</v>
      </c>
      <c r="C865" t="s">
        <v>48</v>
      </c>
      <c r="D865" s="4" cm="1">
        <f t="array" aca="1" ref="D865" ca="1">IFERROR( _xlfn.XLOOKUP(B865, B$2:INDEX(B:B,ROW()-1), I$2:INDEX(I:I,ROW()-1), 0, 0, -1),0)</f>
        <v>6</v>
      </c>
      <c r="E865">
        <v>6</v>
      </c>
      <c r="F865">
        <f t="shared" ca="1" si="94"/>
        <v>6</v>
      </c>
      <c r="G865">
        <f t="shared" ca="1" si="95"/>
        <v>0</v>
      </c>
      <c r="H865">
        <f t="shared" ca="1" si="96"/>
        <v>0</v>
      </c>
      <c r="I865">
        <f t="shared" ca="1" si="97"/>
        <v>6</v>
      </c>
      <c r="J865">
        <v>4</v>
      </c>
      <c r="K865">
        <v>3</v>
      </c>
      <c r="L865">
        <v>7</v>
      </c>
      <c r="M865" s="3">
        <f t="shared" ca="1" si="99"/>
        <v>45356</v>
      </c>
      <c r="N865" s="3">
        <f t="shared" ca="1" si="99"/>
        <v>45393</v>
      </c>
      <c r="O865" s="3">
        <v>45348</v>
      </c>
    </row>
    <row r="866" spans="1:15" x14ac:dyDescent="0.3">
      <c r="A866" s="3">
        <v>45419</v>
      </c>
      <c r="B866" t="s">
        <v>39</v>
      </c>
      <c r="C866" t="s">
        <v>32</v>
      </c>
      <c r="D866" s="4" cm="1">
        <f t="array" aca="1" ref="D866" ca="1">IFERROR( _xlfn.XLOOKUP(B866, B$2:INDEX(B:B,ROW()-1), I$2:INDEX(I:I,ROW()-1), 0, 0, -1),0)</f>
        <v>5</v>
      </c>
      <c r="E866">
        <v>12</v>
      </c>
      <c r="F866">
        <f t="shared" ca="1" si="94"/>
        <v>5</v>
      </c>
      <c r="G866">
        <f t="shared" ca="1" si="95"/>
        <v>1</v>
      </c>
      <c r="H866">
        <f t="shared" ca="1" si="96"/>
        <v>0</v>
      </c>
      <c r="I866">
        <f t="shared" ca="1" si="97"/>
        <v>11</v>
      </c>
      <c r="J866">
        <v>3.5</v>
      </c>
      <c r="K866">
        <v>3</v>
      </c>
      <c r="L866">
        <v>14</v>
      </c>
      <c r="M866" s="3">
        <f t="shared" ca="1" si="99"/>
        <v>45424</v>
      </c>
      <c r="N866" s="3">
        <f t="shared" ca="1" si="99"/>
        <v>45370</v>
      </c>
      <c r="O866" s="3">
        <v>45428</v>
      </c>
    </row>
    <row r="867" spans="1:15" x14ac:dyDescent="0.3">
      <c r="A867" s="3">
        <v>45420</v>
      </c>
      <c r="B867" t="s">
        <v>89</v>
      </c>
      <c r="C867" t="s">
        <v>103</v>
      </c>
      <c r="D867" s="4" cm="1">
        <f t="array" aca="1" ref="D867" ca="1">IFERROR( _xlfn.XLOOKUP(B867, B$2:INDEX(B:B,ROW()-1), I$2:INDEX(I:I,ROW()-1), 0, 0, -1),0)</f>
        <v>6</v>
      </c>
      <c r="E867">
        <v>8</v>
      </c>
      <c r="F867">
        <f t="shared" ca="1" si="94"/>
        <v>6</v>
      </c>
      <c r="G867">
        <f t="shared" ca="1" si="95"/>
        <v>4</v>
      </c>
      <c r="H867">
        <f t="shared" ca="1" si="96"/>
        <v>2</v>
      </c>
      <c r="I867">
        <f t="shared" ca="1" si="97"/>
        <v>2</v>
      </c>
      <c r="J867">
        <v>3.5</v>
      </c>
      <c r="K867">
        <v>3</v>
      </c>
      <c r="L867">
        <v>8</v>
      </c>
      <c r="M867" s="3">
        <f t="shared" ca="1" si="99"/>
        <v>45429</v>
      </c>
      <c r="N867" s="3">
        <f t="shared" ca="1" si="99"/>
        <v>45377</v>
      </c>
      <c r="O867" s="3">
        <v>45302</v>
      </c>
    </row>
    <row r="868" spans="1:15" x14ac:dyDescent="0.3">
      <c r="A868" s="3">
        <v>45420</v>
      </c>
      <c r="B868" t="s">
        <v>23</v>
      </c>
      <c r="C868" t="s">
        <v>28</v>
      </c>
      <c r="D868" s="4" cm="1">
        <f t="array" aca="1" ref="D868" ca="1">IFERROR( _xlfn.XLOOKUP(B868, B$2:INDEX(B:B,ROW()-1), I$2:INDEX(I:I,ROW()-1), 0, 0, -1),0)</f>
        <v>1</v>
      </c>
      <c r="E868">
        <v>9</v>
      </c>
      <c r="F868">
        <f t="shared" ca="1" si="94"/>
        <v>0</v>
      </c>
      <c r="G868">
        <f t="shared" ca="1" si="95"/>
        <v>6</v>
      </c>
      <c r="H868">
        <f t="shared" ca="1" si="96"/>
        <v>2</v>
      </c>
      <c r="I868">
        <f t="shared" ca="1" si="97"/>
        <v>2</v>
      </c>
      <c r="J868">
        <v>6.5</v>
      </c>
      <c r="K868">
        <v>5.5</v>
      </c>
      <c r="L868">
        <v>9</v>
      </c>
      <c r="M868" s="3">
        <f t="shared" ca="1" si="99"/>
        <v>45410</v>
      </c>
      <c r="N868" s="3">
        <f t="shared" ca="1" si="99"/>
        <v>45359</v>
      </c>
      <c r="O868" s="3">
        <v>45295</v>
      </c>
    </row>
    <row r="869" spans="1:15" x14ac:dyDescent="0.3">
      <c r="A869" s="3">
        <v>45420</v>
      </c>
      <c r="B869" t="s">
        <v>89</v>
      </c>
      <c r="C869" t="s">
        <v>103</v>
      </c>
      <c r="D869" s="4" cm="1">
        <f t="array" aca="1" ref="D869" ca="1">IFERROR( _xlfn.XLOOKUP(B869, B$2:INDEX(B:B,ROW()-1), I$2:INDEX(I:I,ROW()-1), 0, 0, -1),0)</f>
        <v>2</v>
      </c>
      <c r="E869">
        <v>8</v>
      </c>
      <c r="F869">
        <f t="shared" ca="1" si="94"/>
        <v>6</v>
      </c>
      <c r="G869">
        <f t="shared" ca="1" si="95"/>
        <v>2</v>
      </c>
      <c r="H869">
        <f t="shared" ca="1" si="96"/>
        <v>0</v>
      </c>
      <c r="I869">
        <f t="shared" ca="1" si="97"/>
        <v>2</v>
      </c>
      <c r="J869">
        <v>3.5</v>
      </c>
      <c r="K869">
        <v>3</v>
      </c>
      <c r="L869">
        <v>8</v>
      </c>
      <c r="M869" s="3">
        <f t="shared" ca="1" si="99"/>
        <v>45355</v>
      </c>
      <c r="N869" s="3">
        <f t="shared" ca="1" si="99"/>
        <v>45353</v>
      </c>
      <c r="O869" s="3">
        <v>45412</v>
      </c>
    </row>
    <row r="870" spans="1:15" x14ac:dyDescent="0.3">
      <c r="A870" s="3">
        <v>45420</v>
      </c>
      <c r="B870" t="s">
        <v>81</v>
      </c>
      <c r="C870" t="s">
        <v>50</v>
      </c>
      <c r="D870" s="4" cm="1">
        <f t="array" aca="1" ref="D870" ca="1">IFERROR( _xlfn.XLOOKUP(B870, B$2:INDEX(B:B,ROW()-1), I$2:INDEX(I:I,ROW()-1), 0, 0, -1),0)</f>
        <v>4</v>
      </c>
      <c r="E870">
        <v>8</v>
      </c>
      <c r="F870">
        <f t="shared" ca="1" si="94"/>
        <v>1</v>
      </c>
      <c r="G870">
        <f t="shared" ca="1" si="95"/>
        <v>0</v>
      </c>
      <c r="H870">
        <f t="shared" ca="1" si="96"/>
        <v>0</v>
      </c>
      <c r="I870">
        <f t="shared" ca="1" si="97"/>
        <v>11</v>
      </c>
      <c r="J870">
        <v>2.5</v>
      </c>
      <c r="K870">
        <v>2</v>
      </c>
      <c r="L870">
        <v>5</v>
      </c>
      <c r="M870" s="3">
        <f t="shared" ca="1" si="99"/>
        <v>45421</v>
      </c>
      <c r="N870" s="3">
        <f t="shared" ca="1" si="99"/>
        <v>45415</v>
      </c>
      <c r="O870" s="3">
        <v>45428</v>
      </c>
    </row>
    <row r="871" spans="1:15" x14ac:dyDescent="0.3">
      <c r="A871" s="3">
        <v>45420</v>
      </c>
      <c r="B871" t="s">
        <v>83</v>
      </c>
      <c r="C871" t="s">
        <v>100</v>
      </c>
      <c r="D871" s="4" cm="1">
        <f t="array" aca="1" ref="D871" ca="1">IFERROR( _xlfn.XLOOKUP(B871, B$2:INDEX(B:B,ROW()-1), I$2:INDEX(I:I,ROW()-1), 0, 0, -1),0)</f>
        <v>7</v>
      </c>
      <c r="E871">
        <v>10</v>
      </c>
      <c r="F871">
        <f t="shared" ca="1" si="94"/>
        <v>8</v>
      </c>
      <c r="G871">
        <f t="shared" ca="1" si="95"/>
        <v>5</v>
      </c>
      <c r="H871">
        <f t="shared" ca="1" si="96"/>
        <v>2</v>
      </c>
      <c r="I871">
        <f t="shared" ca="1" si="97"/>
        <v>2</v>
      </c>
      <c r="J871">
        <v>4.5</v>
      </c>
      <c r="K871">
        <v>4</v>
      </c>
      <c r="L871">
        <v>10</v>
      </c>
      <c r="M871" s="3">
        <f t="shared" ca="1" si="99"/>
        <v>45322</v>
      </c>
      <c r="N871" s="3">
        <f t="shared" ca="1" si="99"/>
        <v>45330</v>
      </c>
      <c r="O871" s="3">
        <v>45312</v>
      </c>
    </row>
    <row r="872" spans="1:15" x14ac:dyDescent="0.3">
      <c r="A872" s="3">
        <v>45420</v>
      </c>
      <c r="B872" t="s">
        <v>39</v>
      </c>
      <c r="C872" t="s">
        <v>32</v>
      </c>
      <c r="D872" s="4" cm="1">
        <f t="array" aca="1" ref="D872" ca="1">IFERROR( _xlfn.XLOOKUP(B872, B$2:INDEX(B:B,ROW()-1), I$2:INDEX(I:I,ROW()-1), 0, 0, -1),0)</f>
        <v>11</v>
      </c>
      <c r="E872">
        <v>12</v>
      </c>
      <c r="F872">
        <f t="shared" ca="1" si="94"/>
        <v>7</v>
      </c>
      <c r="G872">
        <f t="shared" ca="1" si="95"/>
        <v>0</v>
      </c>
      <c r="H872">
        <f t="shared" ca="1" si="96"/>
        <v>9</v>
      </c>
      <c r="I872">
        <f t="shared" ca="1" si="97"/>
        <v>7</v>
      </c>
      <c r="J872">
        <v>3.5</v>
      </c>
      <c r="K872">
        <v>3</v>
      </c>
      <c r="L872">
        <v>14</v>
      </c>
      <c r="M872" s="3">
        <f t="shared" ca="1" si="99"/>
        <v>45354</v>
      </c>
      <c r="N872" s="3">
        <f t="shared" ca="1" si="99"/>
        <v>45336</v>
      </c>
      <c r="O872" s="3">
        <v>45328</v>
      </c>
    </row>
    <row r="873" spans="1:15" x14ac:dyDescent="0.3">
      <c r="A873" s="3">
        <v>45420</v>
      </c>
      <c r="B873" t="s">
        <v>71</v>
      </c>
      <c r="C873" t="s">
        <v>47</v>
      </c>
      <c r="D873" s="4" cm="1">
        <f t="array" aca="1" ref="D873" ca="1">IFERROR( _xlfn.XLOOKUP(B873, B$2:INDEX(B:B,ROW()-1), I$2:INDEX(I:I,ROW()-1), 0, 0, -1),0)</f>
        <v>4</v>
      </c>
      <c r="E873">
        <v>6</v>
      </c>
      <c r="F873">
        <f t="shared" ca="1" si="94"/>
        <v>3</v>
      </c>
      <c r="G873">
        <f t="shared" ca="1" si="95"/>
        <v>1</v>
      </c>
      <c r="H873">
        <f t="shared" ca="1" si="96"/>
        <v>1</v>
      </c>
      <c r="I873">
        <f t="shared" ca="1" si="97"/>
        <v>5</v>
      </c>
      <c r="J873">
        <v>4</v>
      </c>
      <c r="K873">
        <v>3</v>
      </c>
      <c r="L873">
        <v>7</v>
      </c>
      <c r="M873" s="3">
        <f t="shared" ca="1" si="99"/>
        <v>45325</v>
      </c>
      <c r="N873" s="3">
        <f t="shared" ca="1" si="99"/>
        <v>45436</v>
      </c>
      <c r="O873" s="3">
        <v>45306</v>
      </c>
    </row>
    <row r="874" spans="1:15" x14ac:dyDescent="0.3">
      <c r="A874" s="3">
        <v>45420</v>
      </c>
      <c r="B874" t="s">
        <v>36</v>
      </c>
      <c r="C874" t="s">
        <v>33</v>
      </c>
      <c r="D874" s="4" cm="1">
        <f t="array" aca="1" ref="D874" ca="1">IFERROR( _xlfn.XLOOKUP(B874, B$2:INDEX(B:B,ROW()-1), I$2:INDEX(I:I,ROW()-1), 0, 0, -1),0)</f>
        <v>13</v>
      </c>
      <c r="E874">
        <v>12</v>
      </c>
      <c r="F874">
        <f t="shared" ca="1" si="94"/>
        <v>7</v>
      </c>
      <c r="G874">
        <f t="shared" ca="1" si="95"/>
        <v>4</v>
      </c>
      <c r="H874">
        <f t="shared" ca="1" si="96"/>
        <v>4</v>
      </c>
      <c r="I874">
        <f t="shared" ca="1" si="97"/>
        <v>10</v>
      </c>
      <c r="J874">
        <v>3.5</v>
      </c>
      <c r="K874">
        <v>3</v>
      </c>
      <c r="L874">
        <v>14</v>
      </c>
      <c r="M874" s="3">
        <f t="shared" ca="1" si="99"/>
        <v>45424</v>
      </c>
      <c r="N874" s="3">
        <f t="shared" ca="1" si="99"/>
        <v>45389</v>
      </c>
      <c r="O874" s="3">
        <v>45389</v>
      </c>
    </row>
    <row r="875" spans="1:15" x14ac:dyDescent="0.3">
      <c r="A875" s="3">
        <v>45421</v>
      </c>
      <c r="B875" t="s">
        <v>40</v>
      </c>
      <c r="C875" t="s">
        <v>85</v>
      </c>
      <c r="D875" s="4" cm="1">
        <f t="array" aca="1" ref="D875" ca="1">IFERROR( _xlfn.XLOOKUP(B875, B$2:INDEX(B:B,ROW()-1), I$2:INDEX(I:I,ROW()-1), 0, 0, -1),0)</f>
        <v>4</v>
      </c>
      <c r="E875">
        <v>15</v>
      </c>
      <c r="F875">
        <f t="shared" ca="1" si="94"/>
        <v>8</v>
      </c>
      <c r="G875">
        <f t="shared" ca="1" si="95"/>
        <v>6</v>
      </c>
      <c r="H875">
        <f t="shared" ca="1" si="96"/>
        <v>2</v>
      </c>
      <c r="I875">
        <f t="shared" ca="1" si="97"/>
        <v>3</v>
      </c>
      <c r="J875">
        <v>3</v>
      </c>
      <c r="K875">
        <v>2.5</v>
      </c>
      <c r="L875">
        <v>14</v>
      </c>
      <c r="M875" s="3">
        <f t="shared" ca="1" si="99"/>
        <v>45346</v>
      </c>
      <c r="N875" s="3">
        <f t="shared" ca="1" si="99"/>
        <v>45322</v>
      </c>
      <c r="O875" s="3">
        <v>45426</v>
      </c>
    </row>
    <row r="876" spans="1:15" x14ac:dyDescent="0.3">
      <c r="A876" s="3">
        <v>45421</v>
      </c>
      <c r="B876" t="s">
        <v>24</v>
      </c>
      <c r="C876" t="s">
        <v>29</v>
      </c>
      <c r="D876" s="4" cm="1">
        <f t="array" aca="1" ref="D876" ca="1">IFERROR( _xlfn.XLOOKUP(B876, B$2:INDEX(B:B,ROW()-1), I$2:INDEX(I:I,ROW()-1), 0, 0, -1),0)</f>
        <v>2</v>
      </c>
      <c r="E876">
        <v>8</v>
      </c>
      <c r="F876">
        <f t="shared" ca="1" si="94"/>
        <v>4</v>
      </c>
      <c r="G876">
        <f t="shared" ca="1" si="95"/>
        <v>3</v>
      </c>
      <c r="H876">
        <f t="shared" ca="1" si="96"/>
        <v>1</v>
      </c>
      <c r="I876">
        <f t="shared" ca="1" si="97"/>
        <v>2</v>
      </c>
      <c r="J876">
        <v>7.5</v>
      </c>
      <c r="K876">
        <v>5.5</v>
      </c>
      <c r="L876">
        <v>7</v>
      </c>
      <c r="M876" s="3">
        <f t="shared" ca="1" si="99"/>
        <v>45321</v>
      </c>
      <c r="N876" s="3">
        <f t="shared" ca="1" si="99"/>
        <v>45411</v>
      </c>
      <c r="O876" s="3">
        <v>45353</v>
      </c>
    </row>
    <row r="877" spans="1:15" x14ac:dyDescent="0.3">
      <c r="A877" s="3">
        <v>45421</v>
      </c>
      <c r="B877" t="s">
        <v>92</v>
      </c>
      <c r="C877" t="s">
        <v>91</v>
      </c>
      <c r="D877" s="4" cm="1">
        <f t="array" aca="1" ref="D877" ca="1">IFERROR( _xlfn.XLOOKUP(B877, B$2:INDEX(B:B,ROW()-1), I$2:INDEX(I:I,ROW()-1), 0, 0, -1),0)</f>
        <v>2</v>
      </c>
      <c r="E877">
        <v>6</v>
      </c>
      <c r="F877">
        <f t="shared" ca="1" si="94"/>
        <v>3</v>
      </c>
      <c r="G877">
        <f t="shared" ca="1" si="95"/>
        <v>2</v>
      </c>
      <c r="H877">
        <f t="shared" ca="1" si="96"/>
        <v>1</v>
      </c>
      <c r="I877">
        <f t="shared" ca="1" si="97"/>
        <v>2</v>
      </c>
      <c r="J877">
        <v>4.5</v>
      </c>
      <c r="K877">
        <v>4</v>
      </c>
      <c r="L877">
        <v>14</v>
      </c>
      <c r="M877" s="3">
        <f t="shared" ca="1" si="99"/>
        <v>45412</v>
      </c>
      <c r="N877" s="3">
        <f t="shared" ca="1" si="99"/>
        <v>45433</v>
      </c>
      <c r="O877" s="3">
        <v>45339</v>
      </c>
    </row>
    <row r="878" spans="1:15" x14ac:dyDescent="0.3">
      <c r="A878" s="3">
        <v>45421</v>
      </c>
      <c r="B878" t="s">
        <v>64</v>
      </c>
      <c r="C878" t="s">
        <v>42</v>
      </c>
      <c r="D878" s="4" cm="1">
        <f t="array" aca="1" ref="D878" ca="1">IFERROR( _xlfn.XLOOKUP(B878, B$2:INDEX(B:B,ROW()-1), I$2:INDEX(I:I,ROW()-1), 0, 0, -1),0)</f>
        <v>3</v>
      </c>
      <c r="E878">
        <v>8</v>
      </c>
      <c r="F878">
        <f t="shared" ca="1" si="94"/>
        <v>6</v>
      </c>
      <c r="G878">
        <f t="shared" ca="1" si="95"/>
        <v>3</v>
      </c>
      <c r="H878">
        <f t="shared" ca="1" si="96"/>
        <v>1</v>
      </c>
      <c r="I878">
        <f t="shared" ca="1" si="97"/>
        <v>1</v>
      </c>
      <c r="J878">
        <v>3.5</v>
      </c>
      <c r="K878">
        <v>3</v>
      </c>
      <c r="L878">
        <v>8</v>
      </c>
      <c r="M878" s="3">
        <f t="shared" ca="1" si="99"/>
        <v>45428</v>
      </c>
      <c r="N878" s="3">
        <f t="shared" ca="1" si="99"/>
        <v>45333</v>
      </c>
      <c r="O878" s="3">
        <v>45317</v>
      </c>
    </row>
    <row r="879" spans="1:15" x14ac:dyDescent="0.3">
      <c r="A879" s="3">
        <v>45421</v>
      </c>
      <c r="B879" t="s">
        <v>64</v>
      </c>
      <c r="C879" t="s">
        <v>42</v>
      </c>
      <c r="D879" s="4" cm="1">
        <f t="array" aca="1" ref="D879" ca="1">IFERROR( _xlfn.XLOOKUP(B879, B$2:INDEX(B:B,ROW()-1), I$2:INDEX(I:I,ROW()-1), 0, 0, -1),0)</f>
        <v>1</v>
      </c>
      <c r="E879">
        <v>8</v>
      </c>
      <c r="F879">
        <f t="shared" ca="1" si="94"/>
        <v>0</v>
      </c>
      <c r="G879">
        <f t="shared" ca="1" si="95"/>
        <v>1</v>
      </c>
      <c r="H879">
        <f t="shared" ca="1" si="96"/>
        <v>3</v>
      </c>
      <c r="I879">
        <f t="shared" ca="1" si="97"/>
        <v>5</v>
      </c>
      <c r="J879">
        <v>3.5</v>
      </c>
      <c r="K879">
        <v>3</v>
      </c>
      <c r="L879">
        <v>8</v>
      </c>
      <c r="M879" s="3">
        <f t="shared" ca="1" si="99"/>
        <v>45429</v>
      </c>
      <c r="N879" s="3">
        <f t="shared" ca="1" si="99"/>
        <v>45382</v>
      </c>
      <c r="O879" s="3">
        <v>45355</v>
      </c>
    </row>
    <row r="880" spans="1:15" x14ac:dyDescent="0.3">
      <c r="A880" s="3">
        <v>45421</v>
      </c>
      <c r="B880" t="s">
        <v>66</v>
      </c>
      <c r="C880" t="s">
        <v>45</v>
      </c>
      <c r="D880" s="4" cm="1">
        <f t="array" aca="1" ref="D880" ca="1">IFERROR( _xlfn.XLOOKUP(B880, B$2:INDEX(B:B,ROW()-1), I$2:INDEX(I:I,ROW()-1), 0, 0, -1),0)</f>
        <v>8</v>
      </c>
      <c r="E880">
        <v>8</v>
      </c>
      <c r="F880">
        <f t="shared" ca="1" si="94"/>
        <v>6</v>
      </c>
      <c r="G880">
        <f t="shared" ca="1" si="95"/>
        <v>3</v>
      </c>
      <c r="H880">
        <f t="shared" ca="1" si="96"/>
        <v>1</v>
      </c>
      <c r="I880">
        <f t="shared" ca="1" si="97"/>
        <v>6</v>
      </c>
      <c r="J880">
        <v>3.5</v>
      </c>
      <c r="K880">
        <v>3</v>
      </c>
      <c r="L880">
        <v>8</v>
      </c>
      <c r="M880" s="3">
        <f t="shared" ca="1" si="99"/>
        <v>45378</v>
      </c>
      <c r="N880" s="3">
        <f t="shared" ca="1" si="99"/>
        <v>45343</v>
      </c>
      <c r="O880" s="3">
        <v>45380</v>
      </c>
    </row>
    <row r="881" spans="1:15" x14ac:dyDescent="0.3">
      <c r="A881" s="3">
        <v>45421</v>
      </c>
      <c r="B881" t="s">
        <v>57</v>
      </c>
      <c r="C881" t="s">
        <v>75</v>
      </c>
      <c r="D881" s="4" cm="1">
        <f t="array" aca="1" ref="D881" ca="1">IFERROR( _xlfn.XLOOKUP(B881, B$2:INDEX(B:B,ROW()-1), I$2:INDEX(I:I,ROW()-1), 0, 0, -1),0)</f>
        <v>1</v>
      </c>
      <c r="E881">
        <v>8</v>
      </c>
      <c r="F881">
        <f t="shared" ca="1" si="94"/>
        <v>5</v>
      </c>
      <c r="G881">
        <f t="shared" ca="1" si="95"/>
        <v>1</v>
      </c>
      <c r="H881">
        <f t="shared" ca="1" si="96"/>
        <v>2</v>
      </c>
      <c r="I881">
        <f t="shared" ca="1" si="97"/>
        <v>1</v>
      </c>
      <c r="J881">
        <v>6</v>
      </c>
      <c r="K881">
        <v>5.5</v>
      </c>
      <c r="L881">
        <v>20</v>
      </c>
      <c r="M881" s="3">
        <f t="shared" ca="1" si="99"/>
        <v>45368</v>
      </c>
      <c r="N881" s="3">
        <f t="shared" ca="1" si="99"/>
        <v>45403</v>
      </c>
      <c r="O881" s="3">
        <v>45357</v>
      </c>
    </row>
    <row r="882" spans="1:15" x14ac:dyDescent="0.3">
      <c r="A882" s="3">
        <v>45422</v>
      </c>
      <c r="B882" t="s">
        <v>69</v>
      </c>
      <c r="C882" t="s">
        <v>98</v>
      </c>
      <c r="D882" s="4" cm="1">
        <f t="array" aca="1" ref="D882" ca="1">IFERROR( _xlfn.XLOOKUP(B882, B$2:INDEX(B:B,ROW()-1), I$2:INDEX(I:I,ROW()-1), 0, 0, -1),0)</f>
        <v>2</v>
      </c>
      <c r="E882">
        <v>6</v>
      </c>
      <c r="F882">
        <f t="shared" ca="1" si="94"/>
        <v>1</v>
      </c>
      <c r="G882">
        <f t="shared" ca="1" si="95"/>
        <v>4</v>
      </c>
      <c r="H882">
        <f t="shared" ca="1" si="96"/>
        <v>0</v>
      </c>
      <c r="I882">
        <f t="shared" ca="1" si="97"/>
        <v>3</v>
      </c>
      <c r="J882">
        <v>4</v>
      </c>
      <c r="K882">
        <v>3</v>
      </c>
      <c r="L882">
        <v>7</v>
      </c>
      <c r="M882" s="3">
        <f t="shared" ref="M882:N901" ca="1" si="100">DATE(2024,1,1) + RANDBETWEEN(0, DATE(2024,5,25) - DATE(2024,1,1))</f>
        <v>45373</v>
      </c>
      <c r="N882" s="3">
        <f t="shared" ca="1" si="100"/>
        <v>45337</v>
      </c>
      <c r="O882" s="3">
        <v>45293</v>
      </c>
    </row>
    <row r="883" spans="1:15" x14ac:dyDescent="0.3">
      <c r="A883" s="3">
        <v>45422</v>
      </c>
      <c r="B883" t="s">
        <v>71</v>
      </c>
      <c r="C883" t="s">
        <v>47</v>
      </c>
      <c r="D883" s="4" cm="1">
        <f t="array" aca="1" ref="D883" ca="1">IFERROR( _xlfn.XLOOKUP(B883, B$2:INDEX(B:B,ROW()-1), I$2:INDEX(I:I,ROW()-1), 0, 0, -1),0)</f>
        <v>5</v>
      </c>
      <c r="E883">
        <v>6</v>
      </c>
      <c r="F883">
        <f t="shared" ca="1" si="94"/>
        <v>1</v>
      </c>
      <c r="G883">
        <f t="shared" ca="1" si="95"/>
        <v>5</v>
      </c>
      <c r="H883">
        <f t="shared" ca="1" si="96"/>
        <v>2</v>
      </c>
      <c r="I883">
        <f t="shared" ca="1" si="97"/>
        <v>3</v>
      </c>
      <c r="J883">
        <v>4</v>
      </c>
      <c r="K883">
        <v>3</v>
      </c>
      <c r="L883">
        <v>7</v>
      </c>
      <c r="M883" s="3">
        <f t="shared" ca="1" si="100"/>
        <v>45396</v>
      </c>
      <c r="N883" s="3">
        <f t="shared" ca="1" si="100"/>
        <v>45367</v>
      </c>
      <c r="O883" s="3">
        <v>45348</v>
      </c>
    </row>
    <row r="884" spans="1:15" x14ac:dyDescent="0.3">
      <c r="A884" s="3">
        <v>45422</v>
      </c>
      <c r="B884" t="s">
        <v>23</v>
      </c>
      <c r="C884" t="s">
        <v>28</v>
      </c>
      <c r="D884" s="4" cm="1">
        <f t="array" aca="1" ref="D884" ca="1">IFERROR( _xlfn.XLOOKUP(B884, B$2:INDEX(B:B,ROW()-1), I$2:INDEX(I:I,ROW()-1), 0, 0, -1),0)</f>
        <v>2</v>
      </c>
      <c r="E884">
        <v>9</v>
      </c>
      <c r="F884">
        <f t="shared" ca="1" si="94"/>
        <v>7</v>
      </c>
      <c r="G884">
        <f t="shared" ca="1" si="95"/>
        <v>2</v>
      </c>
      <c r="H884">
        <f t="shared" ca="1" si="96"/>
        <v>0</v>
      </c>
      <c r="I884">
        <f t="shared" ca="1" si="97"/>
        <v>2</v>
      </c>
      <c r="J884">
        <v>6.5</v>
      </c>
      <c r="K884">
        <v>5.5</v>
      </c>
      <c r="L884">
        <v>9</v>
      </c>
      <c r="M884" s="3">
        <f t="shared" ca="1" si="100"/>
        <v>45412</v>
      </c>
      <c r="N884" s="3">
        <f t="shared" ca="1" si="100"/>
        <v>45315</v>
      </c>
      <c r="O884" s="3">
        <v>45340</v>
      </c>
    </row>
    <row r="885" spans="1:15" x14ac:dyDescent="0.3">
      <c r="A885" s="3">
        <v>45422</v>
      </c>
      <c r="B885" t="s">
        <v>88</v>
      </c>
      <c r="C885" t="s">
        <v>102</v>
      </c>
      <c r="D885" s="4" cm="1">
        <f t="array" aca="1" ref="D885" ca="1">IFERROR( _xlfn.XLOOKUP(B885, B$2:INDEX(B:B,ROW()-1), I$2:INDEX(I:I,ROW()-1), 0, 0, -1),0)</f>
        <v>3</v>
      </c>
      <c r="E885">
        <v>8</v>
      </c>
      <c r="F885">
        <f t="shared" ca="1" si="94"/>
        <v>0</v>
      </c>
      <c r="G885">
        <f t="shared" ca="1" si="95"/>
        <v>2</v>
      </c>
      <c r="H885">
        <f t="shared" ca="1" si="96"/>
        <v>5</v>
      </c>
      <c r="I885">
        <f t="shared" ca="1" si="97"/>
        <v>4</v>
      </c>
      <c r="J885">
        <v>3.5</v>
      </c>
      <c r="K885">
        <v>3</v>
      </c>
      <c r="L885">
        <v>8</v>
      </c>
      <c r="M885" s="3">
        <f t="shared" ca="1" si="100"/>
        <v>45384</v>
      </c>
      <c r="N885" s="3">
        <f t="shared" ca="1" si="100"/>
        <v>45303</v>
      </c>
      <c r="O885" s="3">
        <v>45378</v>
      </c>
    </row>
    <row r="886" spans="1:15" x14ac:dyDescent="0.3">
      <c r="A886" s="3">
        <v>45422</v>
      </c>
      <c r="B886" t="s">
        <v>70</v>
      </c>
      <c r="C886" t="s">
        <v>99</v>
      </c>
      <c r="D886" s="4" cm="1">
        <f t="array" aca="1" ref="D886" ca="1">IFERROR( _xlfn.XLOOKUP(B886, B$2:INDEX(B:B,ROW()-1), I$2:INDEX(I:I,ROW()-1), 0, 0, -1),0)</f>
        <v>2</v>
      </c>
      <c r="E886">
        <v>6</v>
      </c>
      <c r="F886">
        <f t="shared" ca="1" si="94"/>
        <v>2</v>
      </c>
      <c r="G886">
        <f t="shared" ca="1" si="95"/>
        <v>0</v>
      </c>
      <c r="H886">
        <f t="shared" ca="1" si="96"/>
        <v>4</v>
      </c>
      <c r="I886">
        <f t="shared" ca="1" si="97"/>
        <v>2</v>
      </c>
      <c r="J886">
        <v>4</v>
      </c>
      <c r="K886">
        <v>3</v>
      </c>
      <c r="L886">
        <v>7</v>
      </c>
      <c r="M886" s="3">
        <f t="shared" ca="1" si="100"/>
        <v>45391</v>
      </c>
      <c r="N886" s="3">
        <f t="shared" ca="1" si="100"/>
        <v>45407</v>
      </c>
      <c r="O886" s="3">
        <v>45361</v>
      </c>
    </row>
    <row r="887" spans="1:15" x14ac:dyDescent="0.3">
      <c r="A887" s="3">
        <v>45422</v>
      </c>
      <c r="B887" t="s">
        <v>64</v>
      </c>
      <c r="C887" t="s">
        <v>42</v>
      </c>
      <c r="D887" s="4" cm="1">
        <f t="array" aca="1" ref="D887" ca="1">IFERROR( _xlfn.XLOOKUP(B887, B$2:INDEX(B:B,ROW()-1), I$2:INDEX(I:I,ROW()-1), 0, 0, -1),0)</f>
        <v>5</v>
      </c>
      <c r="E887">
        <v>8</v>
      </c>
      <c r="F887">
        <f t="shared" ca="1" si="94"/>
        <v>4</v>
      </c>
      <c r="G887">
        <f t="shared" ca="1" si="95"/>
        <v>2</v>
      </c>
      <c r="H887">
        <f t="shared" ca="1" si="96"/>
        <v>4</v>
      </c>
      <c r="I887">
        <f t="shared" ca="1" si="97"/>
        <v>3</v>
      </c>
      <c r="J887">
        <v>3.5</v>
      </c>
      <c r="K887">
        <v>3</v>
      </c>
      <c r="L887">
        <v>8</v>
      </c>
      <c r="M887" s="3">
        <f t="shared" ca="1" si="100"/>
        <v>45318</v>
      </c>
      <c r="N887" s="3">
        <f t="shared" ca="1" si="100"/>
        <v>45306</v>
      </c>
      <c r="O887" s="3">
        <v>45364</v>
      </c>
    </row>
    <row r="888" spans="1:15" x14ac:dyDescent="0.3">
      <c r="A888" s="3">
        <v>45422</v>
      </c>
      <c r="B888" t="s">
        <v>37</v>
      </c>
      <c r="C888" t="s">
        <v>51</v>
      </c>
      <c r="D888" s="4" cm="1">
        <f t="array" aca="1" ref="D888" ca="1">IFERROR( _xlfn.XLOOKUP(B888, B$2:INDEX(B:B,ROW()-1), I$2:INDEX(I:I,ROW()-1), 0, 0, -1),0)</f>
        <v>4</v>
      </c>
      <c r="E888">
        <v>12</v>
      </c>
      <c r="F888">
        <f t="shared" ca="1" si="94"/>
        <v>9</v>
      </c>
      <c r="G888">
        <f t="shared" ca="1" si="95"/>
        <v>0</v>
      </c>
      <c r="H888">
        <f t="shared" ca="1" si="96"/>
        <v>2</v>
      </c>
      <c r="I888">
        <f t="shared" ca="1" si="97"/>
        <v>5</v>
      </c>
      <c r="J888">
        <v>3.5</v>
      </c>
      <c r="K888">
        <v>3</v>
      </c>
      <c r="L888">
        <v>14</v>
      </c>
      <c r="M888" s="3">
        <f t="shared" ca="1" si="100"/>
        <v>45413</v>
      </c>
      <c r="N888" s="3">
        <f t="shared" ca="1" si="100"/>
        <v>45350</v>
      </c>
      <c r="O888" s="3">
        <v>45363</v>
      </c>
    </row>
    <row r="889" spans="1:15" x14ac:dyDescent="0.3">
      <c r="A889" s="3">
        <v>45422</v>
      </c>
      <c r="B889" t="s">
        <v>68</v>
      </c>
      <c r="C889" t="s">
        <v>43</v>
      </c>
      <c r="D889" s="4" cm="1">
        <f t="array" aca="1" ref="D889" ca="1">IFERROR( _xlfn.XLOOKUP(B889, B$2:INDEX(B:B,ROW()-1), I$2:INDEX(I:I,ROW()-1), 0, 0, -1),0)</f>
        <v>3</v>
      </c>
      <c r="E889">
        <v>15</v>
      </c>
      <c r="F889">
        <f t="shared" ca="1" si="94"/>
        <v>11</v>
      </c>
      <c r="G889">
        <f t="shared" ca="1" si="95"/>
        <v>1</v>
      </c>
      <c r="H889">
        <f t="shared" ca="1" si="96"/>
        <v>3</v>
      </c>
      <c r="I889">
        <f t="shared" ca="1" si="97"/>
        <v>3</v>
      </c>
      <c r="J889">
        <v>4</v>
      </c>
      <c r="K889">
        <v>3</v>
      </c>
      <c r="L889">
        <v>14</v>
      </c>
      <c r="M889" s="3">
        <f t="shared" ca="1" si="100"/>
        <v>45308</v>
      </c>
      <c r="N889" s="3">
        <f t="shared" ca="1" si="100"/>
        <v>45317</v>
      </c>
      <c r="O889" s="3">
        <v>45313</v>
      </c>
    </row>
    <row r="890" spans="1:15" x14ac:dyDescent="0.3">
      <c r="A890" s="3">
        <v>45423</v>
      </c>
      <c r="B890" t="s">
        <v>10</v>
      </c>
      <c r="C890" t="s">
        <v>18</v>
      </c>
      <c r="D890" s="4" cm="1">
        <f t="array" aca="1" ref="D890" ca="1">IFERROR( _xlfn.XLOOKUP(B890, B$2:INDEX(B:B,ROW()-1), I$2:INDEX(I:I,ROW()-1), 0, 0, -1),0)</f>
        <v>5</v>
      </c>
      <c r="E890">
        <v>10</v>
      </c>
      <c r="F890">
        <f t="shared" ca="1" si="94"/>
        <v>3</v>
      </c>
      <c r="G890">
        <f t="shared" ca="1" si="95"/>
        <v>4</v>
      </c>
      <c r="H890">
        <f t="shared" ca="1" si="96"/>
        <v>1</v>
      </c>
      <c r="I890">
        <f t="shared" ca="1" si="97"/>
        <v>7</v>
      </c>
      <c r="J890">
        <v>5.5</v>
      </c>
      <c r="K890">
        <v>4.5</v>
      </c>
      <c r="L890">
        <v>7</v>
      </c>
      <c r="M890" s="3">
        <f t="shared" ca="1" si="100"/>
        <v>45391</v>
      </c>
      <c r="N890" s="3">
        <f t="shared" ca="1" si="100"/>
        <v>45356</v>
      </c>
      <c r="O890" s="3">
        <v>45389</v>
      </c>
    </row>
    <row r="891" spans="1:15" x14ac:dyDescent="0.3">
      <c r="A891" s="3">
        <v>45423</v>
      </c>
      <c r="B891" t="s">
        <v>19</v>
      </c>
      <c r="C891" t="s">
        <v>17</v>
      </c>
      <c r="D891" s="4" cm="1">
        <f t="array" aca="1" ref="D891" ca="1">IFERROR( _xlfn.XLOOKUP(B891, B$2:INDEX(B:B,ROW()-1), I$2:INDEX(I:I,ROW()-1), 0, 0, -1),0)</f>
        <v>10</v>
      </c>
      <c r="E891">
        <v>10</v>
      </c>
      <c r="F891">
        <f t="shared" ca="1" si="94"/>
        <v>6</v>
      </c>
      <c r="G891">
        <f t="shared" ca="1" si="95"/>
        <v>6</v>
      </c>
      <c r="H891">
        <f t="shared" ca="1" si="96"/>
        <v>0</v>
      </c>
      <c r="I891">
        <f t="shared" ca="1" si="97"/>
        <v>8</v>
      </c>
      <c r="J891">
        <v>4.5</v>
      </c>
      <c r="K891">
        <v>4</v>
      </c>
      <c r="L891">
        <v>10</v>
      </c>
      <c r="M891" s="3">
        <f t="shared" ca="1" si="100"/>
        <v>45306</v>
      </c>
      <c r="N891" s="3">
        <f t="shared" ca="1" si="100"/>
        <v>45329</v>
      </c>
      <c r="O891" s="3">
        <v>45409</v>
      </c>
    </row>
    <row r="892" spans="1:15" x14ac:dyDescent="0.3">
      <c r="A892" s="3">
        <v>45423</v>
      </c>
      <c r="B892" t="s">
        <v>36</v>
      </c>
      <c r="C892" t="s">
        <v>33</v>
      </c>
      <c r="D892" s="4" cm="1">
        <f t="array" aca="1" ref="D892" ca="1">IFERROR( _xlfn.XLOOKUP(B892, B$2:INDEX(B:B,ROW()-1), I$2:INDEX(I:I,ROW()-1), 0, 0, -1),0)</f>
        <v>10</v>
      </c>
      <c r="E892">
        <v>12</v>
      </c>
      <c r="F892">
        <f t="shared" ca="1" si="94"/>
        <v>5</v>
      </c>
      <c r="G892">
        <f t="shared" ca="1" si="95"/>
        <v>7</v>
      </c>
      <c r="H892">
        <f t="shared" ca="1" si="96"/>
        <v>1</v>
      </c>
      <c r="I892">
        <f t="shared" ca="1" si="97"/>
        <v>9</v>
      </c>
      <c r="J892">
        <v>3.5</v>
      </c>
      <c r="K892">
        <v>3</v>
      </c>
      <c r="L892">
        <v>14</v>
      </c>
      <c r="M892" s="3">
        <f t="shared" ca="1" si="100"/>
        <v>45415</v>
      </c>
      <c r="N892" s="3">
        <f t="shared" ca="1" si="100"/>
        <v>45378</v>
      </c>
      <c r="O892" s="3">
        <v>45358</v>
      </c>
    </row>
    <row r="893" spans="1:15" x14ac:dyDescent="0.3">
      <c r="A893" s="3">
        <v>45423</v>
      </c>
      <c r="B893" t="s">
        <v>71</v>
      </c>
      <c r="C893" t="s">
        <v>47</v>
      </c>
      <c r="D893" s="4" cm="1">
        <f t="array" aca="1" ref="D893" ca="1">IFERROR( _xlfn.XLOOKUP(B893, B$2:INDEX(B:B,ROW()-1), I$2:INDEX(I:I,ROW()-1), 0, 0, -1),0)</f>
        <v>3</v>
      </c>
      <c r="E893">
        <v>6</v>
      </c>
      <c r="F893">
        <f t="shared" ca="1" si="94"/>
        <v>4</v>
      </c>
      <c r="G893">
        <f t="shared" ca="1" si="95"/>
        <v>1</v>
      </c>
      <c r="H893">
        <f t="shared" ca="1" si="96"/>
        <v>0</v>
      </c>
      <c r="I893">
        <f t="shared" ca="1" si="97"/>
        <v>4</v>
      </c>
      <c r="J893">
        <v>4</v>
      </c>
      <c r="K893">
        <v>3</v>
      </c>
      <c r="L893">
        <v>7</v>
      </c>
      <c r="M893" s="3">
        <f t="shared" ca="1" si="100"/>
        <v>45390</v>
      </c>
      <c r="N893" s="3">
        <f t="shared" ca="1" si="100"/>
        <v>45397</v>
      </c>
      <c r="O893" s="3">
        <v>45425</v>
      </c>
    </row>
    <row r="894" spans="1:15" x14ac:dyDescent="0.3">
      <c r="A894" s="3">
        <v>45423</v>
      </c>
      <c r="B894" t="s">
        <v>88</v>
      </c>
      <c r="C894" t="s">
        <v>102</v>
      </c>
      <c r="D894" s="4" cm="1">
        <f t="array" aca="1" ref="D894" ca="1">IFERROR( _xlfn.XLOOKUP(B894, B$2:INDEX(B:B,ROW()-1), I$2:INDEX(I:I,ROW()-1), 0, 0, -1),0)</f>
        <v>4</v>
      </c>
      <c r="E894">
        <v>8</v>
      </c>
      <c r="F894">
        <f t="shared" ca="1" si="94"/>
        <v>5</v>
      </c>
      <c r="G894">
        <f t="shared" ca="1" si="95"/>
        <v>0</v>
      </c>
      <c r="H894">
        <f t="shared" ca="1" si="96"/>
        <v>1</v>
      </c>
      <c r="I894">
        <f t="shared" ca="1" si="97"/>
        <v>6</v>
      </c>
      <c r="J894">
        <v>3.5</v>
      </c>
      <c r="K894">
        <v>3</v>
      </c>
      <c r="L894">
        <v>8</v>
      </c>
      <c r="M894" s="3">
        <f t="shared" ca="1" si="100"/>
        <v>45372</v>
      </c>
      <c r="N894" s="3">
        <f t="shared" ca="1" si="100"/>
        <v>45324</v>
      </c>
      <c r="O894" s="3">
        <v>45415</v>
      </c>
    </row>
    <row r="895" spans="1:15" x14ac:dyDescent="0.3">
      <c r="A895" s="3">
        <v>45423</v>
      </c>
      <c r="B895" t="s">
        <v>23</v>
      </c>
      <c r="C895" t="s">
        <v>28</v>
      </c>
      <c r="D895" s="4" cm="1">
        <f t="array" aca="1" ref="D895" ca="1">IFERROR( _xlfn.XLOOKUP(B895, B$2:INDEX(B:B,ROW()-1), I$2:INDEX(I:I,ROW()-1), 0, 0, -1),0)</f>
        <v>2</v>
      </c>
      <c r="E895">
        <v>9</v>
      </c>
      <c r="F895">
        <f t="shared" ca="1" si="94"/>
        <v>6</v>
      </c>
      <c r="G895">
        <f t="shared" ca="1" si="95"/>
        <v>1</v>
      </c>
      <c r="H895">
        <f t="shared" ca="1" si="96"/>
        <v>2</v>
      </c>
      <c r="I895">
        <f t="shared" ca="1" si="97"/>
        <v>2</v>
      </c>
      <c r="J895">
        <v>6.5</v>
      </c>
      <c r="K895">
        <v>5.5</v>
      </c>
      <c r="L895">
        <v>9</v>
      </c>
      <c r="M895" s="3">
        <f t="shared" ca="1" si="100"/>
        <v>45344</v>
      </c>
      <c r="N895" s="3">
        <f t="shared" ca="1" si="100"/>
        <v>45312</v>
      </c>
      <c r="O895" s="3">
        <v>45423</v>
      </c>
    </row>
    <row r="896" spans="1:15" x14ac:dyDescent="0.3">
      <c r="A896" s="3">
        <v>45423</v>
      </c>
      <c r="B896" t="s">
        <v>68</v>
      </c>
      <c r="C896" t="s">
        <v>43</v>
      </c>
      <c r="D896" s="4" cm="1">
        <f t="array" aca="1" ref="D896" ca="1">IFERROR( _xlfn.XLOOKUP(B896, B$2:INDEX(B:B,ROW()-1), I$2:INDEX(I:I,ROW()-1), 0, 0, -1),0)</f>
        <v>15</v>
      </c>
      <c r="E896">
        <v>15</v>
      </c>
      <c r="F896">
        <f t="shared" ca="1" si="94"/>
        <v>14</v>
      </c>
      <c r="G896">
        <f t="shared" ca="1" si="95"/>
        <v>7</v>
      </c>
      <c r="H896">
        <f t="shared" ca="1" si="96"/>
        <v>5</v>
      </c>
      <c r="I896">
        <f t="shared" ca="1" si="97"/>
        <v>4</v>
      </c>
      <c r="J896">
        <v>4</v>
      </c>
      <c r="K896">
        <v>3</v>
      </c>
      <c r="L896">
        <v>14</v>
      </c>
      <c r="M896" s="3">
        <f t="shared" ca="1" si="100"/>
        <v>45378</v>
      </c>
      <c r="N896" s="3">
        <f t="shared" ca="1" si="100"/>
        <v>45303</v>
      </c>
      <c r="O896" s="3">
        <v>45389</v>
      </c>
    </row>
    <row r="897" spans="1:15" x14ac:dyDescent="0.3">
      <c r="A897" s="3">
        <v>45423</v>
      </c>
      <c r="B897" t="s">
        <v>62</v>
      </c>
      <c r="C897" t="s">
        <v>96</v>
      </c>
      <c r="D897" s="4" cm="1">
        <f t="array" aca="1" ref="D897" ca="1">IFERROR( _xlfn.XLOOKUP(B897, B$2:INDEX(B:B,ROW()-1), I$2:INDEX(I:I,ROW()-1), 0, 0, -1),0)</f>
        <v>3</v>
      </c>
      <c r="E897">
        <v>10</v>
      </c>
      <c r="F897">
        <f t="shared" ca="1" si="94"/>
        <v>6</v>
      </c>
      <c r="G897">
        <f t="shared" ca="1" si="95"/>
        <v>3</v>
      </c>
      <c r="H897">
        <f t="shared" ca="1" si="96"/>
        <v>0</v>
      </c>
      <c r="I897">
        <f t="shared" ca="1" si="97"/>
        <v>4</v>
      </c>
      <c r="J897">
        <v>4</v>
      </c>
      <c r="K897">
        <v>3.5</v>
      </c>
      <c r="L897">
        <v>10</v>
      </c>
      <c r="M897" s="3">
        <f t="shared" ca="1" si="100"/>
        <v>45348</v>
      </c>
      <c r="N897" s="3">
        <f t="shared" ca="1" si="100"/>
        <v>45372</v>
      </c>
      <c r="O897" s="3">
        <v>45411</v>
      </c>
    </row>
    <row r="898" spans="1:15" x14ac:dyDescent="0.3">
      <c r="A898" s="3">
        <v>45424</v>
      </c>
      <c r="B898" t="s">
        <v>70</v>
      </c>
      <c r="C898" t="s">
        <v>99</v>
      </c>
      <c r="D898" s="4" cm="1">
        <f t="array" aca="1" ref="D898" ca="1">IFERROR( _xlfn.XLOOKUP(B898, B$2:INDEX(B:B,ROW()-1), I$2:INDEX(I:I,ROW()-1), 0, 0, -1),0)</f>
        <v>2</v>
      </c>
      <c r="E898">
        <v>6</v>
      </c>
      <c r="F898">
        <f t="shared" ref="F898:F961" ca="1" si="101">RANDBETWEEN(0, ROUND((D898+E898)*0.6,0))</f>
        <v>2</v>
      </c>
      <c r="G898">
        <f t="shared" ref="G898:G961" ca="1" si="102">RANDBETWEEN(0,ROUND((D898+E898-F898)*0.6,0))</f>
        <v>3</v>
      </c>
      <c r="H898">
        <f t="shared" ref="H898:H961" ca="1" si="103">RANDBETWEEN(0,ROUND((D898+E898-F898-G898)*0.6,0))</f>
        <v>1</v>
      </c>
      <c r="I898">
        <f t="shared" ref="I898:I961" ca="1" si="104">D898+E898-F898-G898-H898</f>
        <v>2</v>
      </c>
      <c r="J898">
        <v>4</v>
      </c>
      <c r="K898">
        <v>3</v>
      </c>
      <c r="L898">
        <v>7</v>
      </c>
      <c r="M898" s="3">
        <f t="shared" ca="1" si="100"/>
        <v>45386</v>
      </c>
      <c r="N898" s="3">
        <f t="shared" ca="1" si="100"/>
        <v>45357</v>
      </c>
      <c r="O898" s="3">
        <v>45384</v>
      </c>
    </row>
    <row r="899" spans="1:15" x14ac:dyDescent="0.3">
      <c r="A899" s="3">
        <v>45424</v>
      </c>
      <c r="B899" t="s">
        <v>61</v>
      </c>
      <c r="C899" t="s">
        <v>95</v>
      </c>
      <c r="D899" s="4" cm="1">
        <f t="array" aca="1" ref="D899" ca="1">IFERROR( _xlfn.XLOOKUP(B899, B$2:INDEX(B:B,ROW()-1), I$2:INDEX(I:I,ROW()-1), 0, 0, -1),0)</f>
        <v>3</v>
      </c>
      <c r="E899">
        <v>10</v>
      </c>
      <c r="F899">
        <f t="shared" ca="1" si="101"/>
        <v>5</v>
      </c>
      <c r="G899">
        <f t="shared" ca="1" si="102"/>
        <v>1</v>
      </c>
      <c r="H899">
        <f t="shared" ca="1" si="103"/>
        <v>1</v>
      </c>
      <c r="I899">
        <f t="shared" ca="1" si="104"/>
        <v>6</v>
      </c>
      <c r="J899">
        <v>4</v>
      </c>
      <c r="K899">
        <v>3.5</v>
      </c>
      <c r="L899">
        <v>10</v>
      </c>
      <c r="M899" s="3">
        <f t="shared" ca="1" si="100"/>
        <v>45328</v>
      </c>
      <c r="N899" s="3">
        <f t="shared" ca="1" si="100"/>
        <v>45340</v>
      </c>
      <c r="O899" s="3">
        <v>45426</v>
      </c>
    </row>
    <row r="900" spans="1:15" x14ac:dyDescent="0.3">
      <c r="A900" s="3">
        <v>45424</v>
      </c>
      <c r="B900" t="s">
        <v>41</v>
      </c>
      <c r="C900" t="s">
        <v>86</v>
      </c>
      <c r="D900" s="4" cm="1">
        <f t="array" aca="1" ref="D900" ca="1">IFERROR( _xlfn.XLOOKUP(B900, B$2:INDEX(B:B,ROW()-1), I$2:INDEX(I:I,ROW()-1), 0, 0, -1),0)</f>
        <v>9</v>
      </c>
      <c r="E900">
        <v>15</v>
      </c>
      <c r="F900">
        <f t="shared" ca="1" si="101"/>
        <v>13</v>
      </c>
      <c r="G900">
        <f t="shared" ca="1" si="102"/>
        <v>5</v>
      </c>
      <c r="H900">
        <f t="shared" ca="1" si="103"/>
        <v>0</v>
      </c>
      <c r="I900">
        <f t="shared" ca="1" si="104"/>
        <v>6</v>
      </c>
      <c r="J900">
        <v>3</v>
      </c>
      <c r="K900">
        <v>2.5</v>
      </c>
      <c r="L900">
        <v>14</v>
      </c>
      <c r="M900" s="3">
        <f t="shared" ca="1" si="100"/>
        <v>45322</v>
      </c>
      <c r="N900" s="3">
        <f t="shared" ca="1" si="100"/>
        <v>45322</v>
      </c>
      <c r="O900" s="3">
        <v>45332</v>
      </c>
    </row>
    <row r="901" spans="1:15" x14ac:dyDescent="0.3">
      <c r="A901" s="3">
        <v>45424</v>
      </c>
      <c r="B901" t="s">
        <v>72</v>
      </c>
      <c r="C901" t="s">
        <v>48</v>
      </c>
      <c r="D901" s="4" cm="1">
        <f t="array" aca="1" ref="D901" ca="1">IFERROR( _xlfn.XLOOKUP(B901, B$2:INDEX(B:B,ROW()-1), I$2:INDEX(I:I,ROW()-1), 0, 0, -1),0)</f>
        <v>6</v>
      </c>
      <c r="E901">
        <v>6</v>
      </c>
      <c r="F901">
        <f t="shared" ca="1" si="101"/>
        <v>0</v>
      </c>
      <c r="G901">
        <f t="shared" ca="1" si="102"/>
        <v>6</v>
      </c>
      <c r="H901">
        <f t="shared" ca="1" si="103"/>
        <v>4</v>
      </c>
      <c r="I901">
        <f t="shared" ca="1" si="104"/>
        <v>2</v>
      </c>
      <c r="J901">
        <v>4</v>
      </c>
      <c r="K901">
        <v>3</v>
      </c>
      <c r="L901">
        <v>7</v>
      </c>
      <c r="M901" s="3">
        <f t="shared" ca="1" si="100"/>
        <v>45342</v>
      </c>
      <c r="N901" s="3">
        <f t="shared" ca="1" si="100"/>
        <v>45416</v>
      </c>
      <c r="O901" s="3">
        <v>45403</v>
      </c>
    </row>
    <row r="902" spans="1:15" x14ac:dyDescent="0.3">
      <c r="A902" s="3">
        <v>45424</v>
      </c>
      <c r="B902" t="s">
        <v>67</v>
      </c>
      <c r="C902" t="s">
        <v>46</v>
      </c>
      <c r="D902" s="4" cm="1">
        <f t="array" aca="1" ref="D902" ca="1">IFERROR( _xlfn.XLOOKUP(B902, B$2:INDEX(B:B,ROW()-1), I$2:INDEX(I:I,ROW()-1), 0, 0, -1),0)</f>
        <v>3</v>
      </c>
      <c r="E902">
        <v>8</v>
      </c>
      <c r="F902">
        <f t="shared" ca="1" si="101"/>
        <v>3</v>
      </c>
      <c r="G902">
        <f t="shared" ca="1" si="102"/>
        <v>1</v>
      </c>
      <c r="H902">
        <f t="shared" ca="1" si="103"/>
        <v>3</v>
      </c>
      <c r="I902">
        <f t="shared" ca="1" si="104"/>
        <v>4</v>
      </c>
      <c r="J902">
        <v>3.5</v>
      </c>
      <c r="K902">
        <v>3</v>
      </c>
      <c r="L902">
        <v>8</v>
      </c>
      <c r="M902" s="3">
        <f t="shared" ref="M902:N921" ca="1" si="105">DATE(2024,1,1) + RANDBETWEEN(0, DATE(2024,5,25) - DATE(2024,1,1))</f>
        <v>45352</v>
      </c>
      <c r="N902" s="3">
        <f t="shared" ca="1" si="105"/>
        <v>45344</v>
      </c>
      <c r="O902" s="3">
        <v>45337</v>
      </c>
    </row>
    <row r="903" spans="1:15" x14ac:dyDescent="0.3">
      <c r="A903" s="3">
        <v>45425</v>
      </c>
      <c r="B903" t="s">
        <v>58</v>
      </c>
      <c r="C903" t="s">
        <v>76</v>
      </c>
      <c r="D903" s="4" cm="1">
        <f t="array" aca="1" ref="D903" ca="1">IFERROR( _xlfn.XLOOKUP(B903, B$2:INDEX(B:B,ROW()-1), I$2:INDEX(I:I,ROW()-1), 0, 0, -1),0)</f>
        <v>6</v>
      </c>
      <c r="E903">
        <v>15</v>
      </c>
      <c r="F903">
        <f t="shared" ca="1" si="101"/>
        <v>0</v>
      </c>
      <c r="G903">
        <f t="shared" ca="1" si="102"/>
        <v>11</v>
      </c>
      <c r="H903">
        <f t="shared" ca="1" si="103"/>
        <v>1</v>
      </c>
      <c r="I903">
        <f t="shared" ca="1" si="104"/>
        <v>9</v>
      </c>
      <c r="J903">
        <v>6</v>
      </c>
      <c r="K903">
        <v>5.5</v>
      </c>
      <c r="L903">
        <v>20</v>
      </c>
      <c r="M903" s="3">
        <f t="shared" ca="1" si="105"/>
        <v>45294</v>
      </c>
      <c r="N903" s="3">
        <f t="shared" ca="1" si="105"/>
        <v>45330</v>
      </c>
      <c r="O903" s="3">
        <v>45355</v>
      </c>
    </row>
    <row r="904" spans="1:15" x14ac:dyDescent="0.3">
      <c r="A904" s="3">
        <v>45425</v>
      </c>
      <c r="B904" t="s">
        <v>90</v>
      </c>
      <c r="C904" t="s">
        <v>87</v>
      </c>
      <c r="D904" s="4" cm="1">
        <f t="array" aca="1" ref="D904" ca="1">IFERROR( _xlfn.XLOOKUP(B904, B$2:INDEX(B:B,ROW()-1), I$2:INDEX(I:I,ROW()-1), 0, 0, -1),0)</f>
        <v>7</v>
      </c>
      <c r="E904">
        <v>12</v>
      </c>
      <c r="F904">
        <f t="shared" ca="1" si="101"/>
        <v>4</v>
      </c>
      <c r="G904">
        <f t="shared" ca="1" si="102"/>
        <v>8</v>
      </c>
      <c r="H904">
        <f t="shared" ca="1" si="103"/>
        <v>2</v>
      </c>
      <c r="I904">
        <f t="shared" ca="1" si="104"/>
        <v>5</v>
      </c>
      <c r="J904">
        <v>4.5</v>
      </c>
      <c r="K904">
        <v>4</v>
      </c>
      <c r="L904">
        <v>14</v>
      </c>
      <c r="M904" s="3">
        <f t="shared" ca="1" si="105"/>
        <v>45347</v>
      </c>
      <c r="N904" s="3">
        <f t="shared" ca="1" si="105"/>
        <v>45292</v>
      </c>
      <c r="O904" s="3">
        <v>45424</v>
      </c>
    </row>
    <row r="905" spans="1:15" x14ac:dyDescent="0.3">
      <c r="A905" s="3">
        <v>45425</v>
      </c>
      <c r="B905" t="s">
        <v>66</v>
      </c>
      <c r="C905" t="s">
        <v>45</v>
      </c>
      <c r="D905" s="4" cm="1">
        <f t="array" aca="1" ref="D905" ca="1">IFERROR( _xlfn.XLOOKUP(B905, B$2:INDEX(B:B,ROW()-1), I$2:INDEX(I:I,ROW()-1), 0, 0, -1),0)</f>
        <v>6</v>
      </c>
      <c r="E905">
        <v>8</v>
      </c>
      <c r="F905">
        <f t="shared" ca="1" si="101"/>
        <v>1</v>
      </c>
      <c r="G905">
        <f t="shared" ca="1" si="102"/>
        <v>3</v>
      </c>
      <c r="H905">
        <f t="shared" ca="1" si="103"/>
        <v>3</v>
      </c>
      <c r="I905">
        <f t="shared" ca="1" si="104"/>
        <v>7</v>
      </c>
      <c r="J905">
        <v>3.5</v>
      </c>
      <c r="K905">
        <v>3</v>
      </c>
      <c r="L905">
        <v>8</v>
      </c>
      <c r="M905" s="3">
        <f t="shared" ca="1" si="105"/>
        <v>45297</v>
      </c>
      <c r="N905" s="3">
        <f t="shared" ca="1" si="105"/>
        <v>45296</v>
      </c>
      <c r="O905" s="3">
        <v>45376</v>
      </c>
    </row>
    <row r="906" spans="1:15" x14ac:dyDescent="0.3">
      <c r="A906" s="3">
        <v>45425</v>
      </c>
      <c r="B906" t="s">
        <v>39</v>
      </c>
      <c r="C906" t="s">
        <v>32</v>
      </c>
      <c r="D906" s="4" cm="1">
        <f t="array" aca="1" ref="D906" ca="1">IFERROR( _xlfn.XLOOKUP(B906, B$2:INDEX(B:B,ROW()-1), I$2:INDEX(I:I,ROW()-1), 0, 0, -1),0)</f>
        <v>7</v>
      </c>
      <c r="E906">
        <v>12</v>
      </c>
      <c r="F906">
        <f t="shared" ca="1" si="101"/>
        <v>1</v>
      </c>
      <c r="G906">
        <f t="shared" ca="1" si="102"/>
        <v>7</v>
      </c>
      <c r="H906">
        <f t="shared" ca="1" si="103"/>
        <v>0</v>
      </c>
      <c r="I906">
        <f t="shared" ca="1" si="104"/>
        <v>11</v>
      </c>
      <c r="J906">
        <v>3.5</v>
      </c>
      <c r="K906">
        <v>3</v>
      </c>
      <c r="L906">
        <v>14</v>
      </c>
      <c r="M906" s="3">
        <f t="shared" ca="1" si="105"/>
        <v>45312</v>
      </c>
      <c r="N906" s="3">
        <f t="shared" ca="1" si="105"/>
        <v>45400</v>
      </c>
      <c r="O906" s="3">
        <v>45419</v>
      </c>
    </row>
    <row r="907" spans="1:15" x14ac:dyDescent="0.3">
      <c r="A907" s="3">
        <v>45425</v>
      </c>
      <c r="B907" t="s">
        <v>10</v>
      </c>
      <c r="C907" t="s">
        <v>18</v>
      </c>
      <c r="D907" s="4" cm="1">
        <f t="array" aca="1" ref="D907" ca="1">IFERROR( _xlfn.XLOOKUP(B907, B$2:INDEX(B:B,ROW()-1), I$2:INDEX(I:I,ROW()-1), 0, 0, -1),0)</f>
        <v>7</v>
      </c>
      <c r="E907">
        <v>10</v>
      </c>
      <c r="F907">
        <f t="shared" ca="1" si="101"/>
        <v>4</v>
      </c>
      <c r="G907">
        <f t="shared" ca="1" si="102"/>
        <v>5</v>
      </c>
      <c r="H907">
        <f t="shared" ca="1" si="103"/>
        <v>0</v>
      </c>
      <c r="I907">
        <f t="shared" ca="1" si="104"/>
        <v>8</v>
      </c>
      <c r="J907">
        <v>5.5</v>
      </c>
      <c r="K907">
        <v>4.5</v>
      </c>
      <c r="L907">
        <v>7</v>
      </c>
      <c r="M907" s="3">
        <f t="shared" ca="1" si="105"/>
        <v>45309</v>
      </c>
      <c r="N907" s="3">
        <f t="shared" ca="1" si="105"/>
        <v>45421</v>
      </c>
      <c r="O907" s="3">
        <v>45416</v>
      </c>
    </row>
    <row r="908" spans="1:15" x14ac:dyDescent="0.3">
      <c r="A908" s="3">
        <v>45425</v>
      </c>
      <c r="B908" t="s">
        <v>40</v>
      </c>
      <c r="C908" t="s">
        <v>85</v>
      </c>
      <c r="D908" s="4" cm="1">
        <f t="array" aca="1" ref="D908" ca="1">IFERROR( _xlfn.XLOOKUP(B908, B$2:INDEX(B:B,ROW()-1), I$2:INDEX(I:I,ROW()-1), 0, 0, -1),0)</f>
        <v>3</v>
      </c>
      <c r="E908">
        <v>15</v>
      </c>
      <c r="F908">
        <f t="shared" ca="1" si="101"/>
        <v>0</v>
      </c>
      <c r="G908">
        <f t="shared" ca="1" si="102"/>
        <v>10</v>
      </c>
      <c r="H908">
        <f t="shared" ca="1" si="103"/>
        <v>4</v>
      </c>
      <c r="I908">
        <f t="shared" ca="1" si="104"/>
        <v>4</v>
      </c>
      <c r="J908">
        <v>3</v>
      </c>
      <c r="K908">
        <v>2.5</v>
      </c>
      <c r="L908">
        <v>14</v>
      </c>
      <c r="M908" s="3">
        <f t="shared" ca="1" si="105"/>
        <v>45296</v>
      </c>
      <c r="N908" s="3">
        <f t="shared" ca="1" si="105"/>
        <v>45335</v>
      </c>
      <c r="O908" s="3">
        <v>45341</v>
      </c>
    </row>
    <row r="909" spans="1:15" x14ac:dyDescent="0.3">
      <c r="A909" s="3">
        <v>45425</v>
      </c>
      <c r="B909" t="s">
        <v>71</v>
      </c>
      <c r="C909" t="s">
        <v>47</v>
      </c>
      <c r="D909" s="4" cm="1">
        <f t="array" aca="1" ref="D909" ca="1">IFERROR( _xlfn.XLOOKUP(B909, B$2:INDEX(B:B,ROW()-1), I$2:INDEX(I:I,ROW()-1), 0, 0, -1),0)</f>
        <v>4</v>
      </c>
      <c r="E909">
        <v>6</v>
      </c>
      <c r="F909">
        <f t="shared" ca="1" si="101"/>
        <v>0</v>
      </c>
      <c r="G909">
        <f t="shared" ca="1" si="102"/>
        <v>5</v>
      </c>
      <c r="H909">
        <f t="shared" ca="1" si="103"/>
        <v>3</v>
      </c>
      <c r="I909">
        <f t="shared" ca="1" si="104"/>
        <v>2</v>
      </c>
      <c r="J909">
        <v>4</v>
      </c>
      <c r="K909">
        <v>3</v>
      </c>
      <c r="L909">
        <v>7</v>
      </c>
      <c r="M909" s="3">
        <f t="shared" ca="1" si="105"/>
        <v>45413</v>
      </c>
      <c r="N909" s="3">
        <f t="shared" ca="1" si="105"/>
        <v>45313</v>
      </c>
      <c r="O909" s="3">
        <v>45311</v>
      </c>
    </row>
    <row r="910" spans="1:15" x14ac:dyDescent="0.3">
      <c r="A910" s="3">
        <v>45425</v>
      </c>
      <c r="B910" t="s">
        <v>35</v>
      </c>
      <c r="C910" t="s">
        <v>31</v>
      </c>
      <c r="D910" s="4" cm="1">
        <f t="array" aca="1" ref="D910" ca="1">IFERROR( _xlfn.XLOOKUP(B910, B$2:INDEX(B:B,ROW()-1), I$2:INDEX(I:I,ROW()-1), 0, 0, -1),0)</f>
        <v>3</v>
      </c>
      <c r="E910">
        <v>8</v>
      </c>
      <c r="F910">
        <f t="shared" ca="1" si="101"/>
        <v>3</v>
      </c>
      <c r="G910">
        <f t="shared" ca="1" si="102"/>
        <v>5</v>
      </c>
      <c r="H910">
        <f t="shared" ca="1" si="103"/>
        <v>0</v>
      </c>
      <c r="I910">
        <f t="shared" ca="1" si="104"/>
        <v>3</v>
      </c>
      <c r="J910">
        <v>3.5</v>
      </c>
      <c r="K910">
        <v>3</v>
      </c>
      <c r="L910">
        <v>14</v>
      </c>
      <c r="M910" s="3">
        <f t="shared" ca="1" si="105"/>
        <v>45371</v>
      </c>
      <c r="N910" s="3">
        <f t="shared" ca="1" si="105"/>
        <v>45341</v>
      </c>
      <c r="O910" s="3">
        <v>45324</v>
      </c>
    </row>
    <row r="911" spans="1:15" x14ac:dyDescent="0.3">
      <c r="A911" s="3">
        <v>45426</v>
      </c>
      <c r="B911" t="s">
        <v>88</v>
      </c>
      <c r="C911" t="s">
        <v>102</v>
      </c>
      <c r="D911" s="4" cm="1">
        <f t="array" aca="1" ref="D911" ca="1">IFERROR( _xlfn.XLOOKUP(B911, B$2:INDEX(B:B,ROW()-1), I$2:INDEX(I:I,ROW()-1), 0, 0, -1),0)</f>
        <v>6</v>
      </c>
      <c r="E911">
        <v>8</v>
      </c>
      <c r="F911">
        <f t="shared" ca="1" si="101"/>
        <v>5</v>
      </c>
      <c r="G911">
        <f t="shared" ca="1" si="102"/>
        <v>2</v>
      </c>
      <c r="H911">
        <f t="shared" ca="1" si="103"/>
        <v>4</v>
      </c>
      <c r="I911">
        <f t="shared" ca="1" si="104"/>
        <v>3</v>
      </c>
      <c r="J911">
        <v>3.5</v>
      </c>
      <c r="K911">
        <v>3</v>
      </c>
      <c r="L911">
        <v>8</v>
      </c>
      <c r="M911" s="3">
        <f t="shared" ca="1" si="105"/>
        <v>45365</v>
      </c>
      <c r="N911" s="3">
        <f t="shared" ca="1" si="105"/>
        <v>45335</v>
      </c>
      <c r="O911" s="3">
        <v>45386</v>
      </c>
    </row>
    <row r="912" spans="1:15" x14ac:dyDescent="0.3">
      <c r="A912" s="3">
        <v>45426</v>
      </c>
      <c r="B912" t="s">
        <v>67</v>
      </c>
      <c r="C912" t="s">
        <v>46</v>
      </c>
      <c r="D912" s="4" cm="1">
        <f t="array" aca="1" ref="D912" ca="1">IFERROR( _xlfn.XLOOKUP(B912, B$2:INDEX(B:B,ROW()-1), I$2:INDEX(I:I,ROW()-1), 0, 0, -1),0)</f>
        <v>4</v>
      </c>
      <c r="E912">
        <v>8</v>
      </c>
      <c r="F912">
        <f t="shared" ca="1" si="101"/>
        <v>3</v>
      </c>
      <c r="G912">
        <f t="shared" ca="1" si="102"/>
        <v>5</v>
      </c>
      <c r="H912">
        <f t="shared" ca="1" si="103"/>
        <v>1</v>
      </c>
      <c r="I912">
        <f t="shared" ca="1" si="104"/>
        <v>3</v>
      </c>
      <c r="J912">
        <v>3.5</v>
      </c>
      <c r="K912">
        <v>3</v>
      </c>
      <c r="L912">
        <v>8</v>
      </c>
      <c r="M912" s="3">
        <f t="shared" ca="1" si="105"/>
        <v>45330</v>
      </c>
      <c r="N912" s="3">
        <f t="shared" ca="1" si="105"/>
        <v>45402</v>
      </c>
      <c r="O912" s="3">
        <v>45390</v>
      </c>
    </row>
    <row r="913" spans="1:15" x14ac:dyDescent="0.3">
      <c r="A913" s="3">
        <v>45426</v>
      </c>
      <c r="B913" t="s">
        <v>38</v>
      </c>
      <c r="C913" t="s">
        <v>52</v>
      </c>
      <c r="D913" s="4" cm="1">
        <f t="array" aca="1" ref="D913" ca="1">IFERROR( _xlfn.XLOOKUP(B913, B$2:INDEX(B:B,ROW()-1), I$2:INDEX(I:I,ROW()-1), 0, 0, -1),0)</f>
        <v>8</v>
      </c>
      <c r="E913">
        <v>12</v>
      </c>
      <c r="F913">
        <f t="shared" ca="1" si="101"/>
        <v>12</v>
      </c>
      <c r="G913">
        <f t="shared" ca="1" si="102"/>
        <v>2</v>
      </c>
      <c r="H913">
        <f t="shared" ca="1" si="103"/>
        <v>0</v>
      </c>
      <c r="I913">
        <f t="shared" ca="1" si="104"/>
        <v>6</v>
      </c>
      <c r="J913">
        <v>3.5</v>
      </c>
      <c r="K913">
        <v>3</v>
      </c>
      <c r="L913">
        <v>14</v>
      </c>
      <c r="M913" s="3">
        <f t="shared" ca="1" si="105"/>
        <v>45392</v>
      </c>
      <c r="N913" s="3">
        <f t="shared" ca="1" si="105"/>
        <v>45418</v>
      </c>
      <c r="O913" s="3">
        <v>45425</v>
      </c>
    </row>
    <row r="914" spans="1:15" x14ac:dyDescent="0.3">
      <c r="A914" s="3">
        <v>45426</v>
      </c>
      <c r="B914" t="s">
        <v>81</v>
      </c>
      <c r="C914" t="s">
        <v>50</v>
      </c>
      <c r="D914" s="4" cm="1">
        <f t="array" aca="1" ref="D914" ca="1">IFERROR( _xlfn.XLOOKUP(B914, B$2:INDEX(B:B,ROW()-1), I$2:INDEX(I:I,ROW()-1), 0, 0, -1),0)</f>
        <v>11</v>
      </c>
      <c r="E914">
        <v>8</v>
      </c>
      <c r="F914">
        <f t="shared" ca="1" si="101"/>
        <v>6</v>
      </c>
      <c r="G914">
        <f t="shared" ca="1" si="102"/>
        <v>1</v>
      </c>
      <c r="H914">
        <f t="shared" ca="1" si="103"/>
        <v>2</v>
      </c>
      <c r="I914">
        <f t="shared" ca="1" si="104"/>
        <v>10</v>
      </c>
      <c r="J914">
        <v>2.5</v>
      </c>
      <c r="K914">
        <v>2</v>
      </c>
      <c r="L914">
        <v>5</v>
      </c>
      <c r="M914" s="3">
        <f t="shared" ca="1" si="105"/>
        <v>45345</v>
      </c>
      <c r="N914" s="3">
        <f t="shared" ca="1" si="105"/>
        <v>45351</v>
      </c>
      <c r="O914" s="3">
        <v>45421</v>
      </c>
    </row>
    <row r="915" spans="1:15" x14ac:dyDescent="0.3">
      <c r="A915" s="3">
        <v>45426</v>
      </c>
      <c r="B915" t="s">
        <v>81</v>
      </c>
      <c r="C915" t="s">
        <v>50</v>
      </c>
      <c r="D915" s="4" cm="1">
        <f t="array" aca="1" ref="D915" ca="1">IFERROR( _xlfn.XLOOKUP(B915, B$2:INDEX(B:B,ROW()-1), I$2:INDEX(I:I,ROW()-1), 0, 0, -1),0)</f>
        <v>10</v>
      </c>
      <c r="E915">
        <v>8</v>
      </c>
      <c r="F915">
        <f t="shared" ca="1" si="101"/>
        <v>8</v>
      </c>
      <c r="G915">
        <f t="shared" ca="1" si="102"/>
        <v>1</v>
      </c>
      <c r="H915">
        <f t="shared" ca="1" si="103"/>
        <v>3</v>
      </c>
      <c r="I915">
        <f t="shared" ca="1" si="104"/>
        <v>6</v>
      </c>
      <c r="J915">
        <v>2.5</v>
      </c>
      <c r="K915">
        <v>2</v>
      </c>
      <c r="L915">
        <v>5</v>
      </c>
      <c r="M915" s="3">
        <f t="shared" ca="1" si="105"/>
        <v>45305</v>
      </c>
      <c r="N915" s="3">
        <f t="shared" ca="1" si="105"/>
        <v>45388</v>
      </c>
      <c r="O915" s="3">
        <v>45357</v>
      </c>
    </row>
    <row r="916" spans="1:15" x14ac:dyDescent="0.3">
      <c r="A916" s="3">
        <v>45426</v>
      </c>
      <c r="B916" t="s">
        <v>71</v>
      </c>
      <c r="C916" t="s">
        <v>47</v>
      </c>
      <c r="D916" s="4" cm="1">
        <f t="array" aca="1" ref="D916" ca="1">IFERROR( _xlfn.XLOOKUP(B916, B$2:INDEX(B:B,ROW()-1), I$2:INDEX(I:I,ROW()-1), 0, 0, -1),0)</f>
        <v>2</v>
      </c>
      <c r="E916">
        <v>6</v>
      </c>
      <c r="F916">
        <f t="shared" ca="1" si="101"/>
        <v>2</v>
      </c>
      <c r="G916">
        <f t="shared" ca="1" si="102"/>
        <v>2</v>
      </c>
      <c r="H916">
        <f t="shared" ca="1" si="103"/>
        <v>1</v>
      </c>
      <c r="I916">
        <f t="shared" ca="1" si="104"/>
        <v>3</v>
      </c>
      <c r="J916">
        <v>4</v>
      </c>
      <c r="K916">
        <v>3</v>
      </c>
      <c r="L916">
        <v>7</v>
      </c>
      <c r="M916" s="3">
        <f t="shared" ca="1" si="105"/>
        <v>45421</v>
      </c>
      <c r="N916" s="3">
        <f t="shared" ca="1" si="105"/>
        <v>45354</v>
      </c>
      <c r="O916" s="3">
        <v>45328</v>
      </c>
    </row>
    <row r="917" spans="1:15" x14ac:dyDescent="0.3">
      <c r="A917" s="3">
        <v>45426</v>
      </c>
      <c r="B917" t="s">
        <v>71</v>
      </c>
      <c r="C917" t="s">
        <v>47</v>
      </c>
      <c r="D917" s="4" cm="1">
        <f t="array" aca="1" ref="D917" ca="1">IFERROR( _xlfn.XLOOKUP(B917, B$2:INDEX(B:B,ROW()-1), I$2:INDEX(I:I,ROW()-1), 0, 0, -1),0)</f>
        <v>3</v>
      </c>
      <c r="E917">
        <v>6</v>
      </c>
      <c r="F917">
        <f t="shared" ca="1" si="101"/>
        <v>4</v>
      </c>
      <c r="G917">
        <f t="shared" ca="1" si="102"/>
        <v>1</v>
      </c>
      <c r="H917">
        <f t="shared" ca="1" si="103"/>
        <v>2</v>
      </c>
      <c r="I917">
        <f t="shared" ca="1" si="104"/>
        <v>2</v>
      </c>
      <c r="J917">
        <v>4</v>
      </c>
      <c r="K917">
        <v>3</v>
      </c>
      <c r="L917">
        <v>7</v>
      </c>
      <c r="M917" s="3">
        <f t="shared" ca="1" si="105"/>
        <v>45406</v>
      </c>
      <c r="N917" s="3">
        <f t="shared" ca="1" si="105"/>
        <v>45312</v>
      </c>
      <c r="O917" s="3">
        <v>45420</v>
      </c>
    </row>
    <row r="918" spans="1:15" x14ac:dyDescent="0.3">
      <c r="A918" s="3">
        <v>45426</v>
      </c>
      <c r="B918" t="s">
        <v>83</v>
      </c>
      <c r="C918" t="s">
        <v>100</v>
      </c>
      <c r="D918" s="4" cm="1">
        <f t="array" aca="1" ref="D918" ca="1">IFERROR( _xlfn.XLOOKUP(B918, B$2:INDEX(B:B,ROW()-1), I$2:INDEX(I:I,ROW()-1), 0, 0, -1),0)</f>
        <v>2</v>
      </c>
      <c r="E918">
        <v>10</v>
      </c>
      <c r="F918">
        <f t="shared" ca="1" si="101"/>
        <v>4</v>
      </c>
      <c r="G918">
        <f t="shared" ca="1" si="102"/>
        <v>5</v>
      </c>
      <c r="H918">
        <f t="shared" ca="1" si="103"/>
        <v>2</v>
      </c>
      <c r="I918">
        <f t="shared" ca="1" si="104"/>
        <v>1</v>
      </c>
      <c r="J918">
        <v>4.5</v>
      </c>
      <c r="K918">
        <v>4</v>
      </c>
      <c r="L918">
        <v>10</v>
      </c>
      <c r="M918" s="3">
        <f t="shared" ca="1" si="105"/>
        <v>45307</v>
      </c>
      <c r="N918" s="3">
        <f t="shared" ca="1" si="105"/>
        <v>45394</v>
      </c>
      <c r="O918" s="3">
        <v>45437</v>
      </c>
    </row>
    <row r="919" spans="1:15" x14ac:dyDescent="0.3">
      <c r="A919" s="3">
        <v>45426</v>
      </c>
      <c r="B919" t="s">
        <v>80</v>
      </c>
      <c r="C919" t="s">
        <v>49</v>
      </c>
      <c r="D919" s="4" cm="1">
        <f t="array" aca="1" ref="D919" ca="1">IFERROR( _xlfn.XLOOKUP(B919, B$2:INDEX(B:B,ROW()-1), I$2:INDEX(I:I,ROW()-1), 0, 0, -1),0)</f>
        <v>10</v>
      </c>
      <c r="E919">
        <v>8</v>
      </c>
      <c r="F919">
        <f t="shared" ca="1" si="101"/>
        <v>11</v>
      </c>
      <c r="G919">
        <f t="shared" ca="1" si="102"/>
        <v>0</v>
      </c>
      <c r="H919">
        <f t="shared" ca="1" si="103"/>
        <v>3</v>
      </c>
      <c r="I919">
        <f t="shared" ca="1" si="104"/>
        <v>4</v>
      </c>
      <c r="J919">
        <v>2.5</v>
      </c>
      <c r="K919">
        <v>2</v>
      </c>
      <c r="L919">
        <v>5</v>
      </c>
      <c r="M919" s="3">
        <f t="shared" ca="1" si="105"/>
        <v>45371</v>
      </c>
      <c r="N919" s="3">
        <f t="shared" ca="1" si="105"/>
        <v>45418</v>
      </c>
      <c r="O919" s="3">
        <v>45394</v>
      </c>
    </row>
    <row r="920" spans="1:15" x14ac:dyDescent="0.3">
      <c r="A920" s="3">
        <v>45427</v>
      </c>
      <c r="B920" t="s">
        <v>89</v>
      </c>
      <c r="C920" t="s">
        <v>103</v>
      </c>
      <c r="D920" s="4" cm="1">
        <f t="array" aca="1" ref="D920" ca="1">IFERROR( _xlfn.XLOOKUP(B920, B$2:INDEX(B:B,ROW()-1), I$2:INDEX(I:I,ROW()-1), 0, 0, -1),0)</f>
        <v>2</v>
      </c>
      <c r="E920">
        <v>8</v>
      </c>
      <c r="F920">
        <f t="shared" ca="1" si="101"/>
        <v>1</v>
      </c>
      <c r="G920">
        <f t="shared" ca="1" si="102"/>
        <v>3</v>
      </c>
      <c r="H920">
        <f t="shared" ca="1" si="103"/>
        <v>0</v>
      </c>
      <c r="I920">
        <f t="shared" ca="1" si="104"/>
        <v>6</v>
      </c>
      <c r="J920">
        <v>3.5</v>
      </c>
      <c r="K920">
        <v>3</v>
      </c>
      <c r="L920">
        <v>8</v>
      </c>
      <c r="M920" s="3">
        <f t="shared" ca="1" si="105"/>
        <v>45361</v>
      </c>
      <c r="N920" s="3">
        <f t="shared" ca="1" si="105"/>
        <v>45336</v>
      </c>
      <c r="O920" s="3">
        <v>45404</v>
      </c>
    </row>
    <row r="921" spans="1:15" x14ac:dyDescent="0.3">
      <c r="A921" s="3">
        <v>45427</v>
      </c>
      <c r="B921" t="s">
        <v>59</v>
      </c>
      <c r="C921" t="s">
        <v>93</v>
      </c>
      <c r="D921" s="4" cm="1">
        <f t="array" aca="1" ref="D921" ca="1">IFERROR( _xlfn.XLOOKUP(B921, B$2:INDEX(B:B,ROW()-1), I$2:INDEX(I:I,ROW()-1), 0, 0, -1),0)</f>
        <v>3</v>
      </c>
      <c r="E921">
        <v>10</v>
      </c>
      <c r="F921">
        <f t="shared" ca="1" si="101"/>
        <v>3</v>
      </c>
      <c r="G921">
        <f t="shared" ca="1" si="102"/>
        <v>2</v>
      </c>
      <c r="H921">
        <f t="shared" ca="1" si="103"/>
        <v>5</v>
      </c>
      <c r="I921">
        <f t="shared" ca="1" si="104"/>
        <v>3</v>
      </c>
      <c r="J921">
        <v>4</v>
      </c>
      <c r="K921">
        <v>3.5</v>
      </c>
      <c r="L921">
        <v>10</v>
      </c>
      <c r="M921" s="3">
        <f t="shared" ca="1" si="105"/>
        <v>45367</v>
      </c>
      <c r="N921" s="3">
        <f t="shared" ca="1" si="105"/>
        <v>45421</v>
      </c>
      <c r="O921" s="3">
        <v>45399</v>
      </c>
    </row>
    <row r="922" spans="1:15" x14ac:dyDescent="0.3">
      <c r="A922" s="3">
        <v>45427</v>
      </c>
      <c r="B922" t="s">
        <v>24</v>
      </c>
      <c r="C922" t="s">
        <v>29</v>
      </c>
      <c r="D922" s="4" cm="1">
        <f t="array" aca="1" ref="D922" ca="1">IFERROR( _xlfn.XLOOKUP(B922, B$2:INDEX(B:B,ROW()-1), I$2:INDEX(I:I,ROW()-1), 0, 0, -1),0)</f>
        <v>2</v>
      </c>
      <c r="E922">
        <v>8</v>
      </c>
      <c r="F922">
        <f t="shared" ca="1" si="101"/>
        <v>1</v>
      </c>
      <c r="G922">
        <f t="shared" ca="1" si="102"/>
        <v>5</v>
      </c>
      <c r="H922">
        <f t="shared" ca="1" si="103"/>
        <v>0</v>
      </c>
      <c r="I922">
        <f t="shared" ca="1" si="104"/>
        <v>4</v>
      </c>
      <c r="J922">
        <v>7.5</v>
      </c>
      <c r="K922">
        <v>5.5</v>
      </c>
      <c r="L922">
        <v>7</v>
      </c>
      <c r="M922" s="3">
        <f t="shared" ref="M922:N941" ca="1" si="106">DATE(2024,1,1) + RANDBETWEEN(0, DATE(2024,5,25) - DATE(2024,1,1))</f>
        <v>45309</v>
      </c>
      <c r="N922" s="3">
        <f t="shared" ca="1" si="106"/>
        <v>45332</v>
      </c>
      <c r="O922" s="3">
        <v>45307</v>
      </c>
    </row>
    <row r="923" spans="1:15" x14ac:dyDescent="0.3">
      <c r="A923" s="3">
        <v>45427</v>
      </c>
      <c r="B923" t="s">
        <v>63</v>
      </c>
      <c r="C923" t="s">
        <v>97</v>
      </c>
      <c r="D923" s="4" cm="1">
        <f t="array" aca="1" ref="D923" ca="1">IFERROR( _xlfn.XLOOKUP(B923, B$2:INDEX(B:B,ROW()-1), I$2:INDEX(I:I,ROW()-1), 0, 0, -1),0)</f>
        <v>5</v>
      </c>
      <c r="E923">
        <v>10</v>
      </c>
      <c r="F923">
        <f t="shared" ca="1" si="101"/>
        <v>6</v>
      </c>
      <c r="G923">
        <f t="shared" ca="1" si="102"/>
        <v>4</v>
      </c>
      <c r="H923">
        <f t="shared" ca="1" si="103"/>
        <v>1</v>
      </c>
      <c r="I923">
        <f t="shared" ca="1" si="104"/>
        <v>4</v>
      </c>
      <c r="J923">
        <v>4</v>
      </c>
      <c r="K923">
        <v>3.5</v>
      </c>
      <c r="L923">
        <v>10</v>
      </c>
      <c r="M923" s="3">
        <f t="shared" ca="1" si="106"/>
        <v>45359</v>
      </c>
      <c r="N923" s="3">
        <f t="shared" ca="1" si="106"/>
        <v>45398</v>
      </c>
      <c r="O923" s="3">
        <v>45347</v>
      </c>
    </row>
    <row r="924" spans="1:15" x14ac:dyDescent="0.3">
      <c r="A924" s="3">
        <v>45427</v>
      </c>
      <c r="B924" t="s">
        <v>57</v>
      </c>
      <c r="C924" t="s">
        <v>75</v>
      </c>
      <c r="D924" s="4" cm="1">
        <f t="array" aca="1" ref="D924" ca="1">IFERROR( _xlfn.XLOOKUP(B924, B$2:INDEX(B:B,ROW()-1), I$2:INDEX(I:I,ROW()-1), 0, 0, -1),0)</f>
        <v>1</v>
      </c>
      <c r="E924">
        <v>8</v>
      </c>
      <c r="F924">
        <f t="shared" ca="1" si="101"/>
        <v>4</v>
      </c>
      <c r="G924">
        <f t="shared" ca="1" si="102"/>
        <v>3</v>
      </c>
      <c r="H924">
        <f t="shared" ca="1" si="103"/>
        <v>1</v>
      </c>
      <c r="I924">
        <f t="shared" ca="1" si="104"/>
        <v>1</v>
      </c>
      <c r="J924">
        <v>6</v>
      </c>
      <c r="K924">
        <v>5.5</v>
      </c>
      <c r="L924">
        <v>20</v>
      </c>
      <c r="M924" s="3">
        <f t="shared" ca="1" si="106"/>
        <v>45318</v>
      </c>
      <c r="N924" s="3">
        <f t="shared" ca="1" si="106"/>
        <v>45421</v>
      </c>
      <c r="O924" s="3">
        <v>45333</v>
      </c>
    </row>
    <row r="925" spans="1:15" x14ac:dyDescent="0.3">
      <c r="A925" s="3">
        <v>45427</v>
      </c>
      <c r="B925" t="s">
        <v>59</v>
      </c>
      <c r="C925" t="s">
        <v>93</v>
      </c>
      <c r="D925" s="4" cm="1">
        <f t="array" aca="1" ref="D925" ca="1">IFERROR( _xlfn.XLOOKUP(B925, B$2:INDEX(B:B,ROW()-1), I$2:INDEX(I:I,ROW()-1), 0, 0, -1),0)</f>
        <v>3</v>
      </c>
      <c r="E925">
        <v>10</v>
      </c>
      <c r="F925">
        <f t="shared" ca="1" si="101"/>
        <v>2</v>
      </c>
      <c r="G925">
        <f t="shared" ca="1" si="102"/>
        <v>7</v>
      </c>
      <c r="H925">
        <f t="shared" ca="1" si="103"/>
        <v>1</v>
      </c>
      <c r="I925">
        <f t="shared" ca="1" si="104"/>
        <v>3</v>
      </c>
      <c r="J925">
        <v>4</v>
      </c>
      <c r="K925">
        <v>3.5</v>
      </c>
      <c r="L925">
        <v>10</v>
      </c>
      <c r="M925" s="3">
        <f t="shared" ca="1" si="106"/>
        <v>45426</v>
      </c>
      <c r="N925" s="3">
        <f t="shared" ca="1" si="106"/>
        <v>45381</v>
      </c>
      <c r="O925" s="3">
        <v>45420</v>
      </c>
    </row>
    <row r="926" spans="1:15" x14ac:dyDescent="0.3">
      <c r="A926" s="3">
        <v>45427</v>
      </c>
      <c r="B926" t="s">
        <v>68</v>
      </c>
      <c r="C926" t="s">
        <v>43</v>
      </c>
      <c r="D926" s="4" cm="1">
        <f t="array" aca="1" ref="D926" ca="1">IFERROR( _xlfn.XLOOKUP(B926, B$2:INDEX(B:B,ROW()-1), I$2:INDEX(I:I,ROW()-1), 0, 0, -1),0)</f>
        <v>11</v>
      </c>
      <c r="E926">
        <v>15</v>
      </c>
      <c r="F926">
        <f t="shared" ca="1" si="101"/>
        <v>15</v>
      </c>
      <c r="G926">
        <f t="shared" ca="1" si="102"/>
        <v>3</v>
      </c>
      <c r="H926">
        <f t="shared" ca="1" si="103"/>
        <v>4</v>
      </c>
      <c r="I926">
        <f t="shared" ca="1" si="104"/>
        <v>4</v>
      </c>
      <c r="J926">
        <v>4</v>
      </c>
      <c r="K926">
        <v>3</v>
      </c>
      <c r="L926">
        <v>14</v>
      </c>
      <c r="M926" s="3">
        <f t="shared" ca="1" si="106"/>
        <v>45404</v>
      </c>
      <c r="N926" s="3">
        <f t="shared" ca="1" si="106"/>
        <v>45303</v>
      </c>
      <c r="O926" s="3">
        <v>45368</v>
      </c>
    </row>
    <row r="927" spans="1:15" x14ac:dyDescent="0.3">
      <c r="A927" s="3">
        <v>45427</v>
      </c>
      <c r="B927" t="s">
        <v>60</v>
      </c>
      <c r="C927" t="s">
        <v>94</v>
      </c>
      <c r="D927" s="4" cm="1">
        <f t="array" aca="1" ref="D927" ca="1">IFERROR( _xlfn.XLOOKUP(B927, B$2:INDEX(B:B,ROW()-1), I$2:INDEX(I:I,ROW()-1), 0, 0, -1),0)</f>
        <v>12</v>
      </c>
      <c r="E927">
        <v>10</v>
      </c>
      <c r="F927">
        <f t="shared" ca="1" si="101"/>
        <v>5</v>
      </c>
      <c r="G927">
        <f t="shared" ca="1" si="102"/>
        <v>10</v>
      </c>
      <c r="H927">
        <f t="shared" ca="1" si="103"/>
        <v>2</v>
      </c>
      <c r="I927">
        <f t="shared" ca="1" si="104"/>
        <v>5</v>
      </c>
      <c r="J927">
        <v>4</v>
      </c>
      <c r="K927">
        <v>3.5</v>
      </c>
      <c r="L927">
        <v>10</v>
      </c>
      <c r="M927" s="3">
        <f t="shared" ca="1" si="106"/>
        <v>45320</v>
      </c>
      <c r="N927" s="3">
        <f t="shared" ca="1" si="106"/>
        <v>45324</v>
      </c>
      <c r="O927" s="3">
        <v>45318</v>
      </c>
    </row>
    <row r="928" spans="1:15" x14ac:dyDescent="0.3">
      <c r="A928" s="3">
        <v>45428</v>
      </c>
      <c r="B928" t="s">
        <v>19</v>
      </c>
      <c r="C928" t="s">
        <v>17</v>
      </c>
      <c r="D928" s="4" cm="1">
        <f t="array" aca="1" ref="D928" ca="1">IFERROR( _xlfn.XLOOKUP(B928, B$2:INDEX(B:B,ROW()-1), I$2:INDEX(I:I,ROW()-1), 0, 0, -1),0)</f>
        <v>8</v>
      </c>
      <c r="E928">
        <v>10</v>
      </c>
      <c r="F928">
        <f t="shared" ca="1" si="101"/>
        <v>3</v>
      </c>
      <c r="G928">
        <f t="shared" ca="1" si="102"/>
        <v>2</v>
      </c>
      <c r="H928">
        <f t="shared" ca="1" si="103"/>
        <v>4</v>
      </c>
      <c r="I928">
        <f t="shared" ca="1" si="104"/>
        <v>9</v>
      </c>
      <c r="J928">
        <v>4.5</v>
      </c>
      <c r="K928">
        <v>4</v>
      </c>
      <c r="L928">
        <v>10</v>
      </c>
      <c r="M928" s="3">
        <f t="shared" ca="1" si="106"/>
        <v>45353</v>
      </c>
      <c r="N928" s="3">
        <f t="shared" ca="1" si="106"/>
        <v>45412</v>
      </c>
      <c r="O928" s="3">
        <v>45436</v>
      </c>
    </row>
    <row r="929" spans="1:15" x14ac:dyDescent="0.3">
      <c r="A929" s="3">
        <v>45428</v>
      </c>
      <c r="B929" t="s">
        <v>56</v>
      </c>
      <c r="C929" t="s">
        <v>54</v>
      </c>
      <c r="D929" s="4" cm="1">
        <f t="array" aca="1" ref="D929" ca="1">IFERROR( _xlfn.XLOOKUP(B929, B$2:INDEX(B:B,ROW()-1), I$2:INDEX(I:I,ROW()-1), 0, 0, -1),0)</f>
        <v>4</v>
      </c>
      <c r="E929">
        <v>8</v>
      </c>
      <c r="F929">
        <f t="shared" ca="1" si="101"/>
        <v>5</v>
      </c>
      <c r="G929">
        <f t="shared" ca="1" si="102"/>
        <v>3</v>
      </c>
      <c r="H929">
        <f t="shared" ca="1" si="103"/>
        <v>2</v>
      </c>
      <c r="I929">
        <f t="shared" ca="1" si="104"/>
        <v>2</v>
      </c>
      <c r="J929">
        <v>6</v>
      </c>
      <c r="K929">
        <v>5.5</v>
      </c>
      <c r="L929">
        <v>20</v>
      </c>
      <c r="M929" s="3">
        <f t="shared" ca="1" si="106"/>
        <v>45333</v>
      </c>
      <c r="N929" s="3">
        <f t="shared" ca="1" si="106"/>
        <v>45388</v>
      </c>
      <c r="O929" s="3">
        <v>45358</v>
      </c>
    </row>
    <row r="930" spans="1:15" x14ac:dyDescent="0.3">
      <c r="A930" s="3">
        <v>45428</v>
      </c>
      <c r="B930" t="s">
        <v>39</v>
      </c>
      <c r="C930" t="s">
        <v>32</v>
      </c>
      <c r="D930" s="4" cm="1">
        <f t="array" aca="1" ref="D930" ca="1">IFERROR( _xlfn.XLOOKUP(B930, B$2:INDEX(B:B,ROW()-1), I$2:INDEX(I:I,ROW()-1), 0, 0, -1),0)</f>
        <v>11</v>
      </c>
      <c r="E930">
        <v>12</v>
      </c>
      <c r="F930">
        <f t="shared" ca="1" si="101"/>
        <v>1</v>
      </c>
      <c r="G930">
        <f t="shared" ca="1" si="102"/>
        <v>8</v>
      </c>
      <c r="H930">
        <f t="shared" ca="1" si="103"/>
        <v>1</v>
      </c>
      <c r="I930">
        <f t="shared" ca="1" si="104"/>
        <v>13</v>
      </c>
      <c r="J930">
        <v>3.5</v>
      </c>
      <c r="K930">
        <v>3</v>
      </c>
      <c r="L930">
        <v>14</v>
      </c>
      <c r="M930" s="3">
        <f t="shared" ca="1" si="106"/>
        <v>45351</v>
      </c>
      <c r="N930" s="3">
        <f t="shared" ca="1" si="106"/>
        <v>45315</v>
      </c>
      <c r="O930" s="3">
        <v>45384</v>
      </c>
    </row>
    <row r="931" spans="1:15" x14ac:dyDescent="0.3">
      <c r="A931" s="3">
        <v>45428</v>
      </c>
      <c r="B931" t="s">
        <v>67</v>
      </c>
      <c r="C931" t="s">
        <v>46</v>
      </c>
      <c r="D931" s="4" cm="1">
        <f t="array" aca="1" ref="D931" ca="1">IFERROR( _xlfn.XLOOKUP(B931, B$2:INDEX(B:B,ROW()-1), I$2:INDEX(I:I,ROW()-1), 0, 0, -1),0)</f>
        <v>3</v>
      </c>
      <c r="E931">
        <v>8</v>
      </c>
      <c r="F931">
        <f t="shared" ca="1" si="101"/>
        <v>0</v>
      </c>
      <c r="G931">
        <f t="shared" ca="1" si="102"/>
        <v>2</v>
      </c>
      <c r="H931">
        <f t="shared" ca="1" si="103"/>
        <v>4</v>
      </c>
      <c r="I931">
        <f t="shared" ca="1" si="104"/>
        <v>5</v>
      </c>
      <c r="J931">
        <v>3.5</v>
      </c>
      <c r="K931">
        <v>3</v>
      </c>
      <c r="L931">
        <v>8</v>
      </c>
      <c r="M931" s="3">
        <f t="shared" ca="1" si="106"/>
        <v>45399</v>
      </c>
      <c r="N931" s="3">
        <f t="shared" ca="1" si="106"/>
        <v>45430</v>
      </c>
      <c r="O931" s="3">
        <v>45329</v>
      </c>
    </row>
    <row r="932" spans="1:15" x14ac:dyDescent="0.3">
      <c r="A932" s="3">
        <v>45428</v>
      </c>
      <c r="B932" t="s">
        <v>39</v>
      </c>
      <c r="C932" t="s">
        <v>32</v>
      </c>
      <c r="D932" s="4" cm="1">
        <f t="array" aca="1" ref="D932" ca="1">IFERROR( _xlfn.XLOOKUP(B932, B$2:INDEX(B:B,ROW()-1), I$2:INDEX(I:I,ROW()-1), 0, 0, -1),0)</f>
        <v>13</v>
      </c>
      <c r="E932">
        <v>12</v>
      </c>
      <c r="F932">
        <f t="shared" ca="1" si="101"/>
        <v>5</v>
      </c>
      <c r="G932">
        <f t="shared" ca="1" si="102"/>
        <v>10</v>
      </c>
      <c r="H932">
        <f t="shared" ca="1" si="103"/>
        <v>3</v>
      </c>
      <c r="I932">
        <f t="shared" ca="1" si="104"/>
        <v>7</v>
      </c>
      <c r="J932">
        <v>3.5</v>
      </c>
      <c r="K932">
        <v>3</v>
      </c>
      <c r="L932">
        <v>14</v>
      </c>
      <c r="M932" s="3">
        <f t="shared" ca="1" si="106"/>
        <v>45339</v>
      </c>
      <c r="N932" s="3">
        <f t="shared" ca="1" si="106"/>
        <v>45305</v>
      </c>
      <c r="O932" s="3">
        <v>45296</v>
      </c>
    </row>
    <row r="933" spans="1:15" x14ac:dyDescent="0.3">
      <c r="A933" s="3">
        <v>45429</v>
      </c>
      <c r="B933" t="s">
        <v>90</v>
      </c>
      <c r="C933" t="s">
        <v>87</v>
      </c>
      <c r="D933" s="4" cm="1">
        <f t="array" aca="1" ref="D933" ca="1">IFERROR( _xlfn.XLOOKUP(B933, B$2:INDEX(B:B,ROW()-1), I$2:INDEX(I:I,ROW()-1), 0, 0, -1),0)</f>
        <v>5</v>
      </c>
      <c r="E933">
        <v>12</v>
      </c>
      <c r="F933">
        <f t="shared" ca="1" si="101"/>
        <v>9</v>
      </c>
      <c r="G933">
        <f t="shared" ca="1" si="102"/>
        <v>1</v>
      </c>
      <c r="H933">
        <f t="shared" ca="1" si="103"/>
        <v>2</v>
      </c>
      <c r="I933">
        <f t="shared" ca="1" si="104"/>
        <v>5</v>
      </c>
      <c r="J933">
        <v>4.5</v>
      </c>
      <c r="K933">
        <v>4</v>
      </c>
      <c r="L933">
        <v>14</v>
      </c>
      <c r="M933" s="3">
        <f t="shared" ca="1" si="106"/>
        <v>45338</v>
      </c>
      <c r="N933" s="3">
        <f t="shared" ca="1" si="106"/>
        <v>45345</v>
      </c>
      <c r="O933" s="3">
        <v>45331</v>
      </c>
    </row>
    <row r="934" spans="1:15" x14ac:dyDescent="0.3">
      <c r="A934" s="3">
        <v>45429</v>
      </c>
      <c r="B934" t="s">
        <v>19</v>
      </c>
      <c r="C934" t="s">
        <v>17</v>
      </c>
      <c r="D934" s="4" cm="1">
        <f t="array" aca="1" ref="D934" ca="1">IFERROR( _xlfn.XLOOKUP(B934, B$2:INDEX(B:B,ROW()-1), I$2:INDEX(I:I,ROW()-1), 0, 0, -1),0)</f>
        <v>9</v>
      </c>
      <c r="E934">
        <v>10</v>
      </c>
      <c r="F934">
        <f t="shared" ca="1" si="101"/>
        <v>8</v>
      </c>
      <c r="G934">
        <f t="shared" ca="1" si="102"/>
        <v>1</v>
      </c>
      <c r="H934">
        <f t="shared" ca="1" si="103"/>
        <v>1</v>
      </c>
      <c r="I934">
        <f t="shared" ca="1" si="104"/>
        <v>9</v>
      </c>
      <c r="J934">
        <v>4.5</v>
      </c>
      <c r="K934">
        <v>4</v>
      </c>
      <c r="L934">
        <v>10</v>
      </c>
      <c r="M934" s="3">
        <f t="shared" ca="1" si="106"/>
        <v>45433</v>
      </c>
      <c r="N934" s="3">
        <f t="shared" ca="1" si="106"/>
        <v>45295</v>
      </c>
      <c r="O934" s="3">
        <v>45392</v>
      </c>
    </row>
    <row r="935" spans="1:15" x14ac:dyDescent="0.3">
      <c r="A935" s="3">
        <v>45429</v>
      </c>
      <c r="B935" t="s">
        <v>58</v>
      </c>
      <c r="C935" t="s">
        <v>76</v>
      </c>
      <c r="D935" s="4" cm="1">
        <f t="array" aca="1" ref="D935" ca="1">IFERROR( _xlfn.XLOOKUP(B935, B$2:INDEX(B:B,ROW()-1), I$2:INDEX(I:I,ROW()-1), 0, 0, -1),0)</f>
        <v>9</v>
      </c>
      <c r="E935">
        <v>15</v>
      </c>
      <c r="F935">
        <f t="shared" ca="1" si="101"/>
        <v>14</v>
      </c>
      <c r="G935">
        <f t="shared" ca="1" si="102"/>
        <v>2</v>
      </c>
      <c r="H935">
        <f t="shared" ca="1" si="103"/>
        <v>4</v>
      </c>
      <c r="I935">
        <f t="shared" ca="1" si="104"/>
        <v>4</v>
      </c>
      <c r="J935">
        <v>6</v>
      </c>
      <c r="K935">
        <v>5.5</v>
      </c>
      <c r="L935">
        <v>20</v>
      </c>
      <c r="M935" s="3">
        <f t="shared" ca="1" si="106"/>
        <v>45294</v>
      </c>
      <c r="N935" s="3">
        <f t="shared" ca="1" si="106"/>
        <v>45300</v>
      </c>
      <c r="O935" s="3">
        <v>45332</v>
      </c>
    </row>
    <row r="936" spans="1:15" x14ac:dyDescent="0.3">
      <c r="A936" s="3">
        <v>45429</v>
      </c>
      <c r="B936" t="s">
        <v>57</v>
      </c>
      <c r="C936" t="s">
        <v>75</v>
      </c>
      <c r="D936" s="4" cm="1">
        <f t="array" aca="1" ref="D936" ca="1">IFERROR( _xlfn.XLOOKUP(B936, B$2:INDEX(B:B,ROW()-1), I$2:INDEX(I:I,ROW()-1), 0, 0, -1),0)</f>
        <v>1</v>
      </c>
      <c r="E936">
        <v>8</v>
      </c>
      <c r="F936">
        <f t="shared" ca="1" si="101"/>
        <v>1</v>
      </c>
      <c r="G936">
        <f t="shared" ca="1" si="102"/>
        <v>4</v>
      </c>
      <c r="H936">
        <f t="shared" ca="1" si="103"/>
        <v>1</v>
      </c>
      <c r="I936">
        <f t="shared" ca="1" si="104"/>
        <v>3</v>
      </c>
      <c r="J936">
        <v>6</v>
      </c>
      <c r="K936">
        <v>5.5</v>
      </c>
      <c r="L936">
        <v>20</v>
      </c>
      <c r="M936" s="3">
        <f t="shared" ca="1" si="106"/>
        <v>45301</v>
      </c>
      <c r="N936" s="3">
        <f t="shared" ca="1" si="106"/>
        <v>45417</v>
      </c>
      <c r="O936" s="3">
        <v>45404</v>
      </c>
    </row>
    <row r="937" spans="1:15" x14ac:dyDescent="0.3">
      <c r="A937" s="3">
        <v>45429</v>
      </c>
      <c r="B937" t="s">
        <v>24</v>
      </c>
      <c r="C937" t="s">
        <v>29</v>
      </c>
      <c r="D937" s="4" cm="1">
        <f t="array" aca="1" ref="D937" ca="1">IFERROR( _xlfn.XLOOKUP(B937, B$2:INDEX(B:B,ROW()-1), I$2:INDEX(I:I,ROW()-1), 0, 0, -1),0)</f>
        <v>4</v>
      </c>
      <c r="E937">
        <v>8</v>
      </c>
      <c r="F937">
        <f t="shared" ca="1" si="101"/>
        <v>0</v>
      </c>
      <c r="G937">
        <f t="shared" ca="1" si="102"/>
        <v>6</v>
      </c>
      <c r="H937">
        <f t="shared" ca="1" si="103"/>
        <v>3</v>
      </c>
      <c r="I937">
        <f t="shared" ca="1" si="104"/>
        <v>3</v>
      </c>
      <c r="J937">
        <v>7.5</v>
      </c>
      <c r="K937">
        <v>5.5</v>
      </c>
      <c r="L937">
        <v>7</v>
      </c>
      <c r="M937" s="3">
        <f t="shared" ca="1" si="106"/>
        <v>45427</v>
      </c>
      <c r="N937" s="3">
        <f t="shared" ca="1" si="106"/>
        <v>45368</v>
      </c>
      <c r="O937" s="3">
        <v>45377</v>
      </c>
    </row>
    <row r="938" spans="1:15" x14ac:dyDescent="0.3">
      <c r="A938" s="3">
        <v>45429</v>
      </c>
      <c r="B938" t="s">
        <v>79</v>
      </c>
      <c r="C938" t="s">
        <v>104</v>
      </c>
      <c r="D938" s="4" cm="1">
        <f t="array" aca="1" ref="D938" ca="1">IFERROR( _xlfn.XLOOKUP(B938, B$2:INDEX(B:B,ROW()-1), I$2:INDEX(I:I,ROW()-1), 0, 0, -1),0)</f>
        <v>3</v>
      </c>
      <c r="E938">
        <v>8</v>
      </c>
      <c r="F938">
        <f t="shared" ca="1" si="101"/>
        <v>6</v>
      </c>
      <c r="G938">
        <f t="shared" ca="1" si="102"/>
        <v>1</v>
      </c>
      <c r="H938">
        <f t="shared" ca="1" si="103"/>
        <v>1</v>
      </c>
      <c r="I938">
        <f t="shared" ca="1" si="104"/>
        <v>3</v>
      </c>
      <c r="J938">
        <v>2.5</v>
      </c>
      <c r="K938">
        <v>2</v>
      </c>
      <c r="L938">
        <v>5</v>
      </c>
      <c r="M938" s="3">
        <f t="shared" ca="1" si="106"/>
        <v>45409</v>
      </c>
      <c r="N938" s="3">
        <f t="shared" ca="1" si="106"/>
        <v>45398</v>
      </c>
      <c r="O938" s="3">
        <v>45351</v>
      </c>
    </row>
    <row r="939" spans="1:15" x14ac:dyDescent="0.3">
      <c r="A939" s="3">
        <v>45429</v>
      </c>
      <c r="B939" t="s">
        <v>78</v>
      </c>
      <c r="C939" t="s">
        <v>74</v>
      </c>
      <c r="D939" s="4" cm="1">
        <f t="array" aca="1" ref="D939" ca="1">IFERROR( _xlfn.XLOOKUP(B939, B$2:INDEX(B:B,ROW()-1), I$2:INDEX(I:I,ROW()-1), 0, 0, -1),0)</f>
        <v>3</v>
      </c>
      <c r="E939">
        <v>6</v>
      </c>
      <c r="F939">
        <f t="shared" ca="1" si="101"/>
        <v>4</v>
      </c>
      <c r="G939">
        <f t="shared" ca="1" si="102"/>
        <v>0</v>
      </c>
      <c r="H939">
        <f t="shared" ca="1" si="103"/>
        <v>1</v>
      </c>
      <c r="I939">
        <f t="shared" ca="1" si="104"/>
        <v>4</v>
      </c>
      <c r="J939">
        <v>4</v>
      </c>
      <c r="K939">
        <v>3</v>
      </c>
      <c r="L939">
        <v>7</v>
      </c>
      <c r="M939" s="3">
        <f t="shared" ca="1" si="106"/>
        <v>45413</v>
      </c>
      <c r="N939" s="3">
        <f t="shared" ca="1" si="106"/>
        <v>45432</v>
      </c>
      <c r="O939" s="3">
        <v>45327</v>
      </c>
    </row>
    <row r="940" spans="1:15" x14ac:dyDescent="0.3">
      <c r="A940" s="3">
        <v>45429</v>
      </c>
      <c r="B940" t="s">
        <v>19</v>
      </c>
      <c r="C940" t="s">
        <v>17</v>
      </c>
      <c r="D940" s="4" cm="1">
        <f t="array" aca="1" ref="D940" ca="1">IFERROR( _xlfn.XLOOKUP(B940, B$2:INDEX(B:B,ROW()-1), I$2:INDEX(I:I,ROW()-1), 0, 0, -1),0)</f>
        <v>9</v>
      </c>
      <c r="E940">
        <v>10</v>
      </c>
      <c r="F940">
        <f t="shared" ca="1" si="101"/>
        <v>2</v>
      </c>
      <c r="G940">
        <f t="shared" ca="1" si="102"/>
        <v>3</v>
      </c>
      <c r="H940">
        <f t="shared" ca="1" si="103"/>
        <v>3</v>
      </c>
      <c r="I940">
        <f t="shared" ca="1" si="104"/>
        <v>11</v>
      </c>
      <c r="J940">
        <v>4.5</v>
      </c>
      <c r="K940">
        <v>4</v>
      </c>
      <c r="L940">
        <v>10</v>
      </c>
      <c r="M940" s="3">
        <f t="shared" ca="1" si="106"/>
        <v>45407</v>
      </c>
      <c r="N940" s="3">
        <f t="shared" ca="1" si="106"/>
        <v>45378</v>
      </c>
      <c r="O940" s="3">
        <v>45356</v>
      </c>
    </row>
    <row r="941" spans="1:15" x14ac:dyDescent="0.3">
      <c r="A941" s="3">
        <v>45429</v>
      </c>
      <c r="B941" t="s">
        <v>34</v>
      </c>
      <c r="C941" t="s">
        <v>30</v>
      </c>
      <c r="D941" s="4" cm="1">
        <f t="array" aca="1" ref="D941" ca="1">IFERROR( _xlfn.XLOOKUP(B941, B$2:INDEX(B:B,ROW()-1), I$2:INDEX(I:I,ROW()-1), 0, 0, -1),0)</f>
        <v>5</v>
      </c>
      <c r="E941">
        <v>6</v>
      </c>
      <c r="F941">
        <f t="shared" ca="1" si="101"/>
        <v>0</v>
      </c>
      <c r="G941">
        <f t="shared" ca="1" si="102"/>
        <v>0</v>
      </c>
      <c r="H941">
        <f t="shared" ca="1" si="103"/>
        <v>4</v>
      </c>
      <c r="I941">
        <f t="shared" ca="1" si="104"/>
        <v>7</v>
      </c>
      <c r="J941">
        <v>3.5</v>
      </c>
      <c r="K941">
        <v>3</v>
      </c>
      <c r="L941">
        <v>10</v>
      </c>
      <c r="M941" s="3">
        <f t="shared" ca="1" si="106"/>
        <v>45413</v>
      </c>
      <c r="N941" s="3">
        <f t="shared" ca="1" si="106"/>
        <v>45393</v>
      </c>
      <c r="O941" s="3">
        <v>45360</v>
      </c>
    </row>
    <row r="942" spans="1:15" x14ac:dyDescent="0.3">
      <c r="A942" s="3">
        <v>45429</v>
      </c>
      <c r="B942" t="s">
        <v>63</v>
      </c>
      <c r="C942" t="s">
        <v>97</v>
      </c>
      <c r="D942" s="4" cm="1">
        <f t="array" aca="1" ref="D942" ca="1">IFERROR( _xlfn.XLOOKUP(B942, B$2:INDEX(B:B,ROW()-1), I$2:INDEX(I:I,ROW()-1), 0, 0, -1),0)</f>
        <v>4</v>
      </c>
      <c r="E942">
        <v>10</v>
      </c>
      <c r="F942">
        <f t="shared" ca="1" si="101"/>
        <v>8</v>
      </c>
      <c r="G942">
        <f t="shared" ca="1" si="102"/>
        <v>0</v>
      </c>
      <c r="H942">
        <f t="shared" ca="1" si="103"/>
        <v>2</v>
      </c>
      <c r="I942">
        <f t="shared" ca="1" si="104"/>
        <v>4</v>
      </c>
      <c r="J942">
        <v>4</v>
      </c>
      <c r="K942">
        <v>3.5</v>
      </c>
      <c r="L942">
        <v>10</v>
      </c>
      <c r="M942" s="3">
        <f t="shared" ref="M942:N961" ca="1" si="107">DATE(2024,1,1) + RANDBETWEEN(0, DATE(2024,5,25) - DATE(2024,1,1))</f>
        <v>45420</v>
      </c>
      <c r="N942" s="3">
        <f t="shared" ca="1" si="107"/>
        <v>45305</v>
      </c>
      <c r="O942" s="3">
        <v>45432</v>
      </c>
    </row>
    <row r="943" spans="1:15" x14ac:dyDescent="0.3">
      <c r="A943" s="3">
        <v>45429</v>
      </c>
      <c r="B943" t="s">
        <v>10</v>
      </c>
      <c r="C943" t="s">
        <v>18</v>
      </c>
      <c r="D943" s="4" cm="1">
        <f t="array" aca="1" ref="D943" ca="1">IFERROR( _xlfn.XLOOKUP(B943, B$2:INDEX(B:B,ROW()-1), I$2:INDEX(I:I,ROW()-1), 0, 0, -1),0)</f>
        <v>8</v>
      </c>
      <c r="E943">
        <v>10</v>
      </c>
      <c r="F943">
        <f t="shared" ca="1" si="101"/>
        <v>11</v>
      </c>
      <c r="G943">
        <f t="shared" ca="1" si="102"/>
        <v>3</v>
      </c>
      <c r="H943">
        <f t="shared" ca="1" si="103"/>
        <v>0</v>
      </c>
      <c r="I943">
        <f t="shared" ca="1" si="104"/>
        <v>4</v>
      </c>
      <c r="J943">
        <v>5.5</v>
      </c>
      <c r="K943">
        <v>4.5</v>
      </c>
      <c r="L943">
        <v>7</v>
      </c>
      <c r="M943" s="3">
        <f t="shared" ca="1" si="107"/>
        <v>45405</v>
      </c>
      <c r="N943" s="3">
        <f t="shared" ca="1" si="107"/>
        <v>45352</v>
      </c>
      <c r="O943" s="3">
        <v>45387</v>
      </c>
    </row>
    <row r="944" spans="1:15" x14ac:dyDescent="0.3">
      <c r="A944" s="3">
        <v>45430</v>
      </c>
      <c r="B944" t="s">
        <v>81</v>
      </c>
      <c r="C944" t="s">
        <v>50</v>
      </c>
      <c r="D944" s="4" cm="1">
        <f t="array" aca="1" ref="D944" ca="1">IFERROR( _xlfn.XLOOKUP(B944, B$2:INDEX(B:B,ROW()-1), I$2:INDEX(I:I,ROW()-1), 0, 0, -1),0)</f>
        <v>6</v>
      </c>
      <c r="E944">
        <v>8</v>
      </c>
      <c r="F944">
        <f t="shared" ca="1" si="101"/>
        <v>0</v>
      </c>
      <c r="G944">
        <f t="shared" ca="1" si="102"/>
        <v>2</v>
      </c>
      <c r="H944">
        <f t="shared" ca="1" si="103"/>
        <v>7</v>
      </c>
      <c r="I944">
        <f t="shared" ca="1" si="104"/>
        <v>5</v>
      </c>
      <c r="J944">
        <v>2.5</v>
      </c>
      <c r="K944">
        <v>2</v>
      </c>
      <c r="L944">
        <v>5</v>
      </c>
      <c r="M944" s="3">
        <f t="shared" ca="1" si="107"/>
        <v>45437</v>
      </c>
      <c r="N944" s="3">
        <f t="shared" ca="1" si="107"/>
        <v>45415</v>
      </c>
      <c r="O944" s="3">
        <v>45317</v>
      </c>
    </row>
    <row r="945" spans="1:15" x14ac:dyDescent="0.3">
      <c r="A945" s="3">
        <v>45430</v>
      </c>
      <c r="B945" t="s">
        <v>60</v>
      </c>
      <c r="C945" t="s">
        <v>94</v>
      </c>
      <c r="D945" s="4" cm="1">
        <f t="array" aca="1" ref="D945" ca="1">IFERROR( _xlfn.XLOOKUP(B945, B$2:INDEX(B:B,ROW()-1), I$2:INDEX(I:I,ROW()-1), 0, 0, -1),0)</f>
        <v>5</v>
      </c>
      <c r="E945">
        <v>10</v>
      </c>
      <c r="F945">
        <f t="shared" ca="1" si="101"/>
        <v>6</v>
      </c>
      <c r="G945">
        <f t="shared" ca="1" si="102"/>
        <v>2</v>
      </c>
      <c r="H945">
        <f t="shared" ca="1" si="103"/>
        <v>2</v>
      </c>
      <c r="I945">
        <f t="shared" ca="1" si="104"/>
        <v>5</v>
      </c>
      <c r="J945">
        <v>4</v>
      </c>
      <c r="K945">
        <v>3.5</v>
      </c>
      <c r="L945">
        <v>10</v>
      </c>
      <c r="M945" s="3">
        <f t="shared" ca="1" si="107"/>
        <v>45345</v>
      </c>
      <c r="N945" s="3">
        <f t="shared" ca="1" si="107"/>
        <v>45371</v>
      </c>
      <c r="O945" s="3">
        <v>45333</v>
      </c>
    </row>
    <row r="946" spans="1:15" x14ac:dyDescent="0.3">
      <c r="A946" s="3">
        <v>45430</v>
      </c>
      <c r="B946" t="s">
        <v>62</v>
      </c>
      <c r="C946" t="s">
        <v>96</v>
      </c>
      <c r="D946" s="4" cm="1">
        <f t="array" aca="1" ref="D946" ca="1">IFERROR( _xlfn.XLOOKUP(B946, B$2:INDEX(B:B,ROW()-1), I$2:INDEX(I:I,ROW()-1), 0, 0, -1),0)</f>
        <v>4</v>
      </c>
      <c r="E946">
        <v>10</v>
      </c>
      <c r="F946">
        <f t="shared" ca="1" si="101"/>
        <v>2</v>
      </c>
      <c r="G946">
        <f t="shared" ca="1" si="102"/>
        <v>0</v>
      </c>
      <c r="H946">
        <f t="shared" ca="1" si="103"/>
        <v>6</v>
      </c>
      <c r="I946">
        <f t="shared" ca="1" si="104"/>
        <v>6</v>
      </c>
      <c r="J946">
        <v>4</v>
      </c>
      <c r="K946">
        <v>3.5</v>
      </c>
      <c r="L946">
        <v>10</v>
      </c>
      <c r="M946" s="3">
        <f t="shared" ca="1" si="107"/>
        <v>45364</v>
      </c>
      <c r="N946" s="3">
        <f t="shared" ca="1" si="107"/>
        <v>45400</v>
      </c>
      <c r="O946" s="3">
        <v>45375</v>
      </c>
    </row>
    <row r="947" spans="1:15" x14ac:dyDescent="0.3">
      <c r="A947" s="3">
        <v>45430</v>
      </c>
      <c r="B947" t="s">
        <v>58</v>
      </c>
      <c r="C947" t="s">
        <v>76</v>
      </c>
      <c r="D947" s="4" cm="1">
        <f t="array" aca="1" ref="D947" ca="1">IFERROR( _xlfn.XLOOKUP(B947, B$2:INDEX(B:B,ROW()-1), I$2:INDEX(I:I,ROW()-1), 0, 0, -1),0)</f>
        <v>4</v>
      </c>
      <c r="E947">
        <v>15</v>
      </c>
      <c r="F947">
        <f t="shared" ca="1" si="101"/>
        <v>5</v>
      </c>
      <c r="G947">
        <f t="shared" ca="1" si="102"/>
        <v>6</v>
      </c>
      <c r="H947">
        <f t="shared" ca="1" si="103"/>
        <v>0</v>
      </c>
      <c r="I947">
        <f t="shared" ca="1" si="104"/>
        <v>8</v>
      </c>
      <c r="J947">
        <v>6</v>
      </c>
      <c r="K947">
        <v>5.5</v>
      </c>
      <c r="L947">
        <v>20</v>
      </c>
      <c r="M947" s="3">
        <f t="shared" ca="1" si="107"/>
        <v>45419</v>
      </c>
      <c r="N947" s="3">
        <f t="shared" ca="1" si="107"/>
        <v>45293</v>
      </c>
      <c r="O947" s="3">
        <v>45395</v>
      </c>
    </row>
    <row r="948" spans="1:15" x14ac:dyDescent="0.3">
      <c r="A948" s="3">
        <v>45430</v>
      </c>
      <c r="B948" t="s">
        <v>41</v>
      </c>
      <c r="C948" t="s">
        <v>86</v>
      </c>
      <c r="D948" s="4" cm="1">
        <f t="array" aca="1" ref="D948" ca="1">IFERROR( _xlfn.XLOOKUP(B948, B$2:INDEX(B:B,ROW()-1), I$2:INDEX(I:I,ROW()-1), 0, 0, -1),0)</f>
        <v>6</v>
      </c>
      <c r="E948">
        <v>15</v>
      </c>
      <c r="F948">
        <f t="shared" ca="1" si="101"/>
        <v>8</v>
      </c>
      <c r="G948">
        <f t="shared" ca="1" si="102"/>
        <v>4</v>
      </c>
      <c r="H948">
        <f t="shared" ca="1" si="103"/>
        <v>2</v>
      </c>
      <c r="I948">
        <f t="shared" ca="1" si="104"/>
        <v>7</v>
      </c>
      <c r="J948">
        <v>3</v>
      </c>
      <c r="K948">
        <v>2.5</v>
      </c>
      <c r="L948">
        <v>14</v>
      </c>
      <c r="M948" s="3">
        <f t="shared" ca="1" si="107"/>
        <v>45386</v>
      </c>
      <c r="N948" s="3">
        <f t="shared" ca="1" si="107"/>
        <v>45434</v>
      </c>
      <c r="O948" s="3">
        <v>45356</v>
      </c>
    </row>
    <row r="949" spans="1:15" x14ac:dyDescent="0.3">
      <c r="A949" s="3">
        <v>45431</v>
      </c>
      <c r="B949" t="s">
        <v>34</v>
      </c>
      <c r="C949" t="s">
        <v>30</v>
      </c>
      <c r="D949" s="4" cm="1">
        <f t="array" aca="1" ref="D949" ca="1">IFERROR( _xlfn.XLOOKUP(B949, B$2:INDEX(B:B,ROW()-1), I$2:INDEX(I:I,ROW()-1), 0, 0, -1),0)</f>
        <v>7</v>
      </c>
      <c r="E949">
        <v>6</v>
      </c>
      <c r="F949">
        <f t="shared" ca="1" si="101"/>
        <v>6</v>
      </c>
      <c r="G949">
        <f t="shared" ca="1" si="102"/>
        <v>4</v>
      </c>
      <c r="H949">
        <f t="shared" ca="1" si="103"/>
        <v>0</v>
      </c>
      <c r="I949">
        <f t="shared" ca="1" si="104"/>
        <v>3</v>
      </c>
      <c r="J949">
        <v>3.5</v>
      </c>
      <c r="K949">
        <v>3</v>
      </c>
      <c r="L949">
        <v>10</v>
      </c>
      <c r="M949" s="3">
        <f t="shared" ca="1" si="107"/>
        <v>45366</v>
      </c>
      <c r="N949" s="3">
        <f t="shared" ca="1" si="107"/>
        <v>45343</v>
      </c>
      <c r="O949" s="3">
        <v>45399</v>
      </c>
    </row>
    <row r="950" spans="1:15" x14ac:dyDescent="0.3">
      <c r="A950" s="3">
        <v>45431</v>
      </c>
      <c r="B950" t="s">
        <v>92</v>
      </c>
      <c r="C950" t="s">
        <v>91</v>
      </c>
      <c r="D950" s="4" cm="1">
        <f t="array" aca="1" ref="D950" ca="1">IFERROR( _xlfn.XLOOKUP(B950, B$2:INDEX(B:B,ROW()-1), I$2:INDEX(I:I,ROW()-1), 0, 0, -1),0)</f>
        <v>2</v>
      </c>
      <c r="E950">
        <v>6</v>
      </c>
      <c r="F950">
        <f t="shared" ca="1" si="101"/>
        <v>0</v>
      </c>
      <c r="G950">
        <f t="shared" ca="1" si="102"/>
        <v>1</v>
      </c>
      <c r="H950">
        <f t="shared" ca="1" si="103"/>
        <v>0</v>
      </c>
      <c r="I950">
        <f t="shared" ca="1" si="104"/>
        <v>7</v>
      </c>
      <c r="J950">
        <v>4.5</v>
      </c>
      <c r="K950">
        <v>4</v>
      </c>
      <c r="L950">
        <v>14</v>
      </c>
      <c r="M950" s="3">
        <f t="shared" ca="1" si="107"/>
        <v>45420</v>
      </c>
      <c r="N950" s="3">
        <f t="shared" ca="1" si="107"/>
        <v>45316</v>
      </c>
      <c r="O950" s="3">
        <v>45298</v>
      </c>
    </row>
    <row r="951" spans="1:15" x14ac:dyDescent="0.3">
      <c r="A951" s="3">
        <v>45431</v>
      </c>
      <c r="B951" t="s">
        <v>38</v>
      </c>
      <c r="C951" t="s">
        <v>52</v>
      </c>
      <c r="D951" s="4" cm="1">
        <f t="array" aca="1" ref="D951" ca="1">IFERROR( _xlfn.XLOOKUP(B951, B$2:INDEX(B:B,ROW()-1), I$2:INDEX(I:I,ROW()-1), 0, 0, -1),0)</f>
        <v>6</v>
      </c>
      <c r="E951">
        <v>12</v>
      </c>
      <c r="F951">
        <f t="shared" ca="1" si="101"/>
        <v>4</v>
      </c>
      <c r="G951">
        <f t="shared" ca="1" si="102"/>
        <v>6</v>
      </c>
      <c r="H951">
        <f t="shared" ca="1" si="103"/>
        <v>4</v>
      </c>
      <c r="I951">
        <f t="shared" ca="1" si="104"/>
        <v>4</v>
      </c>
      <c r="J951">
        <v>3.5</v>
      </c>
      <c r="K951">
        <v>3</v>
      </c>
      <c r="L951">
        <v>14</v>
      </c>
      <c r="M951" s="3">
        <f t="shared" ca="1" si="107"/>
        <v>45406</v>
      </c>
      <c r="N951" s="3">
        <f t="shared" ca="1" si="107"/>
        <v>45392</v>
      </c>
      <c r="O951" s="3">
        <v>45329</v>
      </c>
    </row>
    <row r="952" spans="1:15" x14ac:dyDescent="0.3">
      <c r="A952" s="3">
        <v>45431</v>
      </c>
      <c r="B952" t="s">
        <v>61</v>
      </c>
      <c r="C952" t="s">
        <v>95</v>
      </c>
      <c r="D952" s="4" cm="1">
        <f t="array" aca="1" ref="D952" ca="1">IFERROR( _xlfn.XLOOKUP(B952, B$2:INDEX(B:B,ROW()-1), I$2:INDEX(I:I,ROW()-1), 0, 0, -1),0)</f>
        <v>6</v>
      </c>
      <c r="E952">
        <v>10</v>
      </c>
      <c r="F952">
        <f t="shared" ca="1" si="101"/>
        <v>9</v>
      </c>
      <c r="G952">
        <f t="shared" ca="1" si="102"/>
        <v>0</v>
      </c>
      <c r="H952">
        <f t="shared" ca="1" si="103"/>
        <v>4</v>
      </c>
      <c r="I952">
        <f t="shared" ca="1" si="104"/>
        <v>3</v>
      </c>
      <c r="J952">
        <v>4</v>
      </c>
      <c r="K952">
        <v>3.5</v>
      </c>
      <c r="L952">
        <v>10</v>
      </c>
      <c r="M952" s="3">
        <f t="shared" ca="1" si="107"/>
        <v>45392</v>
      </c>
      <c r="N952" s="3">
        <f t="shared" ca="1" si="107"/>
        <v>45432</v>
      </c>
      <c r="O952" s="3">
        <v>45372</v>
      </c>
    </row>
    <row r="953" spans="1:15" x14ac:dyDescent="0.3">
      <c r="A953" s="3">
        <v>45431</v>
      </c>
      <c r="B953" t="s">
        <v>92</v>
      </c>
      <c r="C953" t="s">
        <v>91</v>
      </c>
      <c r="D953" s="4" cm="1">
        <f t="array" aca="1" ref="D953" ca="1">IFERROR( _xlfn.XLOOKUP(B953, B$2:INDEX(B:B,ROW()-1), I$2:INDEX(I:I,ROW()-1), 0, 0, -1),0)</f>
        <v>7</v>
      </c>
      <c r="E953">
        <v>6</v>
      </c>
      <c r="F953">
        <f t="shared" ca="1" si="101"/>
        <v>2</v>
      </c>
      <c r="G953">
        <f t="shared" ca="1" si="102"/>
        <v>7</v>
      </c>
      <c r="H953">
        <f t="shared" ca="1" si="103"/>
        <v>2</v>
      </c>
      <c r="I953">
        <f t="shared" ca="1" si="104"/>
        <v>2</v>
      </c>
      <c r="J953">
        <v>4.5</v>
      </c>
      <c r="K953">
        <v>4</v>
      </c>
      <c r="L953">
        <v>14</v>
      </c>
      <c r="M953" s="3">
        <f t="shared" ca="1" si="107"/>
        <v>45354</v>
      </c>
      <c r="N953" s="3">
        <f t="shared" ca="1" si="107"/>
        <v>45436</v>
      </c>
      <c r="O953" s="3">
        <v>45345</v>
      </c>
    </row>
    <row r="954" spans="1:15" x14ac:dyDescent="0.3">
      <c r="A954" s="3">
        <v>45431</v>
      </c>
      <c r="B954" t="s">
        <v>60</v>
      </c>
      <c r="C954" t="s">
        <v>94</v>
      </c>
      <c r="D954" s="4" cm="1">
        <f t="array" aca="1" ref="D954" ca="1">IFERROR( _xlfn.XLOOKUP(B954, B$2:INDEX(B:B,ROW()-1), I$2:INDEX(I:I,ROW()-1), 0, 0, -1),0)</f>
        <v>5</v>
      </c>
      <c r="E954">
        <v>10</v>
      </c>
      <c r="F954">
        <f t="shared" ca="1" si="101"/>
        <v>8</v>
      </c>
      <c r="G954">
        <f t="shared" ca="1" si="102"/>
        <v>3</v>
      </c>
      <c r="H954">
        <f t="shared" ca="1" si="103"/>
        <v>0</v>
      </c>
      <c r="I954">
        <f t="shared" ca="1" si="104"/>
        <v>4</v>
      </c>
      <c r="J954">
        <v>4</v>
      </c>
      <c r="K954">
        <v>3.5</v>
      </c>
      <c r="L954">
        <v>10</v>
      </c>
      <c r="M954" s="3">
        <f t="shared" ca="1" si="107"/>
        <v>45401</v>
      </c>
      <c r="N954" s="3">
        <f t="shared" ca="1" si="107"/>
        <v>45429</v>
      </c>
      <c r="O954" s="3">
        <v>45412</v>
      </c>
    </row>
    <row r="955" spans="1:15" x14ac:dyDescent="0.3">
      <c r="A955" s="3">
        <v>45431</v>
      </c>
      <c r="B955" t="s">
        <v>22</v>
      </c>
      <c r="C955" t="s">
        <v>26</v>
      </c>
      <c r="D955" s="4" cm="1">
        <f t="array" aca="1" ref="D955" ca="1">IFERROR( _xlfn.XLOOKUP(B955, B$2:INDEX(B:B,ROW()-1), I$2:INDEX(I:I,ROW()-1), 0, 0, -1),0)</f>
        <v>2</v>
      </c>
      <c r="E955">
        <v>12</v>
      </c>
      <c r="F955">
        <f t="shared" ca="1" si="101"/>
        <v>8</v>
      </c>
      <c r="G955">
        <f t="shared" ca="1" si="102"/>
        <v>0</v>
      </c>
      <c r="H955">
        <f t="shared" ca="1" si="103"/>
        <v>1</v>
      </c>
      <c r="I955">
        <f t="shared" ca="1" si="104"/>
        <v>5</v>
      </c>
      <c r="J955">
        <v>3.5</v>
      </c>
      <c r="K955">
        <v>3</v>
      </c>
      <c r="L955">
        <v>14</v>
      </c>
      <c r="M955" s="3">
        <f t="shared" ca="1" si="107"/>
        <v>45352</v>
      </c>
      <c r="N955" s="3">
        <f t="shared" ca="1" si="107"/>
        <v>45402</v>
      </c>
      <c r="O955" s="3">
        <v>45350</v>
      </c>
    </row>
    <row r="956" spans="1:15" x14ac:dyDescent="0.3">
      <c r="A956" s="3">
        <v>45431</v>
      </c>
      <c r="B956" t="s">
        <v>65</v>
      </c>
      <c r="C956" t="s">
        <v>44</v>
      </c>
      <c r="D956" s="4" cm="1">
        <f t="array" aca="1" ref="D956" ca="1">IFERROR( _xlfn.XLOOKUP(B956, B$2:INDEX(B:B,ROW()-1), I$2:INDEX(I:I,ROW()-1), 0, 0, -1),0)</f>
        <v>5</v>
      </c>
      <c r="E956">
        <v>10</v>
      </c>
      <c r="F956">
        <f t="shared" ca="1" si="101"/>
        <v>6</v>
      </c>
      <c r="G956">
        <f t="shared" ca="1" si="102"/>
        <v>5</v>
      </c>
      <c r="H956">
        <f t="shared" ca="1" si="103"/>
        <v>1</v>
      </c>
      <c r="I956">
        <f t="shared" ca="1" si="104"/>
        <v>3</v>
      </c>
      <c r="J956">
        <v>3.5</v>
      </c>
      <c r="K956">
        <v>3</v>
      </c>
      <c r="L956">
        <v>8</v>
      </c>
      <c r="M956" s="3">
        <f t="shared" ca="1" si="107"/>
        <v>45372</v>
      </c>
      <c r="N956" s="3">
        <f t="shared" ca="1" si="107"/>
        <v>45382</v>
      </c>
      <c r="O956" s="3">
        <v>45348</v>
      </c>
    </row>
    <row r="957" spans="1:15" x14ac:dyDescent="0.3">
      <c r="A957" s="3">
        <v>45432</v>
      </c>
      <c r="B957" t="s">
        <v>70</v>
      </c>
      <c r="C957" t="s">
        <v>99</v>
      </c>
      <c r="D957" s="4" cm="1">
        <f t="array" aca="1" ref="D957" ca="1">IFERROR( _xlfn.XLOOKUP(B957, B$2:INDEX(B:B,ROW()-1), I$2:INDEX(I:I,ROW()-1), 0, 0, -1),0)</f>
        <v>2</v>
      </c>
      <c r="E957">
        <v>6</v>
      </c>
      <c r="F957">
        <f t="shared" ca="1" si="101"/>
        <v>5</v>
      </c>
      <c r="G957">
        <f t="shared" ca="1" si="102"/>
        <v>2</v>
      </c>
      <c r="H957">
        <f t="shared" ca="1" si="103"/>
        <v>0</v>
      </c>
      <c r="I957">
        <f t="shared" ca="1" si="104"/>
        <v>1</v>
      </c>
      <c r="J957">
        <v>4</v>
      </c>
      <c r="K957">
        <v>3</v>
      </c>
      <c r="L957">
        <v>7</v>
      </c>
      <c r="M957" s="3">
        <f t="shared" ca="1" si="107"/>
        <v>45414</v>
      </c>
      <c r="N957" s="3">
        <f t="shared" ca="1" si="107"/>
        <v>45410</v>
      </c>
      <c r="O957" s="3">
        <v>45418</v>
      </c>
    </row>
    <row r="958" spans="1:15" x14ac:dyDescent="0.3">
      <c r="A958" s="3">
        <v>45432</v>
      </c>
      <c r="B958" t="s">
        <v>92</v>
      </c>
      <c r="C958" t="s">
        <v>91</v>
      </c>
      <c r="D958" s="4" cm="1">
        <f t="array" aca="1" ref="D958" ca="1">IFERROR( _xlfn.XLOOKUP(B958, B$2:INDEX(B:B,ROW()-1), I$2:INDEX(I:I,ROW()-1), 0, 0, -1),0)</f>
        <v>2</v>
      </c>
      <c r="E958">
        <v>6</v>
      </c>
      <c r="F958">
        <f t="shared" ca="1" si="101"/>
        <v>0</v>
      </c>
      <c r="G958">
        <f t="shared" ca="1" si="102"/>
        <v>5</v>
      </c>
      <c r="H958">
        <f t="shared" ca="1" si="103"/>
        <v>0</v>
      </c>
      <c r="I958">
        <f t="shared" ca="1" si="104"/>
        <v>3</v>
      </c>
      <c r="J958">
        <v>4.5</v>
      </c>
      <c r="K958">
        <v>4</v>
      </c>
      <c r="L958">
        <v>14</v>
      </c>
      <c r="M958" s="3">
        <f t="shared" ca="1" si="107"/>
        <v>45355</v>
      </c>
      <c r="N958" s="3">
        <f t="shared" ca="1" si="107"/>
        <v>45347</v>
      </c>
      <c r="O958" s="3">
        <v>45333</v>
      </c>
    </row>
    <row r="959" spans="1:15" x14ac:dyDescent="0.3">
      <c r="A959" s="3">
        <v>45432</v>
      </c>
      <c r="B959" t="s">
        <v>89</v>
      </c>
      <c r="C959" t="s">
        <v>103</v>
      </c>
      <c r="D959" s="4" cm="1">
        <f t="array" aca="1" ref="D959" ca="1">IFERROR( _xlfn.XLOOKUP(B959, B$2:INDEX(B:B,ROW()-1), I$2:INDEX(I:I,ROW()-1), 0, 0, -1),0)</f>
        <v>6</v>
      </c>
      <c r="E959">
        <v>8</v>
      </c>
      <c r="F959">
        <f t="shared" ca="1" si="101"/>
        <v>5</v>
      </c>
      <c r="G959">
        <f t="shared" ca="1" si="102"/>
        <v>3</v>
      </c>
      <c r="H959">
        <f t="shared" ca="1" si="103"/>
        <v>0</v>
      </c>
      <c r="I959">
        <f t="shared" ca="1" si="104"/>
        <v>6</v>
      </c>
      <c r="J959">
        <v>3.5</v>
      </c>
      <c r="K959">
        <v>3</v>
      </c>
      <c r="L959">
        <v>8</v>
      </c>
      <c r="M959" s="3">
        <f t="shared" ca="1" si="107"/>
        <v>45400</v>
      </c>
      <c r="N959" s="3">
        <f t="shared" ca="1" si="107"/>
        <v>45373</v>
      </c>
      <c r="O959" s="3">
        <v>45312</v>
      </c>
    </row>
    <row r="960" spans="1:15" x14ac:dyDescent="0.3">
      <c r="A960" s="3">
        <v>45432</v>
      </c>
      <c r="B960" t="s">
        <v>67</v>
      </c>
      <c r="C960" t="s">
        <v>46</v>
      </c>
      <c r="D960" s="4" cm="1">
        <f t="array" aca="1" ref="D960" ca="1">IFERROR( _xlfn.XLOOKUP(B960, B$2:INDEX(B:B,ROW()-1), I$2:INDEX(I:I,ROW()-1), 0, 0, -1),0)</f>
        <v>5</v>
      </c>
      <c r="E960">
        <v>8</v>
      </c>
      <c r="F960">
        <f t="shared" ca="1" si="101"/>
        <v>0</v>
      </c>
      <c r="G960">
        <f t="shared" ca="1" si="102"/>
        <v>4</v>
      </c>
      <c r="H960">
        <f t="shared" ca="1" si="103"/>
        <v>0</v>
      </c>
      <c r="I960">
        <f t="shared" ca="1" si="104"/>
        <v>9</v>
      </c>
      <c r="J960">
        <v>3.5</v>
      </c>
      <c r="K960">
        <v>3</v>
      </c>
      <c r="L960">
        <v>8</v>
      </c>
      <c r="M960" s="3">
        <f t="shared" ca="1" si="107"/>
        <v>45381</v>
      </c>
      <c r="N960" s="3">
        <f t="shared" ca="1" si="107"/>
        <v>45348</v>
      </c>
      <c r="O960" s="3">
        <v>45381</v>
      </c>
    </row>
    <row r="961" spans="1:15" x14ac:dyDescent="0.3">
      <c r="A961" s="3">
        <v>45432</v>
      </c>
      <c r="B961" t="s">
        <v>72</v>
      </c>
      <c r="C961" t="s">
        <v>48</v>
      </c>
      <c r="D961" s="4" cm="1">
        <f t="array" aca="1" ref="D961" ca="1">IFERROR( _xlfn.XLOOKUP(B961, B$2:INDEX(B:B,ROW()-1), I$2:INDEX(I:I,ROW()-1), 0, 0, -1),0)</f>
        <v>2</v>
      </c>
      <c r="E961">
        <v>6</v>
      </c>
      <c r="F961">
        <f t="shared" ca="1" si="101"/>
        <v>3</v>
      </c>
      <c r="G961">
        <f t="shared" ca="1" si="102"/>
        <v>0</v>
      </c>
      <c r="H961">
        <f t="shared" ca="1" si="103"/>
        <v>3</v>
      </c>
      <c r="I961">
        <f t="shared" ca="1" si="104"/>
        <v>2</v>
      </c>
      <c r="J961">
        <v>4</v>
      </c>
      <c r="K961">
        <v>3</v>
      </c>
      <c r="L961">
        <v>7</v>
      </c>
      <c r="M961" s="3">
        <f t="shared" ca="1" si="107"/>
        <v>45401</v>
      </c>
      <c r="N961" s="3">
        <f t="shared" ca="1" si="107"/>
        <v>45400</v>
      </c>
      <c r="O961" s="3">
        <v>45326</v>
      </c>
    </row>
    <row r="962" spans="1:15" x14ac:dyDescent="0.3">
      <c r="A962" s="3">
        <v>45432</v>
      </c>
      <c r="B962" t="s">
        <v>81</v>
      </c>
      <c r="C962" t="s">
        <v>50</v>
      </c>
      <c r="D962" s="4" cm="1">
        <f t="array" aca="1" ref="D962" ca="1">IFERROR( _xlfn.XLOOKUP(B962, B$2:INDEX(B:B,ROW()-1), I$2:INDEX(I:I,ROW()-1), 0, 0, -1),0)</f>
        <v>5</v>
      </c>
      <c r="E962">
        <v>8</v>
      </c>
      <c r="F962">
        <f t="shared" ref="F962:F1025" ca="1" si="108">RANDBETWEEN(0, ROUND((D962+E962)*0.6,0))</f>
        <v>3</v>
      </c>
      <c r="G962">
        <f t="shared" ref="G962:G1025" ca="1" si="109">RANDBETWEEN(0,ROUND((D962+E962-F962)*0.6,0))</f>
        <v>3</v>
      </c>
      <c r="H962">
        <f t="shared" ref="H962:H1025" ca="1" si="110">RANDBETWEEN(0,ROUND((D962+E962-F962-G962)*0.6,0))</f>
        <v>4</v>
      </c>
      <c r="I962">
        <f t="shared" ref="I962:I1025" ca="1" si="111">D962+E962-F962-G962-H962</f>
        <v>3</v>
      </c>
      <c r="J962">
        <v>2.5</v>
      </c>
      <c r="K962">
        <v>2</v>
      </c>
      <c r="L962">
        <v>5</v>
      </c>
      <c r="M962" s="3">
        <f t="shared" ref="M962:N981" ca="1" si="112">DATE(2024,1,1) + RANDBETWEEN(0, DATE(2024,5,25) - DATE(2024,1,1))</f>
        <v>45405</v>
      </c>
      <c r="N962" s="3">
        <f t="shared" ca="1" si="112"/>
        <v>45339</v>
      </c>
      <c r="O962" s="3">
        <v>45361</v>
      </c>
    </row>
    <row r="963" spans="1:15" x14ac:dyDescent="0.3">
      <c r="A963" s="3">
        <v>45432</v>
      </c>
      <c r="B963" t="s">
        <v>58</v>
      </c>
      <c r="C963" t="s">
        <v>76</v>
      </c>
      <c r="D963" s="4" cm="1">
        <f t="array" aca="1" ref="D963" ca="1">IFERROR( _xlfn.XLOOKUP(B963, B$2:INDEX(B:B,ROW()-1), I$2:INDEX(I:I,ROW()-1), 0, 0, -1),0)</f>
        <v>8</v>
      </c>
      <c r="E963">
        <v>15</v>
      </c>
      <c r="F963">
        <f t="shared" ca="1" si="108"/>
        <v>13</v>
      </c>
      <c r="G963">
        <f t="shared" ca="1" si="109"/>
        <v>5</v>
      </c>
      <c r="H963">
        <f t="shared" ca="1" si="110"/>
        <v>3</v>
      </c>
      <c r="I963">
        <f t="shared" ca="1" si="111"/>
        <v>2</v>
      </c>
      <c r="J963">
        <v>6</v>
      </c>
      <c r="K963">
        <v>5.5</v>
      </c>
      <c r="L963">
        <v>20</v>
      </c>
      <c r="M963" s="3">
        <f t="shared" ca="1" si="112"/>
        <v>45347</v>
      </c>
      <c r="N963" s="3">
        <f t="shared" ca="1" si="112"/>
        <v>45377</v>
      </c>
      <c r="O963" s="3">
        <v>45327</v>
      </c>
    </row>
    <row r="964" spans="1:15" x14ac:dyDescent="0.3">
      <c r="A964" s="3">
        <v>45433</v>
      </c>
      <c r="B964" t="s">
        <v>16</v>
      </c>
      <c r="C964" t="s">
        <v>77</v>
      </c>
      <c r="D964" s="4" cm="1">
        <f t="array" aca="1" ref="D964" ca="1">IFERROR( _xlfn.XLOOKUP(B964, B$2:INDEX(B:B,ROW()-1), I$2:INDEX(I:I,ROW()-1), 0, 0, -1),0)</f>
        <v>4</v>
      </c>
      <c r="E964">
        <v>10</v>
      </c>
      <c r="F964">
        <f t="shared" ca="1" si="108"/>
        <v>1</v>
      </c>
      <c r="G964">
        <f t="shared" ca="1" si="109"/>
        <v>5</v>
      </c>
      <c r="H964">
        <f t="shared" ca="1" si="110"/>
        <v>1</v>
      </c>
      <c r="I964">
        <f t="shared" ca="1" si="111"/>
        <v>7</v>
      </c>
      <c r="J964">
        <v>5.5</v>
      </c>
      <c r="K964">
        <v>4.5</v>
      </c>
      <c r="L964">
        <v>7</v>
      </c>
      <c r="M964" s="3">
        <f t="shared" ca="1" si="112"/>
        <v>45329</v>
      </c>
      <c r="N964" s="3">
        <f t="shared" ca="1" si="112"/>
        <v>45385</v>
      </c>
      <c r="O964" s="3">
        <v>45332</v>
      </c>
    </row>
    <row r="965" spans="1:15" x14ac:dyDescent="0.3">
      <c r="A965" s="3">
        <v>45433</v>
      </c>
      <c r="B965" t="s">
        <v>39</v>
      </c>
      <c r="C965" t="s">
        <v>32</v>
      </c>
      <c r="D965" s="4" cm="1">
        <f t="array" aca="1" ref="D965" ca="1">IFERROR( _xlfn.XLOOKUP(B965, B$2:INDEX(B:B,ROW()-1), I$2:INDEX(I:I,ROW()-1), 0, 0, -1),0)</f>
        <v>7</v>
      </c>
      <c r="E965">
        <v>12</v>
      </c>
      <c r="F965">
        <f t="shared" ca="1" si="108"/>
        <v>2</v>
      </c>
      <c r="G965">
        <f t="shared" ca="1" si="109"/>
        <v>10</v>
      </c>
      <c r="H965">
        <f t="shared" ca="1" si="110"/>
        <v>3</v>
      </c>
      <c r="I965">
        <f t="shared" ca="1" si="111"/>
        <v>4</v>
      </c>
      <c r="J965">
        <v>3.5</v>
      </c>
      <c r="K965">
        <v>3</v>
      </c>
      <c r="L965">
        <v>14</v>
      </c>
      <c r="M965" s="3">
        <f t="shared" ca="1" si="112"/>
        <v>45389</v>
      </c>
      <c r="N965" s="3">
        <f t="shared" ca="1" si="112"/>
        <v>45349</v>
      </c>
      <c r="O965" s="3">
        <v>45332</v>
      </c>
    </row>
    <row r="966" spans="1:15" x14ac:dyDescent="0.3">
      <c r="A966" s="3">
        <v>45433</v>
      </c>
      <c r="B966" t="s">
        <v>67</v>
      </c>
      <c r="C966" t="s">
        <v>46</v>
      </c>
      <c r="D966" s="4" cm="1">
        <f t="array" aca="1" ref="D966" ca="1">IFERROR( _xlfn.XLOOKUP(B966, B$2:INDEX(B:B,ROW()-1), I$2:INDEX(I:I,ROW()-1), 0, 0, -1),0)</f>
        <v>9</v>
      </c>
      <c r="E966">
        <v>8</v>
      </c>
      <c r="F966">
        <f t="shared" ca="1" si="108"/>
        <v>5</v>
      </c>
      <c r="G966">
        <f t="shared" ca="1" si="109"/>
        <v>7</v>
      </c>
      <c r="H966">
        <f t="shared" ca="1" si="110"/>
        <v>2</v>
      </c>
      <c r="I966">
        <f t="shared" ca="1" si="111"/>
        <v>3</v>
      </c>
      <c r="J966">
        <v>3.5</v>
      </c>
      <c r="K966">
        <v>3</v>
      </c>
      <c r="L966">
        <v>8</v>
      </c>
      <c r="M966" s="3">
        <f t="shared" ca="1" si="112"/>
        <v>45391</v>
      </c>
      <c r="N966" s="3">
        <f t="shared" ca="1" si="112"/>
        <v>45402</v>
      </c>
      <c r="O966" s="3">
        <v>45405</v>
      </c>
    </row>
    <row r="967" spans="1:15" x14ac:dyDescent="0.3">
      <c r="A967" s="3">
        <v>45433</v>
      </c>
      <c r="B967" t="s">
        <v>61</v>
      </c>
      <c r="C967" t="s">
        <v>95</v>
      </c>
      <c r="D967" s="4" cm="1">
        <f t="array" aca="1" ref="D967" ca="1">IFERROR( _xlfn.XLOOKUP(B967, B$2:INDEX(B:B,ROW()-1), I$2:INDEX(I:I,ROW()-1), 0, 0, -1),0)</f>
        <v>3</v>
      </c>
      <c r="E967">
        <v>10</v>
      </c>
      <c r="F967">
        <f t="shared" ca="1" si="108"/>
        <v>1</v>
      </c>
      <c r="G967">
        <f t="shared" ca="1" si="109"/>
        <v>3</v>
      </c>
      <c r="H967">
        <f t="shared" ca="1" si="110"/>
        <v>4</v>
      </c>
      <c r="I967">
        <f t="shared" ca="1" si="111"/>
        <v>5</v>
      </c>
      <c r="J967">
        <v>4</v>
      </c>
      <c r="K967">
        <v>3.5</v>
      </c>
      <c r="L967">
        <v>10</v>
      </c>
      <c r="M967" s="3">
        <f t="shared" ca="1" si="112"/>
        <v>45297</v>
      </c>
      <c r="N967" s="3">
        <f t="shared" ca="1" si="112"/>
        <v>45435</v>
      </c>
      <c r="O967" s="3">
        <v>45334</v>
      </c>
    </row>
    <row r="968" spans="1:15" x14ac:dyDescent="0.3">
      <c r="A968" s="3">
        <v>45433</v>
      </c>
      <c r="B968" t="s">
        <v>82</v>
      </c>
      <c r="C968" t="s">
        <v>73</v>
      </c>
      <c r="D968" s="4" cm="1">
        <f t="array" aca="1" ref="D968" ca="1">IFERROR( _xlfn.XLOOKUP(B968, B$2:INDEX(B:B,ROW()-1), I$2:INDEX(I:I,ROW()-1), 0, 0, -1),0)</f>
        <v>5</v>
      </c>
      <c r="E968">
        <v>8</v>
      </c>
      <c r="F968">
        <f t="shared" ca="1" si="108"/>
        <v>0</v>
      </c>
      <c r="G968">
        <f t="shared" ca="1" si="109"/>
        <v>7</v>
      </c>
      <c r="H968">
        <f t="shared" ca="1" si="110"/>
        <v>1</v>
      </c>
      <c r="I968">
        <f t="shared" ca="1" si="111"/>
        <v>5</v>
      </c>
      <c r="J968">
        <v>2.5</v>
      </c>
      <c r="K968">
        <v>2</v>
      </c>
      <c r="L968">
        <v>5</v>
      </c>
      <c r="M968" s="3">
        <f t="shared" ca="1" si="112"/>
        <v>45304</v>
      </c>
      <c r="N968" s="3">
        <f t="shared" ca="1" si="112"/>
        <v>45348</v>
      </c>
      <c r="O968" s="3">
        <v>45339</v>
      </c>
    </row>
    <row r="969" spans="1:15" x14ac:dyDescent="0.3">
      <c r="A969" s="3">
        <v>45433</v>
      </c>
      <c r="B969" t="s">
        <v>61</v>
      </c>
      <c r="C969" t="s">
        <v>95</v>
      </c>
      <c r="D969" s="4" cm="1">
        <f t="array" aca="1" ref="D969" ca="1">IFERROR( _xlfn.XLOOKUP(B969, B$2:INDEX(B:B,ROW()-1), I$2:INDEX(I:I,ROW()-1), 0, 0, -1),0)</f>
        <v>5</v>
      </c>
      <c r="E969">
        <v>10</v>
      </c>
      <c r="F969">
        <f t="shared" ca="1" si="108"/>
        <v>3</v>
      </c>
      <c r="G969">
        <f t="shared" ca="1" si="109"/>
        <v>0</v>
      </c>
      <c r="H969">
        <f t="shared" ca="1" si="110"/>
        <v>2</v>
      </c>
      <c r="I969">
        <f t="shared" ca="1" si="111"/>
        <v>10</v>
      </c>
      <c r="J969">
        <v>4</v>
      </c>
      <c r="K969">
        <v>3.5</v>
      </c>
      <c r="L969">
        <v>10</v>
      </c>
      <c r="M969" s="3">
        <f t="shared" ca="1" si="112"/>
        <v>45349</v>
      </c>
      <c r="N969" s="3">
        <f t="shared" ca="1" si="112"/>
        <v>45317</v>
      </c>
      <c r="O969" s="3">
        <v>45322</v>
      </c>
    </row>
    <row r="970" spans="1:15" x14ac:dyDescent="0.3">
      <c r="A970" s="3">
        <v>45433</v>
      </c>
      <c r="B970" t="s">
        <v>34</v>
      </c>
      <c r="C970" t="s">
        <v>30</v>
      </c>
      <c r="D970" s="4" cm="1">
        <f t="array" aca="1" ref="D970" ca="1">IFERROR( _xlfn.XLOOKUP(B970, B$2:INDEX(B:B,ROW()-1), I$2:INDEX(I:I,ROW()-1), 0, 0, -1),0)</f>
        <v>3</v>
      </c>
      <c r="E970">
        <v>6</v>
      </c>
      <c r="F970">
        <f t="shared" ca="1" si="108"/>
        <v>5</v>
      </c>
      <c r="G970">
        <f t="shared" ca="1" si="109"/>
        <v>2</v>
      </c>
      <c r="H970">
        <f t="shared" ca="1" si="110"/>
        <v>0</v>
      </c>
      <c r="I970">
        <f t="shared" ca="1" si="111"/>
        <v>2</v>
      </c>
      <c r="J970">
        <v>3.5</v>
      </c>
      <c r="K970">
        <v>3</v>
      </c>
      <c r="L970">
        <v>10</v>
      </c>
      <c r="M970" s="3">
        <f t="shared" ca="1" si="112"/>
        <v>45383</v>
      </c>
      <c r="N970" s="3">
        <f t="shared" ca="1" si="112"/>
        <v>45310</v>
      </c>
      <c r="O970" s="3">
        <v>45422</v>
      </c>
    </row>
    <row r="971" spans="1:15" x14ac:dyDescent="0.3">
      <c r="A971" s="3">
        <v>45434</v>
      </c>
      <c r="B971" t="s">
        <v>71</v>
      </c>
      <c r="C971" t="s">
        <v>47</v>
      </c>
      <c r="D971" s="4" cm="1">
        <f t="array" aca="1" ref="D971" ca="1">IFERROR( _xlfn.XLOOKUP(B971, B$2:INDEX(B:B,ROW()-1), I$2:INDEX(I:I,ROW()-1), 0, 0, -1),0)</f>
        <v>2</v>
      </c>
      <c r="E971">
        <v>6</v>
      </c>
      <c r="F971">
        <f t="shared" ca="1" si="108"/>
        <v>4</v>
      </c>
      <c r="G971">
        <f t="shared" ca="1" si="109"/>
        <v>1</v>
      </c>
      <c r="H971">
        <f t="shared" ca="1" si="110"/>
        <v>1</v>
      </c>
      <c r="I971">
        <f t="shared" ca="1" si="111"/>
        <v>2</v>
      </c>
      <c r="J971">
        <v>4</v>
      </c>
      <c r="K971">
        <v>3</v>
      </c>
      <c r="L971">
        <v>7</v>
      </c>
      <c r="M971" s="3">
        <f t="shared" ca="1" si="112"/>
        <v>45338</v>
      </c>
      <c r="N971" s="3">
        <f t="shared" ca="1" si="112"/>
        <v>45431</v>
      </c>
      <c r="O971" s="3">
        <v>45422</v>
      </c>
    </row>
    <row r="972" spans="1:15" x14ac:dyDescent="0.3">
      <c r="A972" s="3">
        <v>45434</v>
      </c>
      <c r="B972" t="s">
        <v>65</v>
      </c>
      <c r="C972" t="s">
        <v>44</v>
      </c>
      <c r="D972" s="4" cm="1">
        <f t="array" aca="1" ref="D972" ca="1">IFERROR( _xlfn.XLOOKUP(B972, B$2:INDEX(B:B,ROW()-1), I$2:INDEX(I:I,ROW()-1), 0, 0, -1),0)</f>
        <v>3</v>
      </c>
      <c r="E972">
        <v>10</v>
      </c>
      <c r="F972">
        <f t="shared" ca="1" si="108"/>
        <v>1</v>
      </c>
      <c r="G972">
        <f t="shared" ca="1" si="109"/>
        <v>3</v>
      </c>
      <c r="H972">
        <f t="shared" ca="1" si="110"/>
        <v>1</v>
      </c>
      <c r="I972">
        <f t="shared" ca="1" si="111"/>
        <v>8</v>
      </c>
      <c r="J972">
        <v>3.5</v>
      </c>
      <c r="K972">
        <v>3</v>
      </c>
      <c r="L972">
        <v>8</v>
      </c>
      <c r="M972" s="3">
        <f t="shared" ca="1" si="112"/>
        <v>45374</v>
      </c>
      <c r="N972" s="3">
        <f t="shared" ca="1" si="112"/>
        <v>45364</v>
      </c>
      <c r="O972" s="3">
        <v>45353</v>
      </c>
    </row>
    <row r="973" spans="1:15" x14ac:dyDescent="0.3">
      <c r="A973" s="3">
        <v>45434</v>
      </c>
      <c r="B973" t="s">
        <v>16</v>
      </c>
      <c r="C973" t="s">
        <v>77</v>
      </c>
      <c r="D973" s="4" cm="1">
        <f t="array" aca="1" ref="D973" ca="1">IFERROR( _xlfn.XLOOKUP(B973, B$2:INDEX(B:B,ROW()-1), I$2:INDEX(I:I,ROW()-1), 0, 0, -1),0)</f>
        <v>7</v>
      </c>
      <c r="E973">
        <v>10</v>
      </c>
      <c r="F973">
        <f t="shared" ca="1" si="108"/>
        <v>0</v>
      </c>
      <c r="G973">
        <f t="shared" ca="1" si="109"/>
        <v>4</v>
      </c>
      <c r="H973">
        <f t="shared" ca="1" si="110"/>
        <v>5</v>
      </c>
      <c r="I973">
        <f t="shared" ca="1" si="111"/>
        <v>8</v>
      </c>
      <c r="J973">
        <v>5.5</v>
      </c>
      <c r="K973">
        <v>4.5</v>
      </c>
      <c r="L973">
        <v>7</v>
      </c>
      <c r="M973" s="3">
        <f t="shared" ca="1" si="112"/>
        <v>45350</v>
      </c>
      <c r="N973" s="3">
        <f t="shared" ca="1" si="112"/>
        <v>45383</v>
      </c>
      <c r="O973" s="3">
        <v>45339</v>
      </c>
    </row>
    <row r="974" spans="1:15" x14ac:dyDescent="0.3">
      <c r="A974" s="3">
        <v>45434</v>
      </c>
      <c r="B974" t="s">
        <v>59</v>
      </c>
      <c r="C974" t="s">
        <v>93</v>
      </c>
      <c r="D974" s="4" cm="1">
        <f t="array" aca="1" ref="D974" ca="1">IFERROR( _xlfn.XLOOKUP(B974, B$2:INDEX(B:B,ROW()-1), I$2:INDEX(I:I,ROW()-1), 0, 0, -1),0)</f>
        <v>3</v>
      </c>
      <c r="E974">
        <v>10</v>
      </c>
      <c r="F974">
        <f t="shared" ca="1" si="108"/>
        <v>3</v>
      </c>
      <c r="G974">
        <f t="shared" ca="1" si="109"/>
        <v>0</v>
      </c>
      <c r="H974">
        <f t="shared" ca="1" si="110"/>
        <v>0</v>
      </c>
      <c r="I974">
        <f t="shared" ca="1" si="111"/>
        <v>10</v>
      </c>
      <c r="J974">
        <v>4</v>
      </c>
      <c r="K974">
        <v>3.5</v>
      </c>
      <c r="L974">
        <v>10</v>
      </c>
      <c r="M974" s="3">
        <f t="shared" ca="1" si="112"/>
        <v>45343</v>
      </c>
      <c r="N974" s="3">
        <f t="shared" ca="1" si="112"/>
        <v>45335</v>
      </c>
      <c r="O974" s="3">
        <v>45423</v>
      </c>
    </row>
    <row r="975" spans="1:15" x14ac:dyDescent="0.3">
      <c r="A975" s="3">
        <v>45435</v>
      </c>
      <c r="B975" t="s">
        <v>90</v>
      </c>
      <c r="C975" t="s">
        <v>87</v>
      </c>
      <c r="D975" s="4" cm="1">
        <f t="array" aca="1" ref="D975" ca="1">IFERROR( _xlfn.XLOOKUP(B975, B$2:INDEX(B:B,ROW()-1), I$2:INDEX(I:I,ROW()-1), 0, 0, -1),0)</f>
        <v>5</v>
      </c>
      <c r="E975">
        <v>12</v>
      </c>
      <c r="F975">
        <f t="shared" ca="1" si="108"/>
        <v>2</v>
      </c>
      <c r="G975">
        <f t="shared" ca="1" si="109"/>
        <v>9</v>
      </c>
      <c r="H975">
        <f t="shared" ca="1" si="110"/>
        <v>0</v>
      </c>
      <c r="I975">
        <f t="shared" ca="1" si="111"/>
        <v>6</v>
      </c>
      <c r="J975">
        <v>4.5</v>
      </c>
      <c r="K975">
        <v>4</v>
      </c>
      <c r="L975">
        <v>14</v>
      </c>
      <c r="M975" s="3">
        <f t="shared" ca="1" si="112"/>
        <v>45388</v>
      </c>
      <c r="N975" s="3">
        <f t="shared" ca="1" si="112"/>
        <v>45320</v>
      </c>
      <c r="O975" s="3">
        <v>45354</v>
      </c>
    </row>
    <row r="976" spans="1:15" x14ac:dyDescent="0.3">
      <c r="A976" s="3">
        <v>45435</v>
      </c>
      <c r="B976" t="s">
        <v>22</v>
      </c>
      <c r="C976" t="s">
        <v>26</v>
      </c>
      <c r="D976" s="4" cm="1">
        <f t="array" aca="1" ref="D976" ca="1">IFERROR( _xlfn.XLOOKUP(B976, B$2:INDEX(B:B,ROW()-1), I$2:INDEX(I:I,ROW()-1), 0, 0, -1),0)</f>
        <v>5</v>
      </c>
      <c r="E976">
        <v>12</v>
      </c>
      <c r="F976">
        <f t="shared" ca="1" si="108"/>
        <v>7</v>
      </c>
      <c r="G976">
        <f t="shared" ca="1" si="109"/>
        <v>0</v>
      </c>
      <c r="H976">
        <f t="shared" ca="1" si="110"/>
        <v>5</v>
      </c>
      <c r="I976">
        <f t="shared" ca="1" si="111"/>
        <v>5</v>
      </c>
      <c r="J976">
        <v>3.5</v>
      </c>
      <c r="K976">
        <v>3</v>
      </c>
      <c r="L976">
        <v>14</v>
      </c>
      <c r="M976" s="3">
        <f t="shared" ca="1" si="112"/>
        <v>45340</v>
      </c>
      <c r="N976" s="3">
        <f t="shared" ca="1" si="112"/>
        <v>45429</v>
      </c>
      <c r="O976" s="3">
        <v>45415</v>
      </c>
    </row>
    <row r="977" spans="1:15" x14ac:dyDescent="0.3">
      <c r="A977" s="3">
        <v>45435</v>
      </c>
      <c r="B977" t="s">
        <v>66</v>
      </c>
      <c r="C977" t="s">
        <v>45</v>
      </c>
      <c r="D977" s="4" cm="1">
        <f t="array" aca="1" ref="D977" ca="1">IFERROR( _xlfn.XLOOKUP(B977, B$2:INDEX(B:B,ROW()-1), I$2:INDEX(I:I,ROW()-1), 0, 0, -1),0)</f>
        <v>7</v>
      </c>
      <c r="E977">
        <v>8</v>
      </c>
      <c r="F977">
        <f t="shared" ca="1" si="108"/>
        <v>1</v>
      </c>
      <c r="G977">
        <f t="shared" ca="1" si="109"/>
        <v>6</v>
      </c>
      <c r="H977">
        <f t="shared" ca="1" si="110"/>
        <v>0</v>
      </c>
      <c r="I977">
        <f t="shared" ca="1" si="111"/>
        <v>8</v>
      </c>
      <c r="J977">
        <v>3.5</v>
      </c>
      <c r="K977">
        <v>3</v>
      </c>
      <c r="L977">
        <v>8</v>
      </c>
      <c r="M977" s="3">
        <f t="shared" ca="1" si="112"/>
        <v>45381</v>
      </c>
      <c r="N977" s="3">
        <f t="shared" ca="1" si="112"/>
        <v>45376</v>
      </c>
      <c r="O977" s="3">
        <v>45305</v>
      </c>
    </row>
    <row r="978" spans="1:15" x14ac:dyDescent="0.3">
      <c r="A978" s="3">
        <v>45435</v>
      </c>
      <c r="B978" t="s">
        <v>21</v>
      </c>
      <c r="C978" t="s">
        <v>27</v>
      </c>
      <c r="D978" s="4" cm="1">
        <f t="array" aca="1" ref="D978" ca="1">IFERROR( _xlfn.XLOOKUP(B978, B$2:INDEX(B:B,ROW()-1), I$2:INDEX(I:I,ROW()-1), 0, 0, -1),0)</f>
        <v>3</v>
      </c>
      <c r="E978">
        <v>8</v>
      </c>
      <c r="F978">
        <f t="shared" ca="1" si="108"/>
        <v>2</v>
      </c>
      <c r="G978">
        <f t="shared" ca="1" si="109"/>
        <v>0</v>
      </c>
      <c r="H978">
        <f t="shared" ca="1" si="110"/>
        <v>1</v>
      </c>
      <c r="I978">
        <f t="shared" ca="1" si="111"/>
        <v>8</v>
      </c>
      <c r="J978">
        <v>4</v>
      </c>
      <c r="K978">
        <v>3</v>
      </c>
      <c r="L978">
        <v>14</v>
      </c>
      <c r="M978" s="3">
        <f t="shared" ca="1" si="112"/>
        <v>45302</v>
      </c>
      <c r="N978" s="3">
        <f t="shared" ca="1" si="112"/>
        <v>45395</v>
      </c>
      <c r="O978" s="3">
        <v>45342</v>
      </c>
    </row>
    <row r="979" spans="1:15" x14ac:dyDescent="0.3">
      <c r="A979" s="3">
        <v>45435</v>
      </c>
      <c r="B979" t="s">
        <v>69</v>
      </c>
      <c r="C979" t="s">
        <v>98</v>
      </c>
      <c r="D979" s="4" cm="1">
        <f t="array" aca="1" ref="D979" ca="1">IFERROR( _xlfn.XLOOKUP(B979, B$2:INDEX(B:B,ROW()-1), I$2:INDEX(I:I,ROW()-1), 0, 0, -1),0)</f>
        <v>3</v>
      </c>
      <c r="E979">
        <v>6</v>
      </c>
      <c r="F979">
        <f t="shared" ca="1" si="108"/>
        <v>3</v>
      </c>
      <c r="G979">
        <f t="shared" ca="1" si="109"/>
        <v>0</v>
      </c>
      <c r="H979">
        <f t="shared" ca="1" si="110"/>
        <v>4</v>
      </c>
      <c r="I979">
        <f t="shared" ca="1" si="111"/>
        <v>2</v>
      </c>
      <c r="J979">
        <v>4</v>
      </c>
      <c r="K979">
        <v>3</v>
      </c>
      <c r="L979">
        <v>7</v>
      </c>
      <c r="M979" s="3">
        <f t="shared" ca="1" si="112"/>
        <v>45400</v>
      </c>
      <c r="N979" s="3">
        <f t="shared" ca="1" si="112"/>
        <v>45295</v>
      </c>
      <c r="O979" s="3">
        <v>45344</v>
      </c>
    </row>
    <row r="980" spans="1:15" x14ac:dyDescent="0.3">
      <c r="A980" s="3">
        <v>45435</v>
      </c>
      <c r="B980" t="s">
        <v>16</v>
      </c>
      <c r="C980" t="s">
        <v>77</v>
      </c>
      <c r="D980" s="4" cm="1">
        <f t="array" aca="1" ref="D980" ca="1">IFERROR( _xlfn.XLOOKUP(B980, B$2:INDEX(B:B,ROW()-1), I$2:INDEX(I:I,ROW()-1), 0, 0, -1),0)</f>
        <v>8</v>
      </c>
      <c r="E980">
        <v>10</v>
      </c>
      <c r="F980">
        <f t="shared" ca="1" si="108"/>
        <v>0</v>
      </c>
      <c r="G980">
        <f t="shared" ca="1" si="109"/>
        <v>7</v>
      </c>
      <c r="H980">
        <f t="shared" ca="1" si="110"/>
        <v>4</v>
      </c>
      <c r="I980">
        <f t="shared" ca="1" si="111"/>
        <v>7</v>
      </c>
      <c r="J980">
        <v>5.5</v>
      </c>
      <c r="K980">
        <v>4.5</v>
      </c>
      <c r="L980">
        <v>7</v>
      </c>
      <c r="M980" s="3">
        <f t="shared" ca="1" si="112"/>
        <v>45341</v>
      </c>
      <c r="N980" s="3">
        <f t="shared" ca="1" si="112"/>
        <v>45415</v>
      </c>
      <c r="O980" s="3">
        <v>45415</v>
      </c>
    </row>
    <row r="981" spans="1:15" x14ac:dyDescent="0.3">
      <c r="A981" s="3">
        <v>45435</v>
      </c>
      <c r="B981" t="s">
        <v>65</v>
      </c>
      <c r="C981" t="s">
        <v>44</v>
      </c>
      <c r="D981" s="4" cm="1">
        <f t="array" aca="1" ref="D981" ca="1">IFERROR( _xlfn.XLOOKUP(B981, B$2:INDEX(B:B,ROW()-1), I$2:INDEX(I:I,ROW()-1), 0, 0, -1),0)</f>
        <v>8</v>
      </c>
      <c r="E981">
        <v>10</v>
      </c>
      <c r="F981">
        <f t="shared" ca="1" si="108"/>
        <v>7</v>
      </c>
      <c r="G981">
        <f t="shared" ca="1" si="109"/>
        <v>4</v>
      </c>
      <c r="H981">
        <f t="shared" ca="1" si="110"/>
        <v>3</v>
      </c>
      <c r="I981">
        <f t="shared" ca="1" si="111"/>
        <v>4</v>
      </c>
      <c r="J981">
        <v>3.5</v>
      </c>
      <c r="K981">
        <v>3</v>
      </c>
      <c r="L981">
        <v>8</v>
      </c>
      <c r="M981" s="3">
        <f t="shared" ca="1" si="112"/>
        <v>45374</v>
      </c>
      <c r="N981" s="3">
        <f t="shared" ca="1" si="112"/>
        <v>45362</v>
      </c>
      <c r="O981" s="3">
        <v>45319</v>
      </c>
    </row>
    <row r="982" spans="1:15" x14ac:dyDescent="0.3">
      <c r="A982" s="3">
        <v>45436</v>
      </c>
      <c r="B982" t="s">
        <v>34</v>
      </c>
      <c r="C982" t="s">
        <v>30</v>
      </c>
      <c r="D982" s="4" cm="1">
        <f t="array" aca="1" ref="D982" ca="1">IFERROR( _xlfn.XLOOKUP(B982, B$2:INDEX(B:B,ROW()-1), I$2:INDEX(I:I,ROW()-1), 0, 0, -1),0)</f>
        <v>2</v>
      </c>
      <c r="E982">
        <v>6</v>
      </c>
      <c r="F982">
        <f t="shared" ca="1" si="108"/>
        <v>1</v>
      </c>
      <c r="G982">
        <f t="shared" ca="1" si="109"/>
        <v>2</v>
      </c>
      <c r="H982">
        <f t="shared" ca="1" si="110"/>
        <v>3</v>
      </c>
      <c r="I982">
        <f t="shared" ca="1" si="111"/>
        <v>2</v>
      </c>
      <c r="J982">
        <v>3.5</v>
      </c>
      <c r="K982">
        <v>3</v>
      </c>
      <c r="L982">
        <v>10</v>
      </c>
      <c r="M982" s="3">
        <f t="shared" ref="M982:N1001" ca="1" si="113">DATE(2024,1,1) + RANDBETWEEN(0, DATE(2024,5,25) - DATE(2024,1,1))</f>
        <v>45388</v>
      </c>
      <c r="N982" s="3">
        <f t="shared" ca="1" si="113"/>
        <v>45431</v>
      </c>
      <c r="O982" s="3">
        <v>45357</v>
      </c>
    </row>
    <row r="983" spans="1:15" x14ac:dyDescent="0.3">
      <c r="A983" s="3">
        <v>45436</v>
      </c>
      <c r="B983" t="s">
        <v>92</v>
      </c>
      <c r="C983" t="s">
        <v>91</v>
      </c>
      <c r="D983" s="4" cm="1">
        <f t="array" aca="1" ref="D983" ca="1">IFERROR( _xlfn.XLOOKUP(B983, B$2:INDEX(B:B,ROW()-1), I$2:INDEX(I:I,ROW()-1), 0, 0, -1),0)</f>
        <v>3</v>
      </c>
      <c r="E983">
        <v>6</v>
      </c>
      <c r="F983">
        <f t="shared" ca="1" si="108"/>
        <v>0</v>
      </c>
      <c r="G983">
        <f t="shared" ca="1" si="109"/>
        <v>1</v>
      </c>
      <c r="H983">
        <f t="shared" ca="1" si="110"/>
        <v>5</v>
      </c>
      <c r="I983">
        <f t="shared" ca="1" si="111"/>
        <v>3</v>
      </c>
      <c r="J983">
        <v>4.5</v>
      </c>
      <c r="K983">
        <v>4</v>
      </c>
      <c r="L983">
        <v>14</v>
      </c>
      <c r="M983" s="3">
        <f t="shared" ca="1" si="113"/>
        <v>45350</v>
      </c>
      <c r="N983" s="3">
        <f t="shared" ca="1" si="113"/>
        <v>45389</v>
      </c>
      <c r="O983" s="3">
        <v>45437</v>
      </c>
    </row>
    <row r="984" spans="1:15" x14ac:dyDescent="0.3">
      <c r="A984" s="3">
        <v>45436</v>
      </c>
      <c r="B984" t="s">
        <v>63</v>
      </c>
      <c r="C984" t="s">
        <v>97</v>
      </c>
      <c r="D984" s="4" cm="1">
        <f t="array" aca="1" ref="D984" ca="1">IFERROR( _xlfn.XLOOKUP(B984, B$2:INDEX(B:B,ROW()-1), I$2:INDEX(I:I,ROW()-1), 0, 0, -1),0)</f>
        <v>4</v>
      </c>
      <c r="E984">
        <v>10</v>
      </c>
      <c r="F984">
        <f t="shared" ca="1" si="108"/>
        <v>8</v>
      </c>
      <c r="G984">
        <f t="shared" ca="1" si="109"/>
        <v>4</v>
      </c>
      <c r="H984">
        <f t="shared" ca="1" si="110"/>
        <v>0</v>
      </c>
      <c r="I984">
        <f t="shared" ca="1" si="111"/>
        <v>2</v>
      </c>
      <c r="J984">
        <v>4</v>
      </c>
      <c r="K984">
        <v>3.5</v>
      </c>
      <c r="L984">
        <v>10</v>
      </c>
      <c r="M984" s="3">
        <f t="shared" ca="1" si="113"/>
        <v>45359</v>
      </c>
      <c r="N984" s="3">
        <f t="shared" ca="1" si="113"/>
        <v>45345</v>
      </c>
      <c r="O984" s="3">
        <v>45338</v>
      </c>
    </row>
    <row r="985" spans="1:15" x14ac:dyDescent="0.3">
      <c r="A985" s="3">
        <v>45436</v>
      </c>
      <c r="B985" t="s">
        <v>66</v>
      </c>
      <c r="C985" t="s">
        <v>45</v>
      </c>
      <c r="D985" s="4" cm="1">
        <f t="array" aca="1" ref="D985" ca="1">IFERROR( _xlfn.XLOOKUP(B985, B$2:INDEX(B:B,ROW()-1), I$2:INDEX(I:I,ROW()-1), 0, 0, -1),0)</f>
        <v>8</v>
      </c>
      <c r="E985">
        <v>8</v>
      </c>
      <c r="F985">
        <f t="shared" ca="1" si="108"/>
        <v>8</v>
      </c>
      <c r="G985">
        <f t="shared" ca="1" si="109"/>
        <v>1</v>
      </c>
      <c r="H985">
        <f t="shared" ca="1" si="110"/>
        <v>0</v>
      </c>
      <c r="I985">
        <f t="shared" ca="1" si="111"/>
        <v>7</v>
      </c>
      <c r="J985">
        <v>3.5</v>
      </c>
      <c r="K985">
        <v>3</v>
      </c>
      <c r="L985">
        <v>8</v>
      </c>
      <c r="M985" s="3">
        <f t="shared" ca="1" si="113"/>
        <v>45379</v>
      </c>
      <c r="N985" s="3">
        <f t="shared" ca="1" si="113"/>
        <v>45389</v>
      </c>
      <c r="O985" s="3">
        <v>45418</v>
      </c>
    </row>
    <row r="986" spans="1:15" x14ac:dyDescent="0.3">
      <c r="A986" s="3">
        <v>45436</v>
      </c>
      <c r="B986" t="s">
        <v>71</v>
      </c>
      <c r="C986" t="s">
        <v>47</v>
      </c>
      <c r="D986" s="4" cm="1">
        <f t="array" aca="1" ref="D986" ca="1">IFERROR( _xlfn.XLOOKUP(B986, B$2:INDEX(B:B,ROW()-1), I$2:INDEX(I:I,ROW()-1), 0, 0, -1),0)</f>
        <v>2</v>
      </c>
      <c r="E986">
        <v>6</v>
      </c>
      <c r="F986">
        <f t="shared" ca="1" si="108"/>
        <v>3</v>
      </c>
      <c r="G986">
        <f t="shared" ca="1" si="109"/>
        <v>3</v>
      </c>
      <c r="H986">
        <f t="shared" ca="1" si="110"/>
        <v>1</v>
      </c>
      <c r="I986">
        <f t="shared" ca="1" si="111"/>
        <v>1</v>
      </c>
      <c r="J986">
        <v>4</v>
      </c>
      <c r="K986">
        <v>3</v>
      </c>
      <c r="L986">
        <v>7</v>
      </c>
      <c r="M986" s="3">
        <f t="shared" ca="1" si="113"/>
        <v>45325</v>
      </c>
      <c r="N986" s="3">
        <f t="shared" ca="1" si="113"/>
        <v>45415</v>
      </c>
      <c r="O986" s="3">
        <v>45432</v>
      </c>
    </row>
    <row r="987" spans="1:15" x14ac:dyDescent="0.3">
      <c r="A987" s="3">
        <v>45436</v>
      </c>
      <c r="B987" t="s">
        <v>64</v>
      </c>
      <c r="C987" t="s">
        <v>42</v>
      </c>
      <c r="D987" s="4" cm="1">
        <f t="array" aca="1" ref="D987" ca="1">IFERROR( _xlfn.XLOOKUP(B987, B$2:INDEX(B:B,ROW()-1), I$2:INDEX(I:I,ROW()-1), 0, 0, -1),0)</f>
        <v>3</v>
      </c>
      <c r="E987">
        <v>8</v>
      </c>
      <c r="F987">
        <f t="shared" ca="1" si="108"/>
        <v>2</v>
      </c>
      <c r="G987">
        <f t="shared" ca="1" si="109"/>
        <v>0</v>
      </c>
      <c r="H987">
        <f t="shared" ca="1" si="110"/>
        <v>3</v>
      </c>
      <c r="I987">
        <f t="shared" ca="1" si="111"/>
        <v>6</v>
      </c>
      <c r="J987">
        <v>3.5</v>
      </c>
      <c r="K987">
        <v>3</v>
      </c>
      <c r="L987">
        <v>8</v>
      </c>
      <c r="M987" s="3">
        <f t="shared" ca="1" si="113"/>
        <v>45399</v>
      </c>
      <c r="N987" s="3">
        <f t="shared" ca="1" si="113"/>
        <v>45432</v>
      </c>
      <c r="O987" s="3">
        <v>45380</v>
      </c>
    </row>
    <row r="988" spans="1:15" x14ac:dyDescent="0.3">
      <c r="A988" s="3">
        <v>45436</v>
      </c>
      <c r="B988" t="s">
        <v>56</v>
      </c>
      <c r="C988" t="s">
        <v>54</v>
      </c>
      <c r="D988" s="4" cm="1">
        <f t="array" aca="1" ref="D988" ca="1">IFERROR( _xlfn.XLOOKUP(B988, B$2:INDEX(B:B,ROW()-1), I$2:INDEX(I:I,ROW()-1), 0, 0, -1),0)</f>
        <v>2</v>
      </c>
      <c r="E988">
        <v>8</v>
      </c>
      <c r="F988">
        <f t="shared" ca="1" si="108"/>
        <v>3</v>
      </c>
      <c r="G988">
        <f t="shared" ca="1" si="109"/>
        <v>0</v>
      </c>
      <c r="H988">
        <f t="shared" ca="1" si="110"/>
        <v>4</v>
      </c>
      <c r="I988">
        <f t="shared" ca="1" si="111"/>
        <v>3</v>
      </c>
      <c r="J988">
        <v>6</v>
      </c>
      <c r="K988">
        <v>5.5</v>
      </c>
      <c r="L988">
        <v>20</v>
      </c>
      <c r="M988" s="3">
        <f t="shared" ca="1" si="113"/>
        <v>45350</v>
      </c>
      <c r="N988" s="3">
        <f t="shared" ca="1" si="113"/>
        <v>45362</v>
      </c>
      <c r="O988" s="3">
        <v>45303</v>
      </c>
    </row>
    <row r="989" spans="1:15" x14ac:dyDescent="0.3">
      <c r="A989" s="3">
        <v>45436</v>
      </c>
      <c r="B989" t="s">
        <v>66</v>
      </c>
      <c r="C989" t="s">
        <v>45</v>
      </c>
      <c r="D989" s="4" cm="1">
        <f t="array" aca="1" ref="D989" ca="1">IFERROR( _xlfn.XLOOKUP(B989, B$2:INDEX(B:B,ROW()-1), I$2:INDEX(I:I,ROW()-1), 0, 0, -1),0)</f>
        <v>7</v>
      </c>
      <c r="E989">
        <v>8</v>
      </c>
      <c r="F989">
        <f t="shared" ca="1" si="108"/>
        <v>0</v>
      </c>
      <c r="G989">
        <f t="shared" ca="1" si="109"/>
        <v>3</v>
      </c>
      <c r="H989">
        <f t="shared" ca="1" si="110"/>
        <v>6</v>
      </c>
      <c r="I989">
        <f t="shared" ca="1" si="111"/>
        <v>6</v>
      </c>
      <c r="J989">
        <v>3.5</v>
      </c>
      <c r="K989">
        <v>3</v>
      </c>
      <c r="L989">
        <v>8</v>
      </c>
      <c r="M989" s="3">
        <f t="shared" ca="1" si="113"/>
        <v>45367</v>
      </c>
      <c r="N989" s="3">
        <f t="shared" ca="1" si="113"/>
        <v>45381</v>
      </c>
      <c r="O989" s="3">
        <v>45369</v>
      </c>
    </row>
    <row r="990" spans="1:15" x14ac:dyDescent="0.3">
      <c r="A990" s="3">
        <v>45436</v>
      </c>
      <c r="B990" t="s">
        <v>71</v>
      </c>
      <c r="C990" t="s">
        <v>47</v>
      </c>
      <c r="D990" s="4" cm="1">
        <f t="array" aca="1" ref="D990" ca="1">IFERROR( _xlfn.XLOOKUP(B990, B$2:INDEX(B:B,ROW()-1), I$2:INDEX(I:I,ROW()-1), 0, 0, -1),0)</f>
        <v>1</v>
      </c>
      <c r="E990">
        <v>6</v>
      </c>
      <c r="F990">
        <f t="shared" ca="1" si="108"/>
        <v>4</v>
      </c>
      <c r="G990">
        <f t="shared" ca="1" si="109"/>
        <v>0</v>
      </c>
      <c r="H990">
        <f t="shared" ca="1" si="110"/>
        <v>0</v>
      </c>
      <c r="I990">
        <f t="shared" ca="1" si="111"/>
        <v>3</v>
      </c>
      <c r="J990">
        <v>4</v>
      </c>
      <c r="K990">
        <v>3</v>
      </c>
      <c r="L990">
        <v>7</v>
      </c>
      <c r="M990" s="3">
        <f t="shared" ca="1" si="113"/>
        <v>45314</v>
      </c>
      <c r="N990" s="3">
        <f t="shared" ca="1" si="113"/>
        <v>45331</v>
      </c>
      <c r="O990" s="3">
        <v>45377</v>
      </c>
    </row>
    <row r="991" spans="1:15" x14ac:dyDescent="0.3">
      <c r="A991" s="3">
        <v>45437</v>
      </c>
      <c r="B991" t="s">
        <v>41</v>
      </c>
      <c r="C991" t="s">
        <v>86</v>
      </c>
      <c r="D991" s="4" cm="1">
        <f t="array" aca="1" ref="D991" ca="1">IFERROR( _xlfn.XLOOKUP(B991, B$2:INDEX(B:B,ROW()-1), I$2:INDEX(I:I,ROW()-1), 0, 0, -1),0)</f>
        <v>7</v>
      </c>
      <c r="E991">
        <v>15</v>
      </c>
      <c r="F991">
        <f t="shared" ca="1" si="108"/>
        <v>2</v>
      </c>
      <c r="G991">
        <f t="shared" ca="1" si="109"/>
        <v>7</v>
      </c>
      <c r="H991">
        <f t="shared" ca="1" si="110"/>
        <v>5</v>
      </c>
      <c r="I991">
        <f t="shared" ca="1" si="111"/>
        <v>8</v>
      </c>
      <c r="J991">
        <v>3</v>
      </c>
      <c r="K991">
        <v>2.5</v>
      </c>
      <c r="L991">
        <v>14</v>
      </c>
      <c r="M991" s="3">
        <f t="shared" ca="1" si="113"/>
        <v>45384</v>
      </c>
      <c r="N991" s="3">
        <f t="shared" ca="1" si="113"/>
        <v>45396</v>
      </c>
      <c r="O991" s="3">
        <v>45401</v>
      </c>
    </row>
    <row r="992" spans="1:15" x14ac:dyDescent="0.3">
      <c r="A992" s="3">
        <v>45437</v>
      </c>
      <c r="B992" t="s">
        <v>78</v>
      </c>
      <c r="C992" t="s">
        <v>74</v>
      </c>
      <c r="D992" s="4" cm="1">
        <f t="array" aca="1" ref="D992" ca="1">IFERROR( _xlfn.XLOOKUP(B992, B$2:INDEX(B:B,ROW()-1), I$2:INDEX(I:I,ROW()-1), 0, 0, -1),0)</f>
        <v>4</v>
      </c>
      <c r="E992">
        <v>6</v>
      </c>
      <c r="F992">
        <f t="shared" ca="1" si="108"/>
        <v>0</v>
      </c>
      <c r="G992">
        <f t="shared" ca="1" si="109"/>
        <v>2</v>
      </c>
      <c r="H992">
        <f t="shared" ca="1" si="110"/>
        <v>5</v>
      </c>
      <c r="I992">
        <f t="shared" ca="1" si="111"/>
        <v>3</v>
      </c>
      <c r="J992">
        <v>4</v>
      </c>
      <c r="K992">
        <v>3</v>
      </c>
      <c r="L992">
        <v>7</v>
      </c>
      <c r="M992" s="3">
        <f t="shared" ca="1" si="113"/>
        <v>45403</v>
      </c>
      <c r="N992" s="3">
        <f t="shared" ca="1" si="113"/>
        <v>45405</v>
      </c>
      <c r="O992" s="3">
        <v>45415</v>
      </c>
    </row>
    <row r="993" spans="1:15" x14ac:dyDescent="0.3">
      <c r="A993" s="3">
        <v>45437</v>
      </c>
      <c r="B993" t="s">
        <v>35</v>
      </c>
      <c r="C993" t="s">
        <v>31</v>
      </c>
      <c r="D993" s="4" cm="1">
        <f t="array" aca="1" ref="D993" ca="1">IFERROR( _xlfn.XLOOKUP(B993, B$2:INDEX(B:B,ROW()-1), I$2:INDEX(I:I,ROW()-1), 0, 0, -1),0)</f>
        <v>3</v>
      </c>
      <c r="E993">
        <v>8</v>
      </c>
      <c r="F993">
        <f t="shared" ca="1" si="108"/>
        <v>3</v>
      </c>
      <c r="G993">
        <f t="shared" ca="1" si="109"/>
        <v>5</v>
      </c>
      <c r="H993">
        <f t="shared" ca="1" si="110"/>
        <v>0</v>
      </c>
      <c r="I993">
        <f t="shared" ca="1" si="111"/>
        <v>3</v>
      </c>
      <c r="J993">
        <v>3.5</v>
      </c>
      <c r="K993">
        <v>3</v>
      </c>
      <c r="L993">
        <v>14</v>
      </c>
      <c r="M993" s="3">
        <f t="shared" ca="1" si="113"/>
        <v>45425</v>
      </c>
      <c r="N993" s="3">
        <f t="shared" ca="1" si="113"/>
        <v>45399</v>
      </c>
      <c r="O993" s="3">
        <v>45301</v>
      </c>
    </row>
    <row r="994" spans="1:15" x14ac:dyDescent="0.3">
      <c r="A994" s="3">
        <v>45437</v>
      </c>
      <c r="B994" t="s">
        <v>69</v>
      </c>
      <c r="C994" t="s">
        <v>98</v>
      </c>
      <c r="D994" s="4" cm="1">
        <f t="array" aca="1" ref="D994" ca="1">IFERROR( _xlfn.XLOOKUP(B994, B$2:INDEX(B:B,ROW()-1), I$2:INDEX(I:I,ROW()-1), 0, 0, -1),0)</f>
        <v>2</v>
      </c>
      <c r="E994">
        <v>6</v>
      </c>
      <c r="F994">
        <f t="shared" ca="1" si="108"/>
        <v>1</v>
      </c>
      <c r="G994">
        <f t="shared" ca="1" si="109"/>
        <v>1</v>
      </c>
      <c r="H994">
        <f t="shared" ca="1" si="110"/>
        <v>2</v>
      </c>
      <c r="I994">
        <f t="shared" ca="1" si="111"/>
        <v>4</v>
      </c>
      <c r="J994">
        <v>4</v>
      </c>
      <c r="K994">
        <v>3</v>
      </c>
      <c r="L994">
        <v>7</v>
      </c>
      <c r="M994" s="3">
        <f t="shared" ca="1" si="113"/>
        <v>45350</v>
      </c>
      <c r="N994" s="3">
        <f t="shared" ca="1" si="113"/>
        <v>45401</v>
      </c>
      <c r="O994" s="3">
        <v>45421</v>
      </c>
    </row>
    <row r="995" spans="1:15" x14ac:dyDescent="0.3">
      <c r="A995" s="3">
        <v>45437</v>
      </c>
      <c r="B995" t="s">
        <v>62</v>
      </c>
      <c r="C995" t="s">
        <v>96</v>
      </c>
      <c r="D995" s="4" cm="1">
        <f t="array" aca="1" ref="D995" ca="1">IFERROR( _xlfn.XLOOKUP(B995, B$2:INDEX(B:B,ROW()-1), I$2:INDEX(I:I,ROW()-1), 0, 0, -1),0)</f>
        <v>6</v>
      </c>
      <c r="E995">
        <v>10</v>
      </c>
      <c r="F995">
        <f t="shared" ca="1" si="108"/>
        <v>6</v>
      </c>
      <c r="G995">
        <f t="shared" ca="1" si="109"/>
        <v>3</v>
      </c>
      <c r="H995">
        <f t="shared" ca="1" si="110"/>
        <v>3</v>
      </c>
      <c r="I995">
        <f t="shared" ca="1" si="111"/>
        <v>4</v>
      </c>
      <c r="J995">
        <v>4</v>
      </c>
      <c r="K995">
        <v>3.5</v>
      </c>
      <c r="L995">
        <v>10</v>
      </c>
      <c r="M995" s="3">
        <f t="shared" ca="1" si="113"/>
        <v>45306</v>
      </c>
      <c r="N995" s="3">
        <f t="shared" ca="1" si="113"/>
        <v>45386</v>
      </c>
      <c r="O995" s="3">
        <v>45429</v>
      </c>
    </row>
    <row r="996" spans="1:15" x14ac:dyDescent="0.3">
      <c r="A996" s="3">
        <v>45437</v>
      </c>
      <c r="B996" t="s">
        <v>64</v>
      </c>
      <c r="C996" t="s">
        <v>42</v>
      </c>
      <c r="D996" s="4" cm="1">
        <f t="array" aca="1" ref="D996" ca="1">IFERROR( _xlfn.XLOOKUP(B996, B$2:INDEX(B:B,ROW()-1), I$2:INDEX(I:I,ROW()-1), 0, 0, -1),0)</f>
        <v>6</v>
      </c>
      <c r="E996">
        <v>8</v>
      </c>
      <c r="F996">
        <f t="shared" ca="1" si="108"/>
        <v>6</v>
      </c>
      <c r="G996">
        <f t="shared" ca="1" si="109"/>
        <v>5</v>
      </c>
      <c r="H996">
        <f t="shared" ca="1" si="110"/>
        <v>1</v>
      </c>
      <c r="I996">
        <f t="shared" ca="1" si="111"/>
        <v>2</v>
      </c>
      <c r="J996">
        <v>3.5</v>
      </c>
      <c r="K996">
        <v>3</v>
      </c>
      <c r="L996">
        <v>8</v>
      </c>
      <c r="M996" s="3">
        <f t="shared" ca="1" si="113"/>
        <v>45359</v>
      </c>
      <c r="N996" s="3">
        <f t="shared" ca="1" si="113"/>
        <v>45304</v>
      </c>
      <c r="O996" s="3">
        <v>45306</v>
      </c>
    </row>
    <row r="997" spans="1:15" x14ac:dyDescent="0.3">
      <c r="A997" s="3">
        <v>45437</v>
      </c>
      <c r="B997" t="s">
        <v>36</v>
      </c>
      <c r="C997" t="s">
        <v>33</v>
      </c>
      <c r="D997" s="4" cm="1">
        <f t="array" aca="1" ref="D997" ca="1">IFERROR( _xlfn.XLOOKUP(B997, B$2:INDEX(B:B,ROW()-1), I$2:INDEX(I:I,ROW()-1), 0, 0, -1),0)</f>
        <v>9</v>
      </c>
      <c r="E997">
        <v>12</v>
      </c>
      <c r="F997">
        <f t="shared" ca="1" si="108"/>
        <v>6</v>
      </c>
      <c r="G997">
        <f t="shared" ca="1" si="109"/>
        <v>2</v>
      </c>
      <c r="H997">
        <f t="shared" ca="1" si="110"/>
        <v>5</v>
      </c>
      <c r="I997">
        <f t="shared" ca="1" si="111"/>
        <v>8</v>
      </c>
      <c r="J997">
        <v>3.5</v>
      </c>
      <c r="K997">
        <v>3</v>
      </c>
      <c r="L997">
        <v>14</v>
      </c>
      <c r="M997" s="3">
        <f t="shared" ca="1" si="113"/>
        <v>45305</v>
      </c>
      <c r="N997" s="3">
        <f t="shared" ca="1" si="113"/>
        <v>45311</v>
      </c>
      <c r="O997" s="3">
        <v>45368</v>
      </c>
    </row>
    <row r="998" spans="1:15" x14ac:dyDescent="0.3">
      <c r="A998" s="3">
        <v>45437</v>
      </c>
      <c r="B998" t="s">
        <v>55</v>
      </c>
      <c r="C998" t="s">
        <v>53</v>
      </c>
      <c r="D998" s="4" cm="1">
        <f t="array" aca="1" ref="D998" ca="1">IFERROR( _xlfn.XLOOKUP(B998, B$2:INDEX(B:B,ROW()-1), I$2:INDEX(I:I,ROW()-1), 0, 0, -1),0)</f>
        <v>4</v>
      </c>
      <c r="E998">
        <v>4</v>
      </c>
      <c r="F998">
        <f t="shared" ca="1" si="108"/>
        <v>3</v>
      </c>
      <c r="G998">
        <f t="shared" ca="1" si="109"/>
        <v>3</v>
      </c>
      <c r="H998">
        <f t="shared" ca="1" si="110"/>
        <v>0</v>
      </c>
      <c r="I998">
        <f t="shared" ca="1" si="111"/>
        <v>2</v>
      </c>
      <c r="J998">
        <v>8.5</v>
      </c>
      <c r="K998">
        <v>6</v>
      </c>
      <c r="L998">
        <v>7</v>
      </c>
      <c r="M998" s="3">
        <f t="shared" ca="1" si="113"/>
        <v>45312</v>
      </c>
      <c r="N998" s="3">
        <f t="shared" ca="1" si="113"/>
        <v>45344</v>
      </c>
      <c r="O998" s="3">
        <v>45335</v>
      </c>
    </row>
    <row r="999" spans="1:15" x14ac:dyDescent="0.3">
      <c r="A999" s="3">
        <v>45437</v>
      </c>
      <c r="B999" t="s">
        <v>58</v>
      </c>
      <c r="C999" t="s">
        <v>76</v>
      </c>
      <c r="D999" s="4" cm="1">
        <f t="array" aca="1" ref="D999" ca="1">IFERROR( _xlfn.XLOOKUP(B999, B$2:INDEX(B:B,ROW()-1), I$2:INDEX(I:I,ROW()-1), 0, 0, -1),0)</f>
        <v>2</v>
      </c>
      <c r="E999">
        <v>15</v>
      </c>
      <c r="F999">
        <f t="shared" ca="1" si="108"/>
        <v>5</v>
      </c>
      <c r="G999">
        <f t="shared" ca="1" si="109"/>
        <v>7</v>
      </c>
      <c r="H999">
        <f t="shared" ca="1" si="110"/>
        <v>0</v>
      </c>
      <c r="I999">
        <f t="shared" ca="1" si="111"/>
        <v>5</v>
      </c>
      <c r="J999">
        <v>6</v>
      </c>
      <c r="K999">
        <v>5.5</v>
      </c>
      <c r="L999">
        <v>20</v>
      </c>
      <c r="M999" s="3">
        <f t="shared" ca="1" si="113"/>
        <v>45321</v>
      </c>
      <c r="N999" s="3">
        <f t="shared" ca="1" si="113"/>
        <v>45367</v>
      </c>
      <c r="O999" s="3">
        <v>45329</v>
      </c>
    </row>
    <row r="1000" spans="1:15" x14ac:dyDescent="0.3">
      <c r="A1000" s="3">
        <v>45437</v>
      </c>
      <c r="B1000" t="s">
        <v>67</v>
      </c>
      <c r="C1000" t="s">
        <v>46</v>
      </c>
      <c r="D1000" s="4" cm="1">
        <f t="array" aca="1" ref="D1000" ca="1">IFERROR( _xlfn.XLOOKUP(B1000, B$2:INDEX(B:B,ROW()-1), I$2:INDEX(I:I,ROW()-1), 0, 0, -1),0)</f>
        <v>3</v>
      </c>
      <c r="E1000">
        <v>8</v>
      </c>
      <c r="F1000">
        <f t="shared" ca="1" si="108"/>
        <v>2</v>
      </c>
      <c r="G1000">
        <f t="shared" ca="1" si="109"/>
        <v>4</v>
      </c>
      <c r="H1000">
        <f t="shared" ca="1" si="110"/>
        <v>0</v>
      </c>
      <c r="I1000">
        <f t="shared" ca="1" si="111"/>
        <v>5</v>
      </c>
      <c r="J1000">
        <v>3.5</v>
      </c>
      <c r="K1000">
        <v>3</v>
      </c>
      <c r="L1000">
        <v>8</v>
      </c>
      <c r="M1000" s="3">
        <f t="shared" ca="1" si="113"/>
        <v>45427</v>
      </c>
      <c r="N1000" s="3">
        <f t="shared" ca="1" si="113"/>
        <v>45372</v>
      </c>
      <c r="O1000" s="3">
        <v>45329</v>
      </c>
    </row>
    <row r="1001" spans="1:15" x14ac:dyDescent="0.3">
      <c r="A1001" s="3">
        <v>45437</v>
      </c>
      <c r="B1001" t="s">
        <v>41</v>
      </c>
      <c r="C1001" t="s">
        <v>86</v>
      </c>
      <c r="D1001" s="4" cm="1">
        <f t="array" aca="1" ref="D1001" ca="1">IFERROR( _xlfn.XLOOKUP(B1001, B$2:INDEX(B:B,ROW()-1), I$2:INDEX(I:I,ROW()-1), 0, 0, -1),0)</f>
        <v>8</v>
      </c>
      <c r="E1001">
        <v>15</v>
      </c>
      <c r="F1001">
        <f t="shared" ca="1" si="108"/>
        <v>11</v>
      </c>
      <c r="G1001">
        <f t="shared" ca="1" si="109"/>
        <v>6</v>
      </c>
      <c r="H1001">
        <f t="shared" ca="1" si="110"/>
        <v>0</v>
      </c>
      <c r="I1001">
        <f t="shared" ca="1" si="111"/>
        <v>6</v>
      </c>
      <c r="J1001">
        <v>3</v>
      </c>
      <c r="K1001">
        <v>2.5</v>
      </c>
      <c r="L1001">
        <v>14</v>
      </c>
      <c r="M1001" s="3">
        <f t="shared" ca="1" si="113"/>
        <v>45405</v>
      </c>
      <c r="N1001" s="3">
        <f t="shared" ca="1" si="113"/>
        <v>45307</v>
      </c>
      <c r="O1001" s="3">
        <v>45397</v>
      </c>
    </row>
  </sheetData>
  <autoFilter ref="A1:M1001" xr:uid="{EEB7086C-FF65-40C9-9B73-DE779BF1862C}"/>
  <sortState xmlns:xlrd2="http://schemas.microsoft.com/office/spreadsheetml/2017/richdata2" ref="A2:A1001">
    <sortCondition ref="A1:A100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53B5-767A-4114-8120-20CCC6637E3C}">
  <sheetPr filterMode="1"/>
  <dimension ref="A1:L1001"/>
  <sheetViews>
    <sheetView workbookViewId="0">
      <selection activeCell="P212" sqref="P212"/>
    </sheetView>
  </sheetViews>
  <sheetFormatPr defaultRowHeight="14.4" x14ac:dyDescent="0.3"/>
  <cols>
    <col min="1" max="1" width="9.33203125" style="3" bestFit="1" customWidth="1"/>
    <col min="2" max="2" width="5.109375" bestFit="1" customWidth="1"/>
    <col min="3" max="3" width="22.88671875" bestFit="1" customWidth="1"/>
    <col min="4" max="4" width="15.88671875" bestFit="1" customWidth="1"/>
    <col min="5" max="5" width="8.5546875" bestFit="1" customWidth="1"/>
    <col min="6" max="6" width="7.21875" customWidth="1"/>
    <col min="7" max="7" width="18.21875" customWidth="1"/>
    <col min="8" max="8" width="6.109375" bestFit="1" customWidth="1"/>
    <col min="9" max="9" width="14.44140625" bestFit="1" customWidth="1"/>
    <col min="10" max="10" width="5.21875" bestFit="1" customWidth="1"/>
    <col min="11" max="11" width="14.44140625" bestFit="1" customWidth="1"/>
    <col min="12" max="12" width="8.6640625" bestFit="1" customWidth="1"/>
  </cols>
  <sheetData>
    <row r="1" spans="1:12" x14ac:dyDescent="0.3">
      <c r="A1" s="3" t="s">
        <v>12</v>
      </c>
      <c r="B1" t="s">
        <v>1</v>
      </c>
      <c r="C1" t="s">
        <v>0</v>
      </c>
      <c r="D1" t="s">
        <v>13</v>
      </c>
      <c r="E1" t="s">
        <v>2</v>
      </c>
      <c r="F1" t="s">
        <v>3</v>
      </c>
      <c r="G1" t="s">
        <v>14</v>
      </c>
      <c r="H1" t="s">
        <v>4</v>
      </c>
      <c r="I1" t="s">
        <v>15</v>
      </c>
      <c r="J1" t="s">
        <v>5</v>
      </c>
      <c r="K1" t="s">
        <v>6</v>
      </c>
      <c r="L1" t="s">
        <v>7</v>
      </c>
    </row>
    <row r="2" spans="1:12" hidden="1" x14ac:dyDescent="0.3">
      <c r="A2" s="3">
        <v>45292</v>
      </c>
      <c r="B2" t="s">
        <v>68</v>
      </c>
      <c r="C2" t="s">
        <v>43</v>
      </c>
      <c r="D2">
        <v>6</v>
      </c>
      <c r="E2">
        <v>15</v>
      </c>
      <c r="F2">
        <v>8</v>
      </c>
      <c r="G2">
        <v>3</v>
      </c>
      <c r="H2">
        <v>5</v>
      </c>
      <c r="I2">
        <v>5</v>
      </c>
      <c r="J2">
        <v>4</v>
      </c>
      <c r="K2">
        <v>3</v>
      </c>
      <c r="L2">
        <v>14</v>
      </c>
    </row>
    <row r="3" spans="1:12" hidden="1" x14ac:dyDescent="0.3">
      <c r="A3" s="3">
        <v>45292</v>
      </c>
      <c r="B3" t="s">
        <v>41</v>
      </c>
      <c r="C3" t="s">
        <v>86</v>
      </c>
      <c r="D3">
        <v>0</v>
      </c>
      <c r="E3">
        <v>15</v>
      </c>
      <c r="F3">
        <v>1</v>
      </c>
      <c r="G3">
        <v>0</v>
      </c>
      <c r="H3">
        <v>5</v>
      </c>
      <c r="I3">
        <v>9</v>
      </c>
      <c r="J3">
        <v>3</v>
      </c>
      <c r="K3">
        <v>2.5</v>
      </c>
      <c r="L3">
        <v>14</v>
      </c>
    </row>
    <row r="4" spans="1:12" hidden="1" x14ac:dyDescent="0.3">
      <c r="A4" s="3">
        <v>45292</v>
      </c>
      <c r="B4" t="s">
        <v>21</v>
      </c>
      <c r="C4" t="s">
        <v>27</v>
      </c>
      <c r="D4">
        <v>0</v>
      </c>
      <c r="E4">
        <v>8</v>
      </c>
      <c r="F4">
        <v>5</v>
      </c>
      <c r="G4">
        <v>2</v>
      </c>
      <c r="H4">
        <v>1</v>
      </c>
      <c r="I4">
        <v>0</v>
      </c>
      <c r="J4">
        <v>4</v>
      </c>
      <c r="K4">
        <v>3</v>
      </c>
      <c r="L4">
        <v>14</v>
      </c>
    </row>
    <row r="5" spans="1:12" hidden="1" x14ac:dyDescent="0.3">
      <c r="A5" s="3">
        <v>45292</v>
      </c>
      <c r="B5" t="s">
        <v>35</v>
      </c>
      <c r="C5" t="s">
        <v>31</v>
      </c>
      <c r="D5">
        <v>0</v>
      </c>
      <c r="E5">
        <v>8</v>
      </c>
      <c r="F5">
        <v>4</v>
      </c>
      <c r="G5">
        <v>2</v>
      </c>
      <c r="H5">
        <v>0</v>
      </c>
      <c r="I5">
        <v>2</v>
      </c>
      <c r="J5">
        <v>3.5</v>
      </c>
      <c r="K5">
        <v>3</v>
      </c>
      <c r="L5">
        <v>14</v>
      </c>
    </row>
    <row r="6" spans="1:12" hidden="1" x14ac:dyDescent="0.3">
      <c r="A6" s="3">
        <v>45292</v>
      </c>
      <c r="B6" t="s">
        <v>23</v>
      </c>
      <c r="C6" t="s">
        <v>28</v>
      </c>
      <c r="D6">
        <v>0</v>
      </c>
      <c r="E6">
        <v>9</v>
      </c>
      <c r="F6">
        <v>0</v>
      </c>
      <c r="G6">
        <v>3</v>
      </c>
      <c r="H6">
        <v>0</v>
      </c>
      <c r="I6">
        <v>6</v>
      </c>
      <c r="J6">
        <v>6.5</v>
      </c>
      <c r="K6">
        <v>5.5</v>
      </c>
      <c r="L6">
        <v>9</v>
      </c>
    </row>
    <row r="7" spans="1:12" hidden="1" x14ac:dyDescent="0.3">
      <c r="A7" s="3">
        <v>45292</v>
      </c>
      <c r="B7" t="s">
        <v>35</v>
      </c>
      <c r="C7" t="s">
        <v>31</v>
      </c>
      <c r="D7">
        <v>2</v>
      </c>
      <c r="E7">
        <v>8</v>
      </c>
      <c r="F7">
        <v>1</v>
      </c>
      <c r="G7">
        <v>2</v>
      </c>
      <c r="H7">
        <v>3</v>
      </c>
      <c r="I7">
        <v>4</v>
      </c>
      <c r="J7">
        <v>3.5</v>
      </c>
      <c r="K7">
        <v>3</v>
      </c>
      <c r="L7">
        <v>14</v>
      </c>
    </row>
    <row r="8" spans="1:12" hidden="1" x14ac:dyDescent="0.3">
      <c r="A8" s="3">
        <v>45292</v>
      </c>
      <c r="B8" t="s">
        <v>70</v>
      </c>
      <c r="C8" t="s">
        <v>99</v>
      </c>
      <c r="D8">
        <v>0</v>
      </c>
      <c r="E8">
        <v>6</v>
      </c>
      <c r="F8">
        <v>0</v>
      </c>
      <c r="G8">
        <v>1</v>
      </c>
      <c r="H8">
        <v>2</v>
      </c>
      <c r="I8">
        <v>3</v>
      </c>
      <c r="J8">
        <v>4</v>
      </c>
      <c r="K8">
        <v>3</v>
      </c>
      <c r="L8">
        <v>7</v>
      </c>
    </row>
    <row r="9" spans="1:12" hidden="1" x14ac:dyDescent="0.3">
      <c r="A9" s="3">
        <v>45292</v>
      </c>
      <c r="B9" t="s">
        <v>58</v>
      </c>
      <c r="C9" t="s">
        <v>76</v>
      </c>
      <c r="D9">
        <v>0</v>
      </c>
      <c r="E9">
        <v>15</v>
      </c>
      <c r="F9">
        <v>9</v>
      </c>
      <c r="G9">
        <v>3</v>
      </c>
      <c r="H9">
        <v>2</v>
      </c>
      <c r="I9">
        <v>1</v>
      </c>
      <c r="J9">
        <v>6</v>
      </c>
      <c r="K9">
        <v>5.5</v>
      </c>
      <c r="L9">
        <v>20</v>
      </c>
    </row>
    <row r="10" spans="1:12" hidden="1" x14ac:dyDescent="0.3">
      <c r="A10" s="3">
        <v>45293</v>
      </c>
      <c r="B10" t="s">
        <v>90</v>
      </c>
      <c r="C10" t="s">
        <v>87</v>
      </c>
      <c r="D10">
        <v>0</v>
      </c>
      <c r="E10">
        <v>12</v>
      </c>
      <c r="F10">
        <v>0</v>
      </c>
      <c r="G10">
        <v>6</v>
      </c>
      <c r="H10">
        <v>2</v>
      </c>
      <c r="I10">
        <v>4</v>
      </c>
      <c r="J10">
        <v>4.5</v>
      </c>
      <c r="K10">
        <v>4</v>
      </c>
      <c r="L10">
        <v>14</v>
      </c>
    </row>
    <row r="11" spans="1:12" hidden="1" x14ac:dyDescent="0.3">
      <c r="A11" s="3">
        <v>45293</v>
      </c>
      <c r="B11" t="s">
        <v>65</v>
      </c>
      <c r="C11" t="s">
        <v>44</v>
      </c>
      <c r="D11">
        <v>0</v>
      </c>
      <c r="E11">
        <v>10</v>
      </c>
      <c r="F11">
        <v>5</v>
      </c>
      <c r="G11">
        <v>1</v>
      </c>
      <c r="H11">
        <v>2</v>
      </c>
      <c r="I11">
        <v>2</v>
      </c>
      <c r="J11">
        <v>3.5</v>
      </c>
      <c r="K11">
        <v>3</v>
      </c>
      <c r="L11">
        <v>8</v>
      </c>
    </row>
    <row r="12" spans="1:12" hidden="1" x14ac:dyDescent="0.3">
      <c r="A12" s="3">
        <v>45293</v>
      </c>
      <c r="B12" t="s">
        <v>78</v>
      </c>
      <c r="C12" t="s">
        <v>74</v>
      </c>
      <c r="D12">
        <v>0</v>
      </c>
      <c r="E12">
        <v>6</v>
      </c>
      <c r="F12">
        <v>1</v>
      </c>
      <c r="G12">
        <v>3</v>
      </c>
      <c r="H12">
        <v>0</v>
      </c>
      <c r="I12">
        <v>2</v>
      </c>
      <c r="J12">
        <v>4</v>
      </c>
      <c r="K12">
        <v>3</v>
      </c>
      <c r="L12">
        <v>7</v>
      </c>
    </row>
    <row r="13" spans="1:12" hidden="1" x14ac:dyDescent="0.3">
      <c r="A13" s="3">
        <v>45293</v>
      </c>
      <c r="B13" t="s">
        <v>65</v>
      </c>
      <c r="C13" t="s">
        <v>44</v>
      </c>
      <c r="D13">
        <v>2</v>
      </c>
      <c r="E13">
        <v>10</v>
      </c>
      <c r="F13">
        <v>6</v>
      </c>
      <c r="G13">
        <v>0</v>
      </c>
      <c r="H13">
        <v>1</v>
      </c>
      <c r="I13">
        <v>5</v>
      </c>
      <c r="J13">
        <v>3.5</v>
      </c>
      <c r="K13">
        <v>3</v>
      </c>
      <c r="L13">
        <v>8</v>
      </c>
    </row>
    <row r="14" spans="1:12" x14ac:dyDescent="0.3">
      <c r="A14" s="3">
        <v>45293</v>
      </c>
      <c r="B14" t="s">
        <v>34</v>
      </c>
      <c r="C14" t="s">
        <v>30</v>
      </c>
      <c r="D14">
        <v>0</v>
      </c>
      <c r="E14">
        <v>6</v>
      </c>
      <c r="F14">
        <v>1</v>
      </c>
      <c r="G14">
        <v>0</v>
      </c>
      <c r="H14">
        <v>0</v>
      </c>
      <c r="I14">
        <v>5</v>
      </c>
      <c r="J14">
        <v>3.5</v>
      </c>
      <c r="K14">
        <v>3</v>
      </c>
      <c r="L14">
        <v>10</v>
      </c>
    </row>
    <row r="15" spans="1:12" hidden="1" x14ac:dyDescent="0.3">
      <c r="A15" s="3">
        <v>45293</v>
      </c>
      <c r="B15" t="s">
        <v>63</v>
      </c>
      <c r="C15" t="s">
        <v>97</v>
      </c>
      <c r="D15">
        <v>0</v>
      </c>
      <c r="E15">
        <v>10</v>
      </c>
      <c r="F15">
        <v>6</v>
      </c>
      <c r="G15">
        <v>1</v>
      </c>
      <c r="H15">
        <v>0</v>
      </c>
      <c r="I15">
        <v>3</v>
      </c>
      <c r="J15">
        <v>4</v>
      </c>
      <c r="K15">
        <v>3.5</v>
      </c>
      <c r="L15">
        <v>10</v>
      </c>
    </row>
    <row r="16" spans="1:12" hidden="1" x14ac:dyDescent="0.3">
      <c r="A16" s="3">
        <v>45294</v>
      </c>
      <c r="B16" t="s">
        <v>36</v>
      </c>
      <c r="C16" t="s">
        <v>33</v>
      </c>
      <c r="D16">
        <v>0</v>
      </c>
      <c r="E16">
        <v>12</v>
      </c>
      <c r="F16">
        <v>0</v>
      </c>
      <c r="G16">
        <v>6</v>
      </c>
      <c r="H16">
        <v>2</v>
      </c>
      <c r="I16">
        <v>4</v>
      </c>
      <c r="J16">
        <v>3.5</v>
      </c>
      <c r="K16">
        <v>3</v>
      </c>
      <c r="L16">
        <v>14</v>
      </c>
    </row>
    <row r="17" spans="1:12" hidden="1" x14ac:dyDescent="0.3">
      <c r="A17" s="3">
        <v>45294</v>
      </c>
      <c r="B17" t="s">
        <v>37</v>
      </c>
      <c r="C17" t="s">
        <v>51</v>
      </c>
      <c r="D17">
        <v>0</v>
      </c>
      <c r="E17">
        <v>12</v>
      </c>
      <c r="F17">
        <v>5</v>
      </c>
      <c r="G17">
        <v>2</v>
      </c>
      <c r="H17">
        <v>3</v>
      </c>
      <c r="I17">
        <v>2</v>
      </c>
      <c r="J17">
        <v>3.5</v>
      </c>
      <c r="K17">
        <v>3</v>
      </c>
      <c r="L17">
        <v>14</v>
      </c>
    </row>
    <row r="18" spans="1:12" hidden="1" x14ac:dyDescent="0.3">
      <c r="A18" s="3">
        <v>45294</v>
      </c>
      <c r="B18" t="s">
        <v>55</v>
      </c>
      <c r="C18" t="s">
        <v>53</v>
      </c>
      <c r="D18">
        <v>0</v>
      </c>
      <c r="E18">
        <v>4</v>
      </c>
      <c r="F18">
        <v>0</v>
      </c>
      <c r="G18">
        <v>0</v>
      </c>
      <c r="H18">
        <v>1</v>
      </c>
      <c r="I18">
        <v>3</v>
      </c>
      <c r="J18">
        <v>8.5</v>
      </c>
      <c r="K18">
        <v>6</v>
      </c>
      <c r="L18">
        <v>7</v>
      </c>
    </row>
    <row r="19" spans="1:12" hidden="1" x14ac:dyDescent="0.3">
      <c r="A19" s="3">
        <v>45294</v>
      </c>
      <c r="B19" t="s">
        <v>16</v>
      </c>
      <c r="C19" t="s">
        <v>77</v>
      </c>
      <c r="D19">
        <v>0</v>
      </c>
      <c r="E19">
        <v>10</v>
      </c>
      <c r="F19">
        <v>1</v>
      </c>
      <c r="G19">
        <v>4</v>
      </c>
      <c r="H19">
        <v>3</v>
      </c>
      <c r="I19">
        <v>2</v>
      </c>
      <c r="J19">
        <v>5.5</v>
      </c>
      <c r="K19">
        <v>4.5</v>
      </c>
      <c r="L19">
        <v>7</v>
      </c>
    </row>
    <row r="20" spans="1:12" hidden="1" x14ac:dyDescent="0.3">
      <c r="A20" s="3">
        <v>45294</v>
      </c>
      <c r="B20" t="s">
        <v>67</v>
      </c>
      <c r="C20" t="s">
        <v>46</v>
      </c>
      <c r="D20">
        <v>0</v>
      </c>
      <c r="E20">
        <v>8</v>
      </c>
      <c r="F20">
        <v>4</v>
      </c>
      <c r="G20">
        <v>2</v>
      </c>
      <c r="H20">
        <v>1</v>
      </c>
      <c r="I20">
        <v>1</v>
      </c>
      <c r="J20">
        <v>3.5</v>
      </c>
      <c r="K20">
        <v>3</v>
      </c>
      <c r="L20">
        <v>8</v>
      </c>
    </row>
    <row r="21" spans="1:12" hidden="1" x14ac:dyDescent="0.3">
      <c r="A21" s="3">
        <v>45294</v>
      </c>
      <c r="B21" t="s">
        <v>90</v>
      </c>
      <c r="C21" t="s">
        <v>87</v>
      </c>
      <c r="D21">
        <v>4</v>
      </c>
      <c r="E21">
        <v>12</v>
      </c>
      <c r="F21">
        <v>9</v>
      </c>
      <c r="G21">
        <v>2</v>
      </c>
      <c r="H21">
        <v>0</v>
      </c>
      <c r="I21">
        <v>5</v>
      </c>
      <c r="J21">
        <v>4.5</v>
      </c>
      <c r="K21">
        <v>4</v>
      </c>
      <c r="L21">
        <v>14</v>
      </c>
    </row>
    <row r="22" spans="1:12" x14ac:dyDescent="0.3">
      <c r="A22" s="3">
        <v>45294</v>
      </c>
      <c r="B22" t="s">
        <v>34</v>
      </c>
      <c r="C22" t="s">
        <v>30</v>
      </c>
      <c r="D22">
        <v>5</v>
      </c>
      <c r="E22">
        <v>6</v>
      </c>
      <c r="F22">
        <v>5</v>
      </c>
      <c r="G22">
        <v>0</v>
      </c>
      <c r="H22">
        <v>4</v>
      </c>
      <c r="I22">
        <v>2</v>
      </c>
      <c r="J22">
        <v>3.5</v>
      </c>
      <c r="K22">
        <v>3</v>
      </c>
      <c r="L22">
        <v>10</v>
      </c>
    </row>
    <row r="23" spans="1:12" hidden="1" x14ac:dyDescent="0.3">
      <c r="A23" s="3">
        <v>45294</v>
      </c>
      <c r="B23" t="s">
        <v>92</v>
      </c>
      <c r="C23" t="s">
        <v>91</v>
      </c>
      <c r="D23">
        <v>0</v>
      </c>
      <c r="E23">
        <v>6</v>
      </c>
      <c r="F23">
        <v>4</v>
      </c>
      <c r="G23">
        <v>1</v>
      </c>
      <c r="H23">
        <v>1</v>
      </c>
      <c r="I23">
        <v>0</v>
      </c>
      <c r="J23">
        <v>4.5</v>
      </c>
      <c r="K23">
        <v>4</v>
      </c>
      <c r="L23">
        <v>14</v>
      </c>
    </row>
    <row r="24" spans="1:12" hidden="1" x14ac:dyDescent="0.3">
      <c r="A24" s="3">
        <v>45294</v>
      </c>
      <c r="B24" t="s">
        <v>63</v>
      </c>
      <c r="C24" t="s">
        <v>97</v>
      </c>
      <c r="D24">
        <v>3</v>
      </c>
      <c r="E24">
        <v>10</v>
      </c>
      <c r="F24">
        <v>6</v>
      </c>
      <c r="G24">
        <v>0</v>
      </c>
      <c r="H24">
        <v>4</v>
      </c>
      <c r="I24">
        <v>3</v>
      </c>
      <c r="J24">
        <v>4</v>
      </c>
      <c r="K24">
        <v>3.5</v>
      </c>
      <c r="L24">
        <v>10</v>
      </c>
    </row>
    <row r="25" spans="1:12" hidden="1" x14ac:dyDescent="0.3">
      <c r="A25" s="3">
        <v>45295</v>
      </c>
      <c r="B25" t="s">
        <v>41</v>
      </c>
      <c r="C25" t="s">
        <v>86</v>
      </c>
      <c r="D25">
        <v>9</v>
      </c>
      <c r="E25">
        <v>15</v>
      </c>
      <c r="F25">
        <v>5</v>
      </c>
      <c r="G25">
        <v>2</v>
      </c>
      <c r="H25">
        <v>1</v>
      </c>
      <c r="I25">
        <v>16</v>
      </c>
      <c r="J25">
        <v>3</v>
      </c>
      <c r="K25">
        <v>2.5</v>
      </c>
      <c r="L25">
        <v>14</v>
      </c>
    </row>
    <row r="26" spans="1:12" hidden="1" x14ac:dyDescent="0.3">
      <c r="A26" s="3">
        <v>45295</v>
      </c>
      <c r="B26" t="s">
        <v>78</v>
      </c>
      <c r="C26" t="s">
        <v>74</v>
      </c>
      <c r="D26">
        <v>2</v>
      </c>
      <c r="E26">
        <v>6</v>
      </c>
      <c r="F26">
        <v>0</v>
      </c>
      <c r="G26">
        <v>3</v>
      </c>
      <c r="H26">
        <v>3</v>
      </c>
      <c r="I26">
        <v>2</v>
      </c>
      <c r="J26">
        <v>4</v>
      </c>
      <c r="K26">
        <v>3</v>
      </c>
      <c r="L26">
        <v>7</v>
      </c>
    </row>
    <row r="27" spans="1:12" hidden="1" x14ac:dyDescent="0.3">
      <c r="A27" s="3">
        <v>45295</v>
      </c>
      <c r="B27" t="s">
        <v>84</v>
      </c>
      <c r="C27" t="s">
        <v>101</v>
      </c>
      <c r="D27">
        <v>0</v>
      </c>
      <c r="E27">
        <v>8</v>
      </c>
      <c r="F27">
        <v>2</v>
      </c>
      <c r="G27">
        <v>4</v>
      </c>
      <c r="H27">
        <v>1</v>
      </c>
      <c r="I27">
        <v>1</v>
      </c>
      <c r="J27">
        <v>3.5</v>
      </c>
      <c r="K27">
        <v>3</v>
      </c>
      <c r="L27">
        <v>8</v>
      </c>
    </row>
    <row r="28" spans="1:12" hidden="1" x14ac:dyDescent="0.3">
      <c r="A28" s="3">
        <v>45295</v>
      </c>
      <c r="B28" t="s">
        <v>23</v>
      </c>
      <c r="C28" t="s">
        <v>28</v>
      </c>
      <c r="D28">
        <v>6</v>
      </c>
      <c r="E28">
        <v>9</v>
      </c>
      <c r="F28">
        <v>6</v>
      </c>
      <c r="G28">
        <v>3</v>
      </c>
      <c r="H28">
        <v>1</v>
      </c>
      <c r="I28">
        <v>5</v>
      </c>
      <c r="J28">
        <v>6.5</v>
      </c>
      <c r="K28">
        <v>5.5</v>
      </c>
      <c r="L28">
        <v>9</v>
      </c>
    </row>
    <row r="29" spans="1:12" hidden="1" x14ac:dyDescent="0.3">
      <c r="A29" s="3">
        <v>45295</v>
      </c>
      <c r="B29" t="s">
        <v>24</v>
      </c>
      <c r="C29" t="s">
        <v>29</v>
      </c>
      <c r="D29">
        <v>0</v>
      </c>
      <c r="E29">
        <v>8</v>
      </c>
      <c r="F29">
        <v>4</v>
      </c>
      <c r="G29">
        <v>0</v>
      </c>
      <c r="H29">
        <v>0</v>
      </c>
      <c r="I29">
        <v>4</v>
      </c>
      <c r="J29">
        <v>7.5</v>
      </c>
      <c r="K29">
        <v>5.5</v>
      </c>
      <c r="L29">
        <v>7</v>
      </c>
    </row>
    <row r="30" spans="1:12" hidden="1" x14ac:dyDescent="0.3">
      <c r="A30" s="3">
        <v>45295</v>
      </c>
      <c r="B30" t="s">
        <v>41</v>
      </c>
      <c r="C30" t="s">
        <v>86</v>
      </c>
      <c r="D30">
        <v>16</v>
      </c>
      <c r="E30">
        <v>15</v>
      </c>
      <c r="F30">
        <v>9</v>
      </c>
      <c r="G30">
        <v>7</v>
      </c>
      <c r="H30">
        <v>8</v>
      </c>
      <c r="I30">
        <v>7</v>
      </c>
      <c r="J30">
        <v>3</v>
      </c>
      <c r="K30">
        <v>2.5</v>
      </c>
      <c r="L30">
        <v>14</v>
      </c>
    </row>
    <row r="31" spans="1:12" hidden="1" x14ac:dyDescent="0.3">
      <c r="A31" s="3">
        <v>45295</v>
      </c>
      <c r="B31" t="s">
        <v>63</v>
      </c>
      <c r="C31" t="s">
        <v>97</v>
      </c>
      <c r="D31">
        <v>3</v>
      </c>
      <c r="E31">
        <v>10</v>
      </c>
      <c r="F31">
        <v>5</v>
      </c>
      <c r="G31">
        <v>0</v>
      </c>
      <c r="H31">
        <v>5</v>
      </c>
      <c r="I31">
        <v>3</v>
      </c>
      <c r="J31">
        <v>4</v>
      </c>
      <c r="K31">
        <v>3.5</v>
      </c>
      <c r="L31">
        <v>10</v>
      </c>
    </row>
    <row r="32" spans="1:12" hidden="1" x14ac:dyDescent="0.3">
      <c r="A32" s="3">
        <v>45296</v>
      </c>
      <c r="B32" t="s">
        <v>89</v>
      </c>
      <c r="C32" t="s">
        <v>103</v>
      </c>
      <c r="D32">
        <v>0</v>
      </c>
      <c r="E32">
        <v>8</v>
      </c>
      <c r="F32">
        <v>3</v>
      </c>
      <c r="G32">
        <v>3</v>
      </c>
      <c r="H32">
        <v>0</v>
      </c>
      <c r="I32">
        <v>2</v>
      </c>
      <c r="J32">
        <v>3.5</v>
      </c>
      <c r="K32">
        <v>3</v>
      </c>
      <c r="L32">
        <v>8</v>
      </c>
    </row>
    <row r="33" spans="1:12" hidden="1" x14ac:dyDescent="0.3">
      <c r="A33" s="3">
        <v>45296</v>
      </c>
      <c r="B33" t="s">
        <v>69</v>
      </c>
      <c r="C33" t="s">
        <v>98</v>
      </c>
      <c r="D33">
        <v>0</v>
      </c>
      <c r="E33">
        <v>6</v>
      </c>
      <c r="F33">
        <v>1</v>
      </c>
      <c r="G33">
        <v>3</v>
      </c>
      <c r="H33">
        <v>1</v>
      </c>
      <c r="I33">
        <v>1</v>
      </c>
      <c r="J33">
        <v>4</v>
      </c>
      <c r="K33">
        <v>3</v>
      </c>
      <c r="L33">
        <v>7</v>
      </c>
    </row>
    <row r="34" spans="1:12" hidden="1" x14ac:dyDescent="0.3">
      <c r="A34" s="3">
        <v>45296</v>
      </c>
      <c r="B34" t="s">
        <v>37</v>
      </c>
      <c r="C34" t="s">
        <v>51</v>
      </c>
      <c r="D34">
        <v>2</v>
      </c>
      <c r="E34">
        <v>12</v>
      </c>
      <c r="F34">
        <v>0</v>
      </c>
      <c r="G34">
        <v>6</v>
      </c>
      <c r="H34">
        <v>1</v>
      </c>
      <c r="I34">
        <v>7</v>
      </c>
      <c r="J34">
        <v>3.5</v>
      </c>
      <c r="K34">
        <v>3</v>
      </c>
      <c r="L34">
        <v>14</v>
      </c>
    </row>
    <row r="35" spans="1:12" hidden="1" x14ac:dyDescent="0.3">
      <c r="A35" s="3">
        <v>45296</v>
      </c>
      <c r="B35" t="s">
        <v>92</v>
      </c>
      <c r="C35" t="s">
        <v>91</v>
      </c>
      <c r="D35">
        <v>0</v>
      </c>
      <c r="E35">
        <v>6</v>
      </c>
      <c r="F35">
        <v>4</v>
      </c>
      <c r="G35">
        <v>1</v>
      </c>
      <c r="H35">
        <v>0</v>
      </c>
      <c r="I35">
        <v>1</v>
      </c>
      <c r="J35">
        <v>4.5</v>
      </c>
      <c r="K35">
        <v>4</v>
      </c>
      <c r="L35">
        <v>14</v>
      </c>
    </row>
    <row r="36" spans="1:12" hidden="1" x14ac:dyDescent="0.3">
      <c r="A36" s="3">
        <v>45296</v>
      </c>
      <c r="B36" t="s">
        <v>23</v>
      </c>
      <c r="C36" t="s">
        <v>28</v>
      </c>
      <c r="D36">
        <v>5</v>
      </c>
      <c r="E36">
        <v>9</v>
      </c>
      <c r="F36">
        <v>5</v>
      </c>
      <c r="G36">
        <v>1</v>
      </c>
      <c r="H36">
        <v>1</v>
      </c>
      <c r="I36">
        <v>7</v>
      </c>
      <c r="J36">
        <v>6.5</v>
      </c>
      <c r="K36">
        <v>5.5</v>
      </c>
      <c r="L36">
        <v>9</v>
      </c>
    </row>
    <row r="37" spans="1:12" hidden="1" x14ac:dyDescent="0.3">
      <c r="A37" s="3">
        <v>45296</v>
      </c>
      <c r="B37" t="s">
        <v>57</v>
      </c>
      <c r="C37" t="s">
        <v>75</v>
      </c>
      <c r="D37">
        <v>0</v>
      </c>
      <c r="E37">
        <v>8</v>
      </c>
      <c r="F37">
        <v>1</v>
      </c>
      <c r="G37">
        <v>0</v>
      </c>
      <c r="H37">
        <v>1</v>
      </c>
      <c r="I37">
        <v>6</v>
      </c>
      <c r="J37">
        <v>6</v>
      </c>
      <c r="K37">
        <v>5.5</v>
      </c>
      <c r="L37">
        <v>20</v>
      </c>
    </row>
    <row r="38" spans="1:12" hidden="1" x14ac:dyDescent="0.3">
      <c r="A38" s="3">
        <v>45297</v>
      </c>
      <c r="B38" t="s">
        <v>92</v>
      </c>
      <c r="C38" t="s">
        <v>91</v>
      </c>
      <c r="D38">
        <v>1</v>
      </c>
      <c r="E38">
        <v>6</v>
      </c>
      <c r="F38">
        <v>0</v>
      </c>
      <c r="G38">
        <v>0</v>
      </c>
      <c r="H38">
        <v>0</v>
      </c>
      <c r="I38">
        <v>7</v>
      </c>
      <c r="J38">
        <v>4.5</v>
      </c>
      <c r="K38">
        <v>4</v>
      </c>
      <c r="L38">
        <v>14</v>
      </c>
    </row>
    <row r="39" spans="1:12" hidden="1" x14ac:dyDescent="0.3">
      <c r="A39" s="3">
        <v>45297</v>
      </c>
      <c r="B39" t="s">
        <v>38</v>
      </c>
      <c r="C39" t="s">
        <v>52</v>
      </c>
      <c r="D39">
        <v>0</v>
      </c>
      <c r="E39">
        <v>12</v>
      </c>
      <c r="F39">
        <v>1</v>
      </c>
      <c r="G39">
        <v>1</v>
      </c>
      <c r="H39">
        <v>0</v>
      </c>
      <c r="I39">
        <v>10</v>
      </c>
      <c r="J39">
        <v>3.5</v>
      </c>
      <c r="K39">
        <v>3</v>
      </c>
      <c r="L39">
        <v>14</v>
      </c>
    </row>
    <row r="40" spans="1:12" hidden="1" x14ac:dyDescent="0.3">
      <c r="A40" s="3">
        <v>45297</v>
      </c>
      <c r="B40" t="s">
        <v>80</v>
      </c>
      <c r="C40" t="s">
        <v>49</v>
      </c>
      <c r="D40">
        <v>0</v>
      </c>
      <c r="E40">
        <v>8</v>
      </c>
      <c r="F40">
        <v>5</v>
      </c>
      <c r="G40">
        <v>0</v>
      </c>
      <c r="H40">
        <v>2</v>
      </c>
      <c r="I40">
        <v>1</v>
      </c>
      <c r="J40">
        <v>2.5</v>
      </c>
      <c r="K40">
        <v>2</v>
      </c>
      <c r="L40">
        <v>5</v>
      </c>
    </row>
    <row r="41" spans="1:12" hidden="1" x14ac:dyDescent="0.3">
      <c r="A41" s="3">
        <v>45297</v>
      </c>
      <c r="B41" t="s">
        <v>92</v>
      </c>
      <c r="C41" t="s">
        <v>91</v>
      </c>
      <c r="D41">
        <v>7</v>
      </c>
      <c r="E41">
        <v>6</v>
      </c>
      <c r="F41">
        <v>3</v>
      </c>
      <c r="G41">
        <v>5</v>
      </c>
      <c r="H41">
        <v>2</v>
      </c>
      <c r="I41">
        <v>3</v>
      </c>
      <c r="J41">
        <v>4.5</v>
      </c>
      <c r="K41">
        <v>4</v>
      </c>
      <c r="L41">
        <v>14</v>
      </c>
    </row>
    <row r="42" spans="1:12" hidden="1" x14ac:dyDescent="0.3">
      <c r="A42" s="3">
        <v>45297</v>
      </c>
      <c r="B42" t="s">
        <v>83</v>
      </c>
      <c r="C42" t="s">
        <v>100</v>
      </c>
      <c r="D42">
        <v>0</v>
      </c>
      <c r="E42">
        <v>10</v>
      </c>
      <c r="F42">
        <v>1</v>
      </c>
      <c r="G42">
        <v>0</v>
      </c>
      <c r="H42">
        <v>0</v>
      </c>
      <c r="I42">
        <v>9</v>
      </c>
      <c r="J42">
        <v>4.5</v>
      </c>
      <c r="K42">
        <v>4</v>
      </c>
      <c r="L42">
        <v>10</v>
      </c>
    </row>
    <row r="43" spans="1:12" x14ac:dyDescent="0.3">
      <c r="A43" s="3">
        <v>45298</v>
      </c>
      <c r="B43" t="s">
        <v>34</v>
      </c>
      <c r="C43" t="s">
        <v>30</v>
      </c>
      <c r="D43">
        <v>2</v>
      </c>
      <c r="E43">
        <v>6</v>
      </c>
      <c r="F43">
        <v>2</v>
      </c>
      <c r="G43">
        <v>4</v>
      </c>
      <c r="H43">
        <v>1</v>
      </c>
      <c r="I43">
        <v>1</v>
      </c>
      <c r="J43">
        <v>3.5</v>
      </c>
      <c r="K43">
        <v>3</v>
      </c>
      <c r="L43">
        <v>10</v>
      </c>
    </row>
    <row r="44" spans="1:12" hidden="1" x14ac:dyDescent="0.3">
      <c r="A44" s="3">
        <v>45298</v>
      </c>
      <c r="B44" t="s">
        <v>35</v>
      </c>
      <c r="C44" t="s">
        <v>31</v>
      </c>
      <c r="D44">
        <v>4</v>
      </c>
      <c r="E44">
        <v>8</v>
      </c>
      <c r="F44">
        <v>5</v>
      </c>
      <c r="G44">
        <v>2</v>
      </c>
      <c r="H44">
        <v>0</v>
      </c>
      <c r="I44">
        <v>5</v>
      </c>
      <c r="J44">
        <v>3.5</v>
      </c>
      <c r="K44">
        <v>3</v>
      </c>
      <c r="L44">
        <v>14</v>
      </c>
    </row>
    <row r="45" spans="1:12" hidden="1" x14ac:dyDescent="0.3">
      <c r="A45" s="3">
        <v>45298</v>
      </c>
      <c r="B45" t="s">
        <v>59</v>
      </c>
      <c r="C45" t="s">
        <v>93</v>
      </c>
      <c r="D45">
        <v>0</v>
      </c>
      <c r="E45">
        <v>10</v>
      </c>
      <c r="F45">
        <v>4</v>
      </c>
      <c r="G45">
        <v>4</v>
      </c>
      <c r="H45">
        <v>0</v>
      </c>
      <c r="I45">
        <v>2</v>
      </c>
      <c r="J45">
        <v>4</v>
      </c>
      <c r="K45">
        <v>3.5</v>
      </c>
      <c r="L45">
        <v>10</v>
      </c>
    </row>
    <row r="46" spans="1:12" hidden="1" x14ac:dyDescent="0.3">
      <c r="A46" s="3">
        <v>45298</v>
      </c>
      <c r="B46" t="s">
        <v>71</v>
      </c>
      <c r="C46" t="s">
        <v>47</v>
      </c>
      <c r="D46">
        <v>0</v>
      </c>
      <c r="E46">
        <v>6</v>
      </c>
      <c r="F46">
        <v>0</v>
      </c>
      <c r="G46">
        <v>0</v>
      </c>
      <c r="H46">
        <v>1</v>
      </c>
      <c r="I46">
        <v>5</v>
      </c>
      <c r="J46">
        <v>4</v>
      </c>
      <c r="K46">
        <v>3</v>
      </c>
      <c r="L46">
        <v>7</v>
      </c>
    </row>
    <row r="47" spans="1:12" hidden="1" x14ac:dyDescent="0.3">
      <c r="A47" s="3">
        <v>45298</v>
      </c>
      <c r="B47" t="s">
        <v>78</v>
      </c>
      <c r="C47" t="s">
        <v>74</v>
      </c>
      <c r="D47">
        <v>2</v>
      </c>
      <c r="E47">
        <v>6</v>
      </c>
      <c r="F47">
        <v>3</v>
      </c>
      <c r="G47">
        <v>1</v>
      </c>
      <c r="H47">
        <v>1</v>
      </c>
      <c r="I47">
        <v>3</v>
      </c>
      <c r="J47">
        <v>4</v>
      </c>
      <c r="K47">
        <v>3</v>
      </c>
      <c r="L47">
        <v>7</v>
      </c>
    </row>
    <row r="48" spans="1:12" hidden="1" x14ac:dyDescent="0.3">
      <c r="A48" s="3">
        <v>45298</v>
      </c>
      <c r="B48" t="s">
        <v>81</v>
      </c>
      <c r="C48" t="s">
        <v>50</v>
      </c>
      <c r="D48">
        <v>0</v>
      </c>
      <c r="E48">
        <v>8</v>
      </c>
      <c r="F48">
        <v>2</v>
      </c>
      <c r="G48">
        <v>1</v>
      </c>
      <c r="H48">
        <v>3</v>
      </c>
      <c r="I48">
        <v>2</v>
      </c>
      <c r="J48">
        <v>2.5</v>
      </c>
      <c r="K48">
        <v>2</v>
      </c>
      <c r="L48">
        <v>5</v>
      </c>
    </row>
    <row r="49" spans="1:12" hidden="1" x14ac:dyDescent="0.3">
      <c r="A49" s="3">
        <v>45299</v>
      </c>
      <c r="B49" t="s">
        <v>41</v>
      </c>
      <c r="C49" t="s">
        <v>86</v>
      </c>
      <c r="D49">
        <v>7</v>
      </c>
      <c r="E49">
        <v>15</v>
      </c>
      <c r="F49">
        <v>9</v>
      </c>
      <c r="G49">
        <v>6</v>
      </c>
      <c r="H49">
        <v>3</v>
      </c>
      <c r="I49">
        <v>4</v>
      </c>
      <c r="J49">
        <v>3</v>
      </c>
      <c r="K49">
        <v>2.5</v>
      </c>
      <c r="L49">
        <v>14</v>
      </c>
    </row>
    <row r="50" spans="1:12" hidden="1" x14ac:dyDescent="0.3">
      <c r="A50" s="3">
        <v>45299</v>
      </c>
      <c r="B50" t="s">
        <v>78</v>
      </c>
      <c r="C50" t="s">
        <v>74</v>
      </c>
      <c r="D50">
        <v>3</v>
      </c>
      <c r="E50">
        <v>6</v>
      </c>
      <c r="F50">
        <v>4</v>
      </c>
      <c r="G50">
        <v>3</v>
      </c>
      <c r="H50">
        <v>1</v>
      </c>
      <c r="I50">
        <v>1</v>
      </c>
      <c r="J50">
        <v>4</v>
      </c>
      <c r="K50">
        <v>3</v>
      </c>
      <c r="L50">
        <v>7</v>
      </c>
    </row>
    <row r="51" spans="1:12" hidden="1" x14ac:dyDescent="0.3">
      <c r="A51" s="3">
        <v>45299</v>
      </c>
      <c r="B51" t="s">
        <v>60</v>
      </c>
      <c r="C51" t="s">
        <v>94</v>
      </c>
      <c r="D51">
        <v>0</v>
      </c>
      <c r="E51">
        <v>10</v>
      </c>
      <c r="F51">
        <v>2</v>
      </c>
      <c r="G51">
        <v>3</v>
      </c>
      <c r="H51">
        <v>1</v>
      </c>
      <c r="I51">
        <v>4</v>
      </c>
      <c r="J51">
        <v>4</v>
      </c>
      <c r="K51">
        <v>3.5</v>
      </c>
      <c r="L51">
        <v>10</v>
      </c>
    </row>
    <row r="52" spans="1:12" hidden="1" x14ac:dyDescent="0.3">
      <c r="A52" s="3">
        <v>45299</v>
      </c>
      <c r="B52" t="s">
        <v>71</v>
      </c>
      <c r="C52" t="s">
        <v>47</v>
      </c>
      <c r="D52">
        <v>5</v>
      </c>
      <c r="E52">
        <v>6</v>
      </c>
      <c r="F52">
        <v>3</v>
      </c>
      <c r="G52">
        <v>4</v>
      </c>
      <c r="H52">
        <v>2</v>
      </c>
      <c r="I52">
        <v>2</v>
      </c>
      <c r="J52">
        <v>4</v>
      </c>
      <c r="K52">
        <v>3</v>
      </c>
      <c r="L52">
        <v>7</v>
      </c>
    </row>
    <row r="53" spans="1:12" hidden="1" x14ac:dyDescent="0.3">
      <c r="A53" s="3">
        <v>45299</v>
      </c>
      <c r="B53" t="s">
        <v>64</v>
      </c>
      <c r="C53" t="s">
        <v>42</v>
      </c>
      <c r="D53">
        <v>0</v>
      </c>
      <c r="E53">
        <v>8</v>
      </c>
      <c r="F53">
        <v>2</v>
      </c>
      <c r="G53">
        <v>0</v>
      </c>
      <c r="H53">
        <v>4</v>
      </c>
      <c r="I53">
        <v>2</v>
      </c>
      <c r="J53">
        <v>3.5</v>
      </c>
      <c r="K53">
        <v>3</v>
      </c>
      <c r="L53">
        <v>8</v>
      </c>
    </row>
    <row r="54" spans="1:12" hidden="1" x14ac:dyDescent="0.3">
      <c r="A54" s="3">
        <v>45299</v>
      </c>
      <c r="B54" t="s">
        <v>61</v>
      </c>
      <c r="C54" t="s">
        <v>95</v>
      </c>
      <c r="D54">
        <v>0</v>
      </c>
      <c r="E54">
        <v>10</v>
      </c>
      <c r="F54">
        <v>1</v>
      </c>
      <c r="G54">
        <v>3</v>
      </c>
      <c r="H54">
        <v>3</v>
      </c>
      <c r="I54">
        <v>3</v>
      </c>
      <c r="J54">
        <v>4</v>
      </c>
      <c r="K54">
        <v>3.5</v>
      </c>
      <c r="L54">
        <v>10</v>
      </c>
    </row>
    <row r="55" spans="1:12" hidden="1" x14ac:dyDescent="0.3">
      <c r="A55" s="3">
        <v>45300</v>
      </c>
      <c r="B55" t="s">
        <v>66</v>
      </c>
      <c r="C55" t="s">
        <v>45</v>
      </c>
      <c r="D55">
        <v>0</v>
      </c>
      <c r="E55">
        <v>8</v>
      </c>
      <c r="F55">
        <v>4</v>
      </c>
      <c r="G55">
        <v>1</v>
      </c>
      <c r="H55">
        <v>1</v>
      </c>
      <c r="I55">
        <v>2</v>
      </c>
      <c r="J55">
        <v>3.5</v>
      </c>
      <c r="K55">
        <v>3</v>
      </c>
      <c r="L55">
        <v>8</v>
      </c>
    </row>
    <row r="56" spans="1:12" hidden="1" x14ac:dyDescent="0.3">
      <c r="A56" s="3">
        <v>45300</v>
      </c>
      <c r="B56" t="s">
        <v>40</v>
      </c>
      <c r="C56" t="s">
        <v>85</v>
      </c>
      <c r="D56">
        <v>0</v>
      </c>
      <c r="E56">
        <v>15</v>
      </c>
      <c r="F56">
        <v>6</v>
      </c>
      <c r="G56">
        <v>4</v>
      </c>
      <c r="H56">
        <v>2</v>
      </c>
      <c r="I56">
        <v>3</v>
      </c>
      <c r="J56">
        <v>3</v>
      </c>
      <c r="K56">
        <v>2.5</v>
      </c>
      <c r="L56">
        <v>14</v>
      </c>
    </row>
    <row r="57" spans="1:12" hidden="1" x14ac:dyDescent="0.3">
      <c r="A57" s="3">
        <v>45300</v>
      </c>
      <c r="B57" t="s">
        <v>23</v>
      </c>
      <c r="C57" t="s">
        <v>28</v>
      </c>
      <c r="D57">
        <v>7</v>
      </c>
      <c r="E57">
        <v>9</v>
      </c>
      <c r="F57">
        <v>0</v>
      </c>
      <c r="G57">
        <v>0</v>
      </c>
      <c r="H57">
        <v>5</v>
      </c>
      <c r="I57">
        <v>11</v>
      </c>
      <c r="J57">
        <v>6.5</v>
      </c>
      <c r="K57">
        <v>5.5</v>
      </c>
      <c r="L57">
        <v>9</v>
      </c>
    </row>
    <row r="58" spans="1:12" hidden="1" x14ac:dyDescent="0.3">
      <c r="A58" s="3">
        <v>45300</v>
      </c>
      <c r="B58" t="s">
        <v>68</v>
      </c>
      <c r="C58" t="s">
        <v>43</v>
      </c>
      <c r="D58">
        <v>4</v>
      </c>
      <c r="E58">
        <v>15</v>
      </c>
      <c r="F58">
        <v>4</v>
      </c>
      <c r="G58">
        <v>4</v>
      </c>
      <c r="H58">
        <v>5</v>
      </c>
      <c r="I58">
        <v>6</v>
      </c>
      <c r="J58">
        <v>4</v>
      </c>
      <c r="K58">
        <v>3</v>
      </c>
      <c r="L58">
        <v>14</v>
      </c>
    </row>
    <row r="59" spans="1:12" hidden="1" x14ac:dyDescent="0.3">
      <c r="A59" s="3">
        <v>45301</v>
      </c>
      <c r="B59" t="s">
        <v>20</v>
      </c>
      <c r="C59" t="s">
        <v>25</v>
      </c>
      <c r="D59">
        <v>0</v>
      </c>
      <c r="E59">
        <v>10</v>
      </c>
      <c r="F59">
        <v>3</v>
      </c>
      <c r="G59">
        <v>3</v>
      </c>
      <c r="H59">
        <v>1</v>
      </c>
      <c r="I59">
        <v>3</v>
      </c>
      <c r="J59">
        <v>4.5</v>
      </c>
      <c r="K59">
        <v>4</v>
      </c>
      <c r="L59">
        <v>10</v>
      </c>
    </row>
    <row r="60" spans="1:12" hidden="1" x14ac:dyDescent="0.3">
      <c r="A60" s="3">
        <v>45301</v>
      </c>
      <c r="B60" t="s">
        <v>81</v>
      </c>
      <c r="C60" t="s">
        <v>50</v>
      </c>
      <c r="D60">
        <v>2</v>
      </c>
      <c r="E60">
        <v>8</v>
      </c>
      <c r="F60">
        <v>6</v>
      </c>
      <c r="G60">
        <v>0</v>
      </c>
      <c r="H60">
        <v>2</v>
      </c>
      <c r="I60">
        <v>2</v>
      </c>
      <c r="J60">
        <v>2.5</v>
      </c>
      <c r="K60">
        <v>2</v>
      </c>
      <c r="L60">
        <v>5</v>
      </c>
    </row>
    <row r="61" spans="1:12" hidden="1" x14ac:dyDescent="0.3">
      <c r="A61" s="3">
        <v>45301</v>
      </c>
      <c r="B61" t="s">
        <v>23</v>
      </c>
      <c r="C61" t="s">
        <v>28</v>
      </c>
      <c r="D61">
        <v>11</v>
      </c>
      <c r="E61">
        <v>9</v>
      </c>
      <c r="F61">
        <v>12</v>
      </c>
      <c r="G61">
        <v>2</v>
      </c>
      <c r="H61">
        <v>4</v>
      </c>
      <c r="I61">
        <v>2</v>
      </c>
      <c r="J61">
        <v>6.5</v>
      </c>
      <c r="K61">
        <v>5.5</v>
      </c>
      <c r="L61">
        <v>9</v>
      </c>
    </row>
    <row r="62" spans="1:12" hidden="1" x14ac:dyDescent="0.3">
      <c r="A62" s="3">
        <v>45301</v>
      </c>
      <c r="B62" t="s">
        <v>90</v>
      </c>
      <c r="C62" t="s">
        <v>87</v>
      </c>
      <c r="D62">
        <v>5</v>
      </c>
      <c r="E62">
        <v>12</v>
      </c>
      <c r="F62">
        <v>7</v>
      </c>
      <c r="G62">
        <v>1</v>
      </c>
      <c r="H62">
        <v>1</v>
      </c>
      <c r="I62">
        <v>8</v>
      </c>
      <c r="J62">
        <v>4.5</v>
      </c>
      <c r="K62">
        <v>4</v>
      </c>
      <c r="L62">
        <v>14</v>
      </c>
    </row>
    <row r="63" spans="1:12" hidden="1" x14ac:dyDescent="0.3">
      <c r="A63" s="3">
        <v>45301</v>
      </c>
      <c r="B63" t="s">
        <v>66</v>
      </c>
      <c r="C63" t="s">
        <v>45</v>
      </c>
      <c r="D63">
        <v>2</v>
      </c>
      <c r="E63">
        <v>8</v>
      </c>
      <c r="F63">
        <v>5</v>
      </c>
      <c r="G63">
        <v>1</v>
      </c>
      <c r="H63">
        <v>1</v>
      </c>
      <c r="I63">
        <v>3</v>
      </c>
      <c r="J63">
        <v>3.5</v>
      </c>
      <c r="K63">
        <v>3</v>
      </c>
      <c r="L63">
        <v>8</v>
      </c>
    </row>
    <row r="64" spans="1:12" hidden="1" x14ac:dyDescent="0.3">
      <c r="A64" s="3">
        <v>45301</v>
      </c>
      <c r="B64" t="s">
        <v>79</v>
      </c>
      <c r="C64" t="s">
        <v>104</v>
      </c>
      <c r="D64">
        <v>0</v>
      </c>
      <c r="E64">
        <v>8</v>
      </c>
      <c r="F64">
        <v>1</v>
      </c>
      <c r="G64">
        <v>2</v>
      </c>
      <c r="H64">
        <v>0</v>
      </c>
      <c r="I64">
        <v>5</v>
      </c>
      <c r="J64">
        <v>2.5</v>
      </c>
      <c r="K64">
        <v>2</v>
      </c>
      <c r="L64">
        <v>5</v>
      </c>
    </row>
    <row r="65" spans="1:12" hidden="1" x14ac:dyDescent="0.3">
      <c r="A65" s="3">
        <v>45301</v>
      </c>
      <c r="B65" t="s">
        <v>59</v>
      </c>
      <c r="C65" t="s">
        <v>93</v>
      </c>
      <c r="D65">
        <v>2</v>
      </c>
      <c r="E65">
        <v>10</v>
      </c>
      <c r="F65">
        <v>2</v>
      </c>
      <c r="G65">
        <v>5</v>
      </c>
      <c r="H65">
        <v>2</v>
      </c>
      <c r="I65">
        <v>3</v>
      </c>
      <c r="J65">
        <v>4</v>
      </c>
      <c r="K65">
        <v>3.5</v>
      </c>
      <c r="L65">
        <v>10</v>
      </c>
    </row>
    <row r="66" spans="1:12" hidden="1" x14ac:dyDescent="0.3">
      <c r="A66" s="3">
        <v>45302</v>
      </c>
      <c r="B66" t="s">
        <v>71</v>
      </c>
      <c r="C66" t="s">
        <v>47</v>
      </c>
      <c r="D66">
        <v>2</v>
      </c>
      <c r="E66">
        <v>6</v>
      </c>
      <c r="F66">
        <v>4</v>
      </c>
      <c r="G66">
        <v>2</v>
      </c>
      <c r="H66">
        <v>0</v>
      </c>
      <c r="I66">
        <v>2</v>
      </c>
      <c r="J66">
        <v>4</v>
      </c>
      <c r="K66">
        <v>3</v>
      </c>
      <c r="L66">
        <v>7</v>
      </c>
    </row>
    <row r="67" spans="1:12" hidden="1" x14ac:dyDescent="0.3">
      <c r="A67" s="3">
        <v>45302</v>
      </c>
      <c r="B67" t="s">
        <v>89</v>
      </c>
      <c r="C67" t="s">
        <v>103</v>
      </c>
      <c r="D67">
        <v>2</v>
      </c>
      <c r="E67">
        <v>8</v>
      </c>
      <c r="F67">
        <v>3</v>
      </c>
      <c r="G67">
        <v>0</v>
      </c>
      <c r="H67">
        <v>0</v>
      </c>
      <c r="I67">
        <v>7</v>
      </c>
      <c r="J67">
        <v>3.5</v>
      </c>
      <c r="K67">
        <v>3</v>
      </c>
      <c r="L67">
        <v>8</v>
      </c>
    </row>
    <row r="68" spans="1:12" hidden="1" x14ac:dyDescent="0.3">
      <c r="A68" s="3">
        <v>45302</v>
      </c>
      <c r="B68" t="s">
        <v>37</v>
      </c>
      <c r="C68" t="s">
        <v>51</v>
      </c>
      <c r="D68">
        <v>7</v>
      </c>
      <c r="E68">
        <v>12</v>
      </c>
      <c r="F68">
        <v>5</v>
      </c>
      <c r="G68">
        <v>1</v>
      </c>
      <c r="H68">
        <v>0</v>
      </c>
      <c r="I68">
        <v>13</v>
      </c>
      <c r="J68">
        <v>3.5</v>
      </c>
      <c r="K68">
        <v>3</v>
      </c>
      <c r="L68">
        <v>14</v>
      </c>
    </row>
    <row r="69" spans="1:12" hidden="1" x14ac:dyDescent="0.3">
      <c r="A69" s="3">
        <v>45302</v>
      </c>
      <c r="B69" t="s">
        <v>83</v>
      </c>
      <c r="C69" t="s">
        <v>100</v>
      </c>
      <c r="D69">
        <v>9</v>
      </c>
      <c r="E69">
        <v>10</v>
      </c>
      <c r="F69">
        <v>4</v>
      </c>
      <c r="G69">
        <v>7</v>
      </c>
      <c r="H69">
        <v>1</v>
      </c>
      <c r="I69">
        <v>7</v>
      </c>
      <c r="J69">
        <v>4.5</v>
      </c>
      <c r="K69">
        <v>4</v>
      </c>
      <c r="L69">
        <v>10</v>
      </c>
    </row>
    <row r="70" spans="1:12" hidden="1" x14ac:dyDescent="0.3">
      <c r="A70" s="3">
        <v>45302</v>
      </c>
      <c r="B70" t="s">
        <v>41</v>
      </c>
      <c r="C70" t="s">
        <v>86</v>
      </c>
      <c r="D70">
        <v>4</v>
      </c>
      <c r="E70">
        <v>15</v>
      </c>
      <c r="F70">
        <v>0</v>
      </c>
      <c r="G70">
        <v>8</v>
      </c>
      <c r="H70">
        <v>1</v>
      </c>
      <c r="I70">
        <v>10</v>
      </c>
      <c r="J70">
        <v>3</v>
      </c>
      <c r="K70">
        <v>2.5</v>
      </c>
      <c r="L70">
        <v>14</v>
      </c>
    </row>
    <row r="71" spans="1:12" hidden="1" x14ac:dyDescent="0.3">
      <c r="A71" s="3">
        <v>45302</v>
      </c>
      <c r="B71" t="s">
        <v>57</v>
      </c>
      <c r="C71" t="s">
        <v>75</v>
      </c>
      <c r="D71">
        <v>6</v>
      </c>
      <c r="E71">
        <v>8</v>
      </c>
      <c r="F71">
        <v>5</v>
      </c>
      <c r="G71">
        <v>1</v>
      </c>
      <c r="H71">
        <v>3</v>
      </c>
      <c r="I71">
        <v>5</v>
      </c>
      <c r="J71">
        <v>6</v>
      </c>
      <c r="K71">
        <v>5.5</v>
      </c>
      <c r="L71">
        <v>20</v>
      </c>
    </row>
    <row r="72" spans="1:12" hidden="1" x14ac:dyDescent="0.3">
      <c r="A72" s="3">
        <v>45302</v>
      </c>
      <c r="B72" t="s">
        <v>70</v>
      </c>
      <c r="C72" t="s">
        <v>99</v>
      </c>
      <c r="D72">
        <v>3</v>
      </c>
      <c r="E72">
        <v>6</v>
      </c>
      <c r="F72">
        <v>5</v>
      </c>
      <c r="G72">
        <v>2</v>
      </c>
      <c r="H72">
        <v>0</v>
      </c>
      <c r="I72">
        <v>2</v>
      </c>
      <c r="J72">
        <v>4</v>
      </c>
      <c r="K72">
        <v>3</v>
      </c>
      <c r="L72">
        <v>7</v>
      </c>
    </row>
    <row r="73" spans="1:12" hidden="1" x14ac:dyDescent="0.3">
      <c r="A73" s="3">
        <v>45302</v>
      </c>
      <c r="B73" t="s">
        <v>63</v>
      </c>
      <c r="C73" t="s">
        <v>97</v>
      </c>
      <c r="D73">
        <v>3</v>
      </c>
      <c r="E73">
        <v>10</v>
      </c>
      <c r="F73">
        <v>7</v>
      </c>
      <c r="G73">
        <v>1</v>
      </c>
      <c r="H73">
        <v>2</v>
      </c>
      <c r="I73">
        <v>3</v>
      </c>
      <c r="J73">
        <v>4</v>
      </c>
      <c r="K73">
        <v>3.5</v>
      </c>
      <c r="L73">
        <v>10</v>
      </c>
    </row>
    <row r="74" spans="1:12" hidden="1" x14ac:dyDescent="0.3">
      <c r="A74" s="3">
        <v>45302</v>
      </c>
      <c r="B74" t="s">
        <v>59</v>
      </c>
      <c r="C74" t="s">
        <v>93</v>
      </c>
      <c r="D74">
        <v>3</v>
      </c>
      <c r="E74">
        <v>10</v>
      </c>
      <c r="F74">
        <v>4</v>
      </c>
      <c r="G74">
        <v>4</v>
      </c>
      <c r="H74">
        <v>0</v>
      </c>
      <c r="I74">
        <v>5</v>
      </c>
      <c r="J74">
        <v>4</v>
      </c>
      <c r="K74">
        <v>3.5</v>
      </c>
      <c r="L74">
        <v>10</v>
      </c>
    </row>
    <row r="75" spans="1:12" hidden="1" x14ac:dyDescent="0.3">
      <c r="A75" s="3">
        <v>45303</v>
      </c>
      <c r="B75" t="s">
        <v>41</v>
      </c>
      <c r="C75" t="s">
        <v>86</v>
      </c>
      <c r="D75">
        <v>10</v>
      </c>
      <c r="E75">
        <v>15</v>
      </c>
      <c r="F75">
        <v>9</v>
      </c>
      <c r="G75">
        <v>9</v>
      </c>
      <c r="H75">
        <v>3</v>
      </c>
      <c r="I75">
        <v>4</v>
      </c>
      <c r="J75">
        <v>3</v>
      </c>
      <c r="K75">
        <v>2.5</v>
      </c>
      <c r="L75">
        <v>14</v>
      </c>
    </row>
    <row r="76" spans="1:12" hidden="1" x14ac:dyDescent="0.3">
      <c r="A76" s="3">
        <v>45303</v>
      </c>
      <c r="B76" t="s">
        <v>68</v>
      </c>
      <c r="C76" t="s">
        <v>43</v>
      </c>
      <c r="D76">
        <v>3</v>
      </c>
      <c r="E76">
        <v>15</v>
      </c>
      <c r="F76">
        <v>5</v>
      </c>
      <c r="G76">
        <v>6</v>
      </c>
      <c r="H76">
        <v>0</v>
      </c>
      <c r="I76">
        <v>7</v>
      </c>
      <c r="J76">
        <v>4</v>
      </c>
      <c r="K76">
        <v>3</v>
      </c>
      <c r="L76">
        <v>14</v>
      </c>
    </row>
    <row r="77" spans="1:12" hidden="1" x14ac:dyDescent="0.3">
      <c r="A77" s="3">
        <v>45303</v>
      </c>
      <c r="B77" t="s">
        <v>89</v>
      </c>
      <c r="C77" t="s">
        <v>103</v>
      </c>
      <c r="D77">
        <v>7</v>
      </c>
      <c r="E77">
        <v>8</v>
      </c>
      <c r="F77">
        <v>5</v>
      </c>
      <c r="G77">
        <v>6</v>
      </c>
      <c r="H77">
        <v>1</v>
      </c>
      <c r="I77">
        <v>3</v>
      </c>
      <c r="J77">
        <v>3.5</v>
      </c>
      <c r="K77">
        <v>3</v>
      </c>
      <c r="L77">
        <v>8</v>
      </c>
    </row>
    <row r="78" spans="1:12" hidden="1" x14ac:dyDescent="0.3">
      <c r="A78" s="3">
        <v>45303</v>
      </c>
      <c r="B78" t="s">
        <v>10</v>
      </c>
      <c r="C78" t="s">
        <v>18</v>
      </c>
      <c r="D78">
        <v>0</v>
      </c>
      <c r="E78">
        <v>10</v>
      </c>
      <c r="F78">
        <v>1</v>
      </c>
      <c r="G78">
        <v>3</v>
      </c>
      <c r="H78">
        <v>0</v>
      </c>
      <c r="I78">
        <v>6</v>
      </c>
      <c r="J78">
        <v>5.5</v>
      </c>
      <c r="K78">
        <v>4.5</v>
      </c>
      <c r="L78">
        <v>7</v>
      </c>
    </row>
    <row r="79" spans="1:12" hidden="1" x14ac:dyDescent="0.3">
      <c r="A79" s="3">
        <v>45303</v>
      </c>
      <c r="B79" t="s">
        <v>89</v>
      </c>
      <c r="C79" t="s">
        <v>103</v>
      </c>
      <c r="D79">
        <v>3</v>
      </c>
      <c r="E79">
        <v>8</v>
      </c>
      <c r="F79">
        <v>2</v>
      </c>
      <c r="G79">
        <v>1</v>
      </c>
      <c r="H79">
        <v>4</v>
      </c>
      <c r="I79">
        <v>4</v>
      </c>
      <c r="J79">
        <v>3.5</v>
      </c>
      <c r="K79">
        <v>3</v>
      </c>
      <c r="L79">
        <v>8</v>
      </c>
    </row>
    <row r="80" spans="1:12" hidden="1" x14ac:dyDescent="0.3">
      <c r="A80" s="3">
        <v>45303</v>
      </c>
      <c r="B80" t="s">
        <v>24</v>
      </c>
      <c r="C80" t="s">
        <v>29</v>
      </c>
      <c r="D80">
        <v>4</v>
      </c>
      <c r="E80">
        <v>8</v>
      </c>
      <c r="F80">
        <v>3</v>
      </c>
      <c r="G80">
        <v>5</v>
      </c>
      <c r="H80">
        <v>1</v>
      </c>
      <c r="I80">
        <v>3</v>
      </c>
      <c r="J80">
        <v>7.5</v>
      </c>
      <c r="K80">
        <v>5.5</v>
      </c>
      <c r="L80">
        <v>7</v>
      </c>
    </row>
    <row r="81" spans="1:12" hidden="1" x14ac:dyDescent="0.3">
      <c r="A81" s="3">
        <v>45303</v>
      </c>
      <c r="B81" t="s">
        <v>82</v>
      </c>
      <c r="C81" t="s">
        <v>73</v>
      </c>
      <c r="D81">
        <v>0</v>
      </c>
      <c r="E81">
        <v>8</v>
      </c>
      <c r="F81">
        <v>0</v>
      </c>
      <c r="G81">
        <v>2</v>
      </c>
      <c r="H81">
        <v>0</v>
      </c>
      <c r="I81">
        <v>6</v>
      </c>
      <c r="J81">
        <v>2.5</v>
      </c>
      <c r="K81">
        <v>2</v>
      </c>
      <c r="L81">
        <v>5</v>
      </c>
    </row>
    <row r="82" spans="1:12" hidden="1" x14ac:dyDescent="0.3">
      <c r="A82" s="3">
        <v>45303</v>
      </c>
      <c r="B82" t="s">
        <v>10</v>
      </c>
      <c r="C82" t="s">
        <v>18</v>
      </c>
      <c r="D82">
        <v>6</v>
      </c>
      <c r="E82">
        <v>10</v>
      </c>
      <c r="F82">
        <v>7</v>
      </c>
      <c r="G82">
        <v>1</v>
      </c>
      <c r="H82">
        <v>3</v>
      </c>
      <c r="I82">
        <v>5</v>
      </c>
      <c r="J82">
        <v>5.5</v>
      </c>
      <c r="K82">
        <v>4.5</v>
      </c>
      <c r="L82">
        <v>7</v>
      </c>
    </row>
    <row r="83" spans="1:12" x14ac:dyDescent="0.3">
      <c r="A83" s="3">
        <v>45303</v>
      </c>
      <c r="B83" t="s">
        <v>34</v>
      </c>
      <c r="C83" t="s">
        <v>30</v>
      </c>
      <c r="D83">
        <v>1</v>
      </c>
      <c r="E83">
        <v>6</v>
      </c>
      <c r="F83">
        <v>4</v>
      </c>
      <c r="G83">
        <v>1</v>
      </c>
      <c r="H83">
        <v>0</v>
      </c>
      <c r="I83">
        <v>2</v>
      </c>
      <c r="J83">
        <v>3.5</v>
      </c>
      <c r="K83">
        <v>3</v>
      </c>
      <c r="L83">
        <v>10</v>
      </c>
    </row>
    <row r="84" spans="1:12" hidden="1" x14ac:dyDescent="0.3">
      <c r="A84" s="3">
        <v>45303</v>
      </c>
      <c r="B84" t="s">
        <v>59</v>
      </c>
      <c r="C84" t="s">
        <v>93</v>
      </c>
      <c r="D84">
        <v>5</v>
      </c>
      <c r="E84">
        <v>10</v>
      </c>
      <c r="F84">
        <v>1</v>
      </c>
      <c r="G84">
        <v>5</v>
      </c>
      <c r="H84">
        <v>3</v>
      </c>
      <c r="I84">
        <v>6</v>
      </c>
      <c r="J84">
        <v>4</v>
      </c>
      <c r="K84">
        <v>3.5</v>
      </c>
      <c r="L84">
        <v>10</v>
      </c>
    </row>
    <row r="85" spans="1:12" hidden="1" x14ac:dyDescent="0.3">
      <c r="A85" s="3">
        <v>45303</v>
      </c>
      <c r="B85" t="s">
        <v>20</v>
      </c>
      <c r="C85" t="s">
        <v>25</v>
      </c>
      <c r="D85">
        <v>3</v>
      </c>
      <c r="E85">
        <v>10</v>
      </c>
      <c r="F85">
        <v>1</v>
      </c>
      <c r="G85">
        <v>7</v>
      </c>
      <c r="H85">
        <v>0</v>
      </c>
      <c r="I85">
        <v>5</v>
      </c>
      <c r="J85">
        <v>4.5</v>
      </c>
      <c r="K85">
        <v>4</v>
      </c>
      <c r="L85">
        <v>10</v>
      </c>
    </row>
    <row r="86" spans="1:12" hidden="1" x14ac:dyDescent="0.3">
      <c r="A86" s="3">
        <v>45303</v>
      </c>
      <c r="B86" t="s">
        <v>84</v>
      </c>
      <c r="C86" t="s">
        <v>101</v>
      </c>
      <c r="D86">
        <v>1</v>
      </c>
      <c r="E86">
        <v>8</v>
      </c>
      <c r="F86">
        <v>2</v>
      </c>
      <c r="G86">
        <v>1</v>
      </c>
      <c r="H86">
        <v>0</v>
      </c>
      <c r="I86">
        <v>6</v>
      </c>
      <c r="J86">
        <v>3.5</v>
      </c>
      <c r="K86">
        <v>3</v>
      </c>
      <c r="L86">
        <v>8</v>
      </c>
    </row>
    <row r="87" spans="1:12" hidden="1" x14ac:dyDescent="0.3">
      <c r="A87" s="3">
        <v>45304</v>
      </c>
      <c r="B87" t="s">
        <v>21</v>
      </c>
      <c r="C87" t="s">
        <v>27</v>
      </c>
      <c r="D87">
        <v>0</v>
      </c>
      <c r="E87">
        <v>8</v>
      </c>
      <c r="F87">
        <v>1</v>
      </c>
      <c r="G87">
        <v>0</v>
      </c>
      <c r="H87">
        <v>3</v>
      </c>
      <c r="I87">
        <v>4</v>
      </c>
      <c r="J87">
        <v>4</v>
      </c>
      <c r="K87">
        <v>3</v>
      </c>
      <c r="L87">
        <v>14</v>
      </c>
    </row>
    <row r="88" spans="1:12" hidden="1" x14ac:dyDescent="0.3">
      <c r="A88" s="3">
        <v>45304</v>
      </c>
      <c r="B88" t="s">
        <v>21</v>
      </c>
      <c r="C88" t="s">
        <v>27</v>
      </c>
      <c r="D88">
        <v>4</v>
      </c>
      <c r="E88">
        <v>8</v>
      </c>
      <c r="F88">
        <v>4</v>
      </c>
      <c r="G88">
        <v>2</v>
      </c>
      <c r="H88">
        <v>1</v>
      </c>
      <c r="I88">
        <v>5</v>
      </c>
      <c r="J88">
        <v>4</v>
      </c>
      <c r="K88">
        <v>3</v>
      </c>
      <c r="L88">
        <v>14</v>
      </c>
    </row>
    <row r="89" spans="1:12" hidden="1" x14ac:dyDescent="0.3">
      <c r="A89" s="3">
        <v>45304</v>
      </c>
      <c r="B89" t="s">
        <v>19</v>
      </c>
      <c r="C89" t="s">
        <v>17</v>
      </c>
      <c r="D89">
        <v>0</v>
      </c>
      <c r="E89">
        <v>10</v>
      </c>
      <c r="F89">
        <v>0</v>
      </c>
      <c r="G89">
        <v>6</v>
      </c>
      <c r="H89">
        <v>0</v>
      </c>
      <c r="I89">
        <v>4</v>
      </c>
      <c r="J89">
        <v>4.5</v>
      </c>
      <c r="K89">
        <v>4</v>
      </c>
      <c r="L89">
        <v>10</v>
      </c>
    </row>
    <row r="90" spans="1:12" hidden="1" x14ac:dyDescent="0.3">
      <c r="A90" s="3">
        <v>45304</v>
      </c>
      <c r="B90" t="s">
        <v>63</v>
      </c>
      <c r="C90" t="s">
        <v>97</v>
      </c>
      <c r="D90">
        <v>3</v>
      </c>
      <c r="E90">
        <v>10</v>
      </c>
      <c r="F90">
        <v>8</v>
      </c>
      <c r="G90">
        <v>0</v>
      </c>
      <c r="H90">
        <v>1</v>
      </c>
      <c r="I90">
        <v>4</v>
      </c>
      <c r="J90">
        <v>4</v>
      </c>
      <c r="K90">
        <v>3.5</v>
      </c>
      <c r="L90">
        <v>10</v>
      </c>
    </row>
    <row r="91" spans="1:12" hidden="1" x14ac:dyDescent="0.3">
      <c r="A91" s="3">
        <v>45304</v>
      </c>
      <c r="B91" t="s">
        <v>90</v>
      </c>
      <c r="C91" t="s">
        <v>87</v>
      </c>
      <c r="D91">
        <v>8</v>
      </c>
      <c r="E91">
        <v>12</v>
      </c>
      <c r="F91">
        <v>6</v>
      </c>
      <c r="G91">
        <v>7</v>
      </c>
      <c r="H91">
        <v>2</v>
      </c>
      <c r="I91">
        <v>5</v>
      </c>
      <c r="J91">
        <v>4.5</v>
      </c>
      <c r="K91">
        <v>4</v>
      </c>
      <c r="L91">
        <v>14</v>
      </c>
    </row>
    <row r="92" spans="1:12" hidden="1" x14ac:dyDescent="0.3">
      <c r="A92" s="3">
        <v>45304</v>
      </c>
      <c r="B92" t="s">
        <v>68</v>
      </c>
      <c r="C92" t="s">
        <v>43</v>
      </c>
      <c r="D92">
        <v>7</v>
      </c>
      <c r="E92">
        <v>15</v>
      </c>
      <c r="F92">
        <v>9</v>
      </c>
      <c r="G92">
        <v>0</v>
      </c>
      <c r="H92">
        <v>1</v>
      </c>
      <c r="I92">
        <v>12</v>
      </c>
      <c r="J92">
        <v>4</v>
      </c>
      <c r="K92">
        <v>3</v>
      </c>
      <c r="L92">
        <v>14</v>
      </c>
    </row>
    <row r="93" spans="1:12" hidden="1" x14ac:dyDescent="0.3">
      <c r="A93" s="3">
        <v>45304</v>
      </c>
      <c r="B93" t="s">
        <v>89</v>
      </c>
      <c r="C93" t="s">
        <v>103</v>
      </c>
      <c r="D93">
        <v>4</v>
      </c>
      <c r="E93">
        <v>8</v>
      </c>
      <c r="F93">
        <v>5</v>
      </c>
      <c r="G93">
        <v>4</v>
      </c>
      <c r="H93">
        <v>1</v>
      </c>
      <c r="I93">
        <v>2</v>
      </c>
      <c r="J93">
        <v>3.5</v>
      </c>
      <c r="K93">
        <v>3</v>
      </c>
      <c r="L93">
        <v>8</v>
      </c>
    </row>
    <row r="94" spans="1:12" hidden="1" x14ac:dyDescent="0.3">
      <c r="A94" s="3">
        <v>45304</v>
      </c>
      <c r="B94" t="s">
        <v>55</v>
      </c>
      <c r="C94" t="s">
        <v>53</v>
      </c>
      <c r="D94">
        <v>3</v>
      </c>
      <c r="E94">
        <v>4</v>
      </c>
      <c r="F94">
        <v>4</v>
      </c>
      <c r="G94">
        <v>2</v>
      </c>
      <c r="H94">
        <v>1</v>
      </c>
      <c r="I94">
        <v>0</v>
      </c>
      <c r="J94">
        <v>8.5</v>
      </c>
      <c r="K94">
        <v>6</v>
      </c>
      <c r="L94">
        <v>7</v>
      </c>
    </row>
    <row r="95" spans="1:12" hidden="1" x14ac:dyDescent="0.3">
      <c r="A95" s="3">
        <v>45304</v>
      </c>
      <c r="B95" t="s">
        <v>40</v>
      </c>
      <c r="C95" t="s">
        <v>85</v>
      </c>
      <c r="D95">
        <v>3</v>
      </c>
      <c r="E95">
        <v>15</v>
      </c>
      <c r="F95">
        <v>10</v>
      </c>
      <c r="G95">
        <v>1</v>
      </c>
      <c r="H95">
        <v>4</v>
      </c>
      <c r="I95">
        <v>3</v>
      </c>
      <c r="J95">
        <v>3</v>
      </c>
      <c r="K95">
        <v>2.5</v>
      </c>
      <c r="L95">
        <v>14</v>
      </c>
    </row>
    <row r="96" spans="1:12" hidden="1" x14ac:dyDescent="0.3">
      <c r="A96" s="3">
        <v>45305</v>
      </c>
      <c r="B96" t="s">
        <v>62</v>
      </c>
      <c r="C96" t="s">
        <v>96</v>
      </c>
      <c r="D96">
        <v>0</v>
      </c>
      <c r="E96">
        <v>10</v>
      </c>
      <c r="F96">
        <v>1</v>
      </c>
      <c r="G96">
        <v>1</v>
      </c>
      <c r="H96">
        <v>3</v>
      </c>
      <c r="I96">
        <v>5</v>
      </c>
      <c r="J96">
        <v>4</v>
      </c>
      <c r="K96">
        <v>3.5</v>
      </c>
      <c r="L96">
        <v>10</v>
      </c>
    </row>
    <row r="97" spans="1:12" hidden="1" x14ac:dyDescent="0.3">
      <c r="A97" s="3">
        <v>45305</v>
      </c>
      <c r="B97" t="s">
        <v>80</v>
      </c>
      <c r="C97" t="s">
        <v>49</v>
      </c>
      <c r="D97">
        <v>1</v>
      </c>
      <c r="E97">
        <v>8</v>
      </c>
      <c r="F97">
        <v>2</v>
      </c>
      <c r="G97">
        <v>2</v>
      </c>
      <c r="H97">
        <v>2</v>
      </c>
      <c r="I97">
        <v>3</v>
      </c>
      <c r="J97">
        <v>2.5</v>
      </c>
      <c r="K97">
        <v>2</v>
      </c>
      <c r="L97">
        <v>5</v>
      </c>
    </row>
    <row r="98" spans="1:12" hidden="1" x14ac:dyDescent="0.3">
      <c r="A98" s="3">
        <v>45305</v>
      </c>
      <c r="B98" t="s">
        <v>59</v>
      </c>
      <c r="C98" t="s">
        <v>93</v>
      </c>
      <c r="D98">
        <v>6</v>
      </c>
      <c r="E98">
        <v>10</v>
      </c>
      <c r="F98">
        <v>3</v>
      </c>
      <c r="G98">
        <v>0</v>
      </c>
      <c r="H98">
        <v>2</v>
      </c>
      <c r="I98">
        <v>11</v>
      </c>
      <c r="J98">
        <v>4</v>
      </c>
      <c r="K98">
        <v>3.5</v>
      </c>
      <c r="L98">
        <v>10</v>
      </c>
    </row>
    <row r="99" spans="1:12" hidden="1" x14ac:dyDescent="0.3">
      <c r="A99" s="3">
        <v>45305</v>
      </c>
      <c r="B99" t="s">
        <v>56</v>
      </c>
      <c r="C99" t="s">
        <v>54</v>
      </c>
      <c r="D99">
        <v>0</v>
      </c>
      <c r="E99">
        <v>8</v>
      </c>
      <c r="F99">
        <v>5</v>
      </c>
      <c r="G99">
        <v>2</v>
      </c>
      <c r="H99">
        <v>0</v>
      </c>
      <c r="I99">
        <v>1</v>
      </c>
      <c r="J99">
        <v>6</v>
      </c>
      <c r="K99">
        <v>5.5</v>
      </c>
      <c r="L99">
        <v>20</v>
      </c>
    </row>
    <row r="100" spans="1:12" hidden="1" x14ac:dyDescent="0.3">
      <c r="A100" s="3">
        <v>45306</v>
      </c>
      <c r="B100" t="s">
        <v>22</v>
      </c>
      <c r="C100" t="s">
        <v>26</v>
      </c>
      <c r="D100">
        <v>0</v>
      </c>
      <c r="E100">
        <v>12</v>
      </c>
      <c r="F100">
        <v>4</v>
      </c>
      <c r="G100">
        <v>3</v>
      </c>
      <c r="H100">
        <v>2</v>
      </c>
      <c r="I100">
        <v>3</v>
      </c>
      <c r="J100">
        <v>3.5</v>
      </c>
      <c r="K100">
        <v>3</v>
      </c>
      <c r="L100">
        <v>14</v>
      </c>
    </row>
    <row r="101" spans="1:12" hidden="1" x14ac:dyDescent="0.3">
      <c r="A101" s="3">
        <v>45306</v>
      </c>
      <c r="B101" t="s">
        <v>78</v>
      </c>
      <c r="C101" t="s">
        <v>74</v>
      </c>
      <c r="D101">
        <v>1</v>
      </c>
      <c r="E101">
        <v>6</v>
      </c>
      <c r="F101">
        <v>0</v>
      </c>
      <c r="G101">
        <v>2</v>
      </c>
      <c r="H101">
        <v>2</v>
      </c>
      <c r="I101">
        <v>3</v>
      </c>
      <c r="J101">
        <v>4</v>
      </c>
      <c r="K101">
        <v>3</v>
      </c>
      <c r="L101">
        <v>7</v>
      </c>
    </row>
    <row r="102" spans="1:12" hidden="1" x14ac:dyDescent="0.3">
      <c r="A102" s="3">
        <v>45306</v>
      </c>
      <c r="B102" t="s">
        <v>60</v>
      </c>
      <c r="C102" t="s">
        <v>94</v>
      </c>
      <c r="D102">
        <v>4</v>
      </c>
      <c r="E102">
        <v>10</v>
      </c>
      <c r="F102">
        <v>0</v>
      </c>
      <c r="G102">
        <v>7</v>
      </c>
      <c r="H102">
        <v>4</v>
      </c>
      <c r="I102">
        <v>3</v>
      </c>
      <c r="J102">
        <v>4</v>
      </c>
      <c r="K102">
        <v>3.5</v>
      </c>
      <c r="L102">
        <v>10</v>
      </c>
    </row>
    <row r="103" spans="1:12" hidden="1" x14ac:dyDescent="0.3">
      <c r="A103" s="3">
        <v>45306</v>
      </c>
      <c r="B103" t="s">
        <v>92</v>
      </c>
      <c r="C103" t="s">
        <v>91</v>
      </c>
      <c r="D103">
        <v>3</v>
      </c>
      <c r="E103">
        <v>6</v>
      </c>
      <c r="F103">
        <v>5</v>
      </c>
      <c r="G103">
        <v>0</v>
      </c>
      <c r="H103">
        <v>0</v>
      </c>
      <c r="I103">
        <v>4</v>
      </c>
      <c r="J103">
        <v>4.5</v>
      </c>
      <c r="K103">
        <v>4</v>
      </c>
      <c r="L103">
        <v>14</v>
      </c>
    </row>
    <row r="104" spans="1:12" hidden="1" x14ac:dyDescent="0.3">
      <c r="A104" s="3">
        <v>45306</v>
      </c>
      <c r="B104" t="s">
        <v>78</v>
      </c>
      <c r="C104" t="s">
        <v>74</v>
      </c>
      <c r="D104">
        <v>3</v>
      </c>
      <c r="E104">
        <v>6</v>
      </c>
      <c r="F104">
        <v>5</v>
      </c>
      <c r="G104">
        <v>1</v>
      </c>
      <c r="H104">
        <v>2</v>
      </c>
      <c r="I104">
        <v>1</v>
      </c>
      <c r="J104">
        <v>4</v>
      </c>
      <c r="K104">
        <v>3</v>
      </c>
      <c r="L104">
        <v>7</v>
      </c>
    </row>
    <row r="105" spans="1:12" hidden="1" x14ac:dyDescent="0.3">
      <c r="A105" s="3">
        <v>45306</v>
      </c>
      <c r="B105" t="s">
        <v>67</v>
      </c>
      <c r="C105" t="s">
        <v>46</v>
      </c>
      <c r="D105">
        <v>1</v>
      </c>
      <c r="E105">
        <v>8</v>
      </c>
      <c r="F105">
        <v>4</v>
      </c>
      <c r="G105">
        <v>1</v>
      </c>
      <c r="H105">
        <v>0</v>
      </c>
      <c r="I105">
        <v>4</v>
      </c>
      <c r="J105">
        <v>3.5</v>
      </c>
      <c r="K105">
        <v>3</v>
      </c>
      <c r="L105">
        <v>8</v>
      </c>
    </row>
    <row r="106" spans="1:12" hidden="1" x14ac:dyDescent="0.3">
      <c r="A106" s="3">
        <v>45306</v>
      </c>
      <c r="B106" t="s">
        <v>89</v>
      </c>
      <c r="C106" t="s">
        <v>103</v>
      </c>
      <c r="D106">
        <v>2</v>
      </c>
      <c r="E106">
        <v>8</v>
      </c>
      <c r="F106">
        <v>3</v>
      </c>
      <c r="G106">
        <v>1</v>
      </c>
      <c r="H106">
        <v>0</v>
      </c>
      <c r="I106">
        <v>6</v>
      </c>
      <c r="J106">
        <v>3.5</v>
      </c>
      <c r="K106">
        <v>3</v>
      </c>
      <c r="L106">
        <v>8</v>
      </c>
    </row>
    <row r="107" spans="1:12" hidden="1" x14ac:dyDescent="0.3">
      <c r="A107" s="3">
        <v>45307</v>
      </c>
      <c r="B107" t="s">
        <v>64</v>
      </c>
      <c r="C107" t="s">
        <v>42</v>
      </c>
      <c r="D107">
        <v>2</v>
      </c>
      <c r="E107">
        <v>8</v>
      </c>
      <c r="F107">
        <v>1</v>
      </c>
      <c r="G107">
        <v>2</v>
      </c>
      <c r="H107">
        <v>3</v>
      </c>
      <c r="I107">
        <v>4</v>
      </c>
      <c r="J107">
        <v>3.5</v>
      </c>
      <c r="K107">
        <v>3</v>
      </c>
      <c r="L107">
        <v>8</v>
      </c>
    </row>
    <row r="108" spans="1:12" hidden="1" x14ac:dyDescent="0.3">
      <c r="A108" s="3">
        <v>45307</v>
      </c>
      <c r="B108" t="s">
        <v>60</v>
      </c>
      <c r="C108" t="s">
        <v>94</v>
      </c>
      <c r="D108">
        <v>3</v>
      </c>
      <c r="E108">
        <v>10</v>
      </c>
      <c r="F108">
        <v>3</v>
      </c>
      <c r="G108">
        <v>3</v>
      </c>
      <c r="H108">
        <v>0</v>
      </c>
      <c r="I108">
        <v>7</v>
      </c>
      <c r="J108">
        <v>4</v>
      </c>
      <c r="K108">
        <v>3.5</v>
      </c>
      <c r="L108">
        <v>10</v>
      </c>
    </row>
    <row r="109" spans="1:12" hidden="1" x14ac:dyDescent="0.3">
      <c r="A109" s="3">
        <v>45307</v>
      </c>
      <c r="B109" t="s">
        <v>64</v>
      </c>
      <c r="C109" t="s">
        <v>42</v>
      </c>
      <c r="D109">
        <v>4</v>
      </c>
      <c r="E109">
        <v>8</v>
      </c>
      <c r="F109">
        <v>3</v>
      </c>
      <c r="G109">
        <v>3</v>
      </c>
      <c r="H109">
        <v>0</v>
      </c>
      <c r="I109">
        <v>6</v>
      </c>
      <c r="J109">
        <v>3.5</v>
      </c>
      <c r="K109">
        <v>3</v>
      </c>
      <c r="L109">
        <v>8</v>
      </c>
    </row>
    <row r="110" spans="1:12" hidden="1" x14ac:dyDescent="0.3">
      <c r="A110" s="3">
        <v>45307</v>
      </c>
      <c r="B110" t="s">
        <v>81</v>
      </c>
      <c r="C110" t="s">
        <v>50</v>
      </c>
      <c r="D110">
        <v>2</v>
      </c>
      <c r="E110">
        <v>8</v>
      </c>
      <c r="F110">
        <v>2</v>
      </c>
      <c r="G110">
        <v>0</v>
      </c>
      <c r="H110">
        <v>5</v>
      </c>
      <c r="I110">
        <v>3</v>
      </c>
      <c r="J110">
        <v>2.5</v>
      </c>
      <c r="K110">
        <v>2</v>
      </c>
      <c r="L110">
        <v>5</v>
      </c>
    </row>
    <row r="111" spans="1:12" hidden="1" x14ac:dyDescent="0.3">
      <c r="A111" s="3">
        <v>45307</v>
      </c>
      <c r="B111" t="s">
        <v>62</v>
      </c>
      <c r="C111" t="s">
        <v>96</v>
      </c>
      <c r="D111">
        <v>5</v>
      </c>
      <c r="E111">
        <v>10</v>
      </c>
      <c r="F111">
        <v>8</v>
      </c>
      <c r="G111">
        <v>2</v>
      </c>
      <c r="H111">
        <v>2</v>
      </c>
      <c r="I111">
        <v>3</v>
      </c>
      <c r="J111">
        <v>4</v>
      </c>
      <c r="K111">
        <v>3.5</v>
      </c>
      <c r="L111">
        <v>10</v>
      </c>
    </row>
    <row r="112" spans="1:12" hidden="1" x14ac:dyDescent="0.3">
      <c r="A112" s="3">
        <v>45307</v>
      </c>
      <c r="B112" t="s">
        <v>56</v>
      </c>
      <c r="C112" t="s">
        <v>54</v>
      </c>
      <c r="D112">
        <v>1</v>
      </c>
      <c r="E112">
        <v>8</v>
      </c>
      <c r="F112">
        <v>3</v>
      </c>
      <c r="G112">
        <v>1</v>
      </c>
      <c r="H112">
        <v>3</v>
      </c>
      <c r="I112">
        <v>2</v>
      </c>
      <c r="J112">
        <v>6</v>
      </c>
      <c r="K112">
        <v>5.5</v>
      </c>
      <c r="L112">
        <v>20</v>
      </c>
    </row>
    <row r="113" spans="1:12" hidden="1" x14ac:dyDescent="0.3">
      <c r="A113" s="3">
        <v>45307</v>
      </c>
      <c r="B113" t="s">
        <v>66</v>
      </c>
      <c r="C113" t="s">
        <v>45</v>
      </c>
      <c r="D113">
        <v>3</v>
      </c>
      <c r="E113">
        <v>8</v>
      </c>
      <c r="F113">
        <v>7</v>
      </c>
      <c r="G113">
        <v>1</v>
      </c>
      <c r="H113">
        <v>0</v>
      </c>
      <c r="I113">
        <v>3</v>
      </c>
      <c r="J113">
        <v>3.5</v>
      </c>
      <c r="K113">
        <v>3</v>
      </c>
      <c r="L113">
        <v>8</v>
      </c>
    </row>
    <row r="114" spans="1:12" hidden="1" x14ac:dyDescent="0.3">
      <c r="A114" s="3">
        <v>45307</v>
      </c>
      <c r="B114" t="s">
        <v>62</v>
      </c>
      <c r="C114" t="s">
        <v>96</v>
      </c>
      <c r="D114">
        <v>3</v>
      </c>
      <c r="E114">
        <v>10</v>
      </c>
      <c r="F114">
        <v>7</v>
      </c>
      <c r="G114">
        <v>1</v>
      </c>
      <c r="H114">
        <v>2</v>
      </c>
      <c r="I114">
        <v>3</v>
      </c>
      <c r="J114">
        <v>4</v>
      </c>
      <c r="K114">
        <v>3.5</v>
      </c>
      <c r="L114">
        <v>10</v>
      </c>
    </row>
    <row r="115" spans="1:12" hidden="1" x14ac:dyDescent="0.3">
      <c r="A115" s="3">
        <v>45307</v>
      </c>
      <c r="B115" t="s">
        <v>41</v>
      </c>
      <c r="C115" t="s">
        <v>86</v>
      </c>
      <c r="D115">
        <v>4</v>
      </c>
      <c r="E115">
        <v>15</v>
      </c>
      <c r="F115">
        <v>7</v>
      </c>
      <c r="G115">
        <v>5</v>
      </c>
      <c r="H115">
        <v>1</v>
      </c>
      <c r="I115">
        <v>6</v>
      </c>
      <c r="J115">
        <v>3</v>
      </c>
      <c r="K115">
        <v>2.5</v>
      </c>
      <c r="L115">
        <v>14</v>
      </c>
    </row>
    <row r="116" spans="1:12" hidden="1" x14ac:dyDescent="0.3">
      <c r="A116" s="3">
        <v>45307</v>
      </c>
      <c r="B116" t="s">
        <v>40</v>
      </c>
      <c r="C116" t="s">
        <v>85</v>
      </c>
      <c r="D116">
        <v>3</v>
      </c>
      <c r="E116">
        <v>15</v>
      </c>
      <c r="F116">
        <v>6</v>
      </c>
      <c r="G116">
        <v>3</v>
      </c>
      <c r="H116">
        <v>1</v>
      </c>
      <c r="I116">
        <v>8</v>
      </c>
      <c r="J116">
        <v>3</v>
      </c>
      <c r="K116">
        <v>2.5</v>
      </c>
      <c r="L116">
        <v>14</v>
      </c>
    </row>
    <row r="117" spans="1:12" hidden="1" x14ac:dyDescent="0.3">
      <c r="A117" s="3">
        <v>45308</v>
      </c>
      <c r="B117" t="s">
        <v>71</v>
      </c>
      <c r="C117" t="s">
        <v>47</v>
      </c>
      <c r="D117">
        <v>2</v>
      </c>
      <c r="E117">
        <v>6</v>
      </c>
      <c r="F117">
        <v>0</v>
      </c>
      <c r="G117">
        <v>5</v>
      </c>
      <c r="H117">
        <v>0</v>
      </c>
      <c r="I117">
        <v>3</v>
      </c>
      <c r="J117">
        <v>4</v>
      </c>
      <c r="K117">
        <v>3</v>
      </c>
      <c r="L117">
        <v>7</v>
      </c>
    </row>
    <row r="118" spans="1:12" hidden="1" x14ac:dyDescent="0.3">
      <c r="A118" s="3">
        <v>45308</v>
      </c>
      <c r="B118" t="s">
        <v>22</v>
      </c>
      <c r="C118" t="s">
        <v>26</v>
      </c>
      <c r="D118">
        <v>3</v>
      </c>
      <c r="E118">
        <v>12</v>
      </c>
      <c r="F118">
        <v>6</v>
      </c>
      <c r="G118">
        <v>2</v>
      </c>
      <c r="H118">
        <v>0</v>
      </c>
      <c r="I118">
        <v>7</v>
      </c>
      <c r="J118">
        <v>3.5</v>
      </c>
      <c r="K118">
        <v>3</v>
      </c>
      <c r="L118">
        <v>14</v>
      </c>
    </row>
    <row r="119" spans="1:12" hidden="1" x14ac:dyDescent="0.3">
      <c r="A119" s="3">
        <v>45308</v>
      </c>
      <c r="B119" t="s">
        <v>16</v>
      </c>
      <c r="C119" t="s">
        <v>77</v>
      </c>
      <c r="D119">
        <v>2</v>
      </c>
      <c r="E119">
        <v>10</v>
      </c>
      <c r="F119">
        <v>1</v>
      </c>
      <c r="G119">
        <v>2</v>
      </c>
      <c r="H119">
        <v>1</v>
      </c>
      <c r="I119">
        <v>8</v>
      </c>
      <c r="J119">
        <v>5.5</v>
      </c>
      <c r="K119">
        <v>4.5</v>
      </c>
      <c r="L119">
        <v>7</v>
      </c>
    </row>
    <row r="120" spans="1:12" hidden="1" x14ac:dyDescent="0.3">
      <c r="A120" s="3">
        <v>45309</v>
      </c>
      <c r="B120" t="s">
        <v>59</v>
      </c>
      <c r="C120" t="s">
        <v>93</v>
      </c>
      <c r="D120">
        <v>11</v>
      </c>
      <c r="E120">
        <v>10</v>
      </c>
      <c r="F120">
        <v>3</v>
      </c>
      <c r="G120">
        <v>2</v>
      </c>
      <c r="H120">
        <v>5</v>
      </c>
      <c r="I120">
        <v>11</v>
      </c>
      <c r="J120">
        <v>4</v>
      </c>
      <c r="K120">
        <v>3.5</v>
      </c>
      <c r="L120">
        <v>10</v>
      </c>
    </row>
    <row r="121" spans="1:12" hidden="1" x14ac:dyDescent="0.3">
      <c r="A121" s="3">
        <v>45309</v>
      </c>
      <c r="B121" t="s">
        <v>84</v>
      </c>
      <c r="C121" t="s">
        <v>101</v>
      </c>
      <c r="D121">
        <v>6</v>
      </c>
      <c r="E121">
        <v>8</v>
      </c>
      <c r="F121">
        <v>0</v>
      </c>
      <c r="G121">
        <v>4</v>
      </c>
      <c r="H121">
        <v>1</v>
      </c>
      <c r="I121">
        <v>9</v>
      </c>
      <c r="J121">
        <v>3.5</v>
      </c>
      <c r="K121">
        <v>3</v>
      </c>
      <c r="L121">
        <v>8</v>
      </c>
    </row>
    <row r="122" spans="1:12" hidden="1" x14ac:dyDescent="0.3">
      <c r="A122" s="3">
        <v>45309</v>
      </c>
      <c r="B122" t="s">
        <v>90</v>
      </c>
      <c r="C122" t="s">
        <v>87</v>
      </c>
      <c r="D122">
        <v>5</v>
      </c>
      <c r="E122">
        <v>12</v>
      </c>
      <c r="F122">
        <v>6</v>
      </c>
      <c r="G122">
        <v>4</v>
      </c>
      <c r="H122">
        <v>2</v>
      </c>
      <c r="I122">
        <v>5</v>
      </c>
      <c r="J122">
        <v>4.5</v>
      </c>
      <c r="K122">
        <v>4</v>
      </c>
      <c r="L122">
        <v>14</v>
      </c>
    </row>
    <row r="123" spans="1:12" hidden="1" x14ac:dyDescent="0.3">
      <c r="A123" s="3">
        <v>45309</v>
      </c>
      <c r="B123" t="s">
        <v>72</v>
      </c>
      <c r="C123" t="s">
        <v>48</v>
      </c>
      <c r="D123">
        <v>0</v>
      </c>
      <c r="E123">
        <v>6</v>
      </c>
      <c r="F123">
        <v>0</v>
      </c>
      <c r="G123">
        <v>2</v>
      </c>
      <c r="H123">
        <v>1</v>
      </c>
      <c r="I123">
        <v>3</v>
      </c>
      <c r="J123">
        <v>4</v>
      </c>
      <c r="K123">
        <v>3</v>
      </c>
      <c r="L123">
        <v>7</v>
      </c>
    </row>
    <row r="124" spans="1:12" hidden="1" x14ac:dyDescent="0.3">
      <c r="A124" s="3">
        <v>45309</v>
      </c>
      <c r="B124" t="s">
        <v>10</v>
      </c>
      <c r="C124" t="s">
        <v>18</v>
      </c>
      <c r="D124">
        <v>5</v>
      </c>
      <c r="E124">
        <v>10</v>
      </c>
      <c r="F124">
        <v>1</v>
      </c>
      <c r="G124">
        <v>2</v>
      </c>
      <c r="H124">
        <v>7</v>
      </c>
      <c r="I124">
        <v>5</v>
      </c>
      <c r="J124">
        <v>5.5</v>
      </c>
      <c r="K124">
        <v>4.5</v>
      </c>
      <c r="L124">
        <v>7</v>
      </c>
    </row>
    <row r="125" spans="1:12" hidden="1" x14ac:dyDescent="0.3">
      <c r="A125" s="3">
        <v>45309</v>
      </c>
      <c r="B125" t="s">
        <v>20</v>
      </c>
      <c r="C125" t="s">
        <v>25</v>
      </c>
      <c r="D125">
        <v>5</v>
      </c>
      <c r="E125">
        <v>10</v>
      </c>
      <c r="F125">
        <v>7</v>
      </c>
      <c r="G125">
        <v>4</v>
      </c>
      <c r="H125">
        <v>2</v>
      </c>
      <c r="I125">
        <v>2</v>
      </c>
      <c r="J125">
        <v>4.5</v>
      </c>
      <c r="K125">
        <v>4</v>
      </c>
      <c r="L125">
        <v>10</v>
      </c>
    </row>
    <row r="126" spans="1:12" hidden="1" x14ac:dyDescent="0.3">
      <c r="A126" s="3">
        <v>45309</v>
      </c>
      <c r="B126" t="s">
        <v>82</v>
      </c>
      <c r="C126" t="s">
        <v>73</v>
      </c>
      <c r="D126">
        <v>6</v>
      </c>
      <c r="E126">
        <v>8</v>
      </c>
      <c r="F126">
        <v>4</v>
      </c>
      <c r="G126">
        <v>5</v>
      </c>
      <c r="H126">
        <v>2</v>
      </c>
      <c r="I126">
        <v>3</v>
      </c>
      <c r="J126">
        <v>2.5</v>
      </c>
      <c r="K126">
        <v>2</v>
      </c>
      <c r="L126">
        <v>5</v>
      </c>
    </row>
    <row r="127" spans="1:12" hidden="1" x14ac:dyDescent="0.3">
      <c r="A127" s="3">
        <v>45309</v>
      </c>
      <c r="B127" t="s">
        <v>83</v>
      </c>
      <c r="C127" t="s">
        <v>100</v>
      </c>
      <c r="D127">
        <v>7</v>
      </c>
      <c r="E127">
        <v>10</v>
      </c>
      <c r="F127">
        <v>2</v>
      </c>
      <c r="G127">
        <v>2</v>
      </c>
      <c r="H127">
        <v>1</v>
      </c>
      <c r="I127">
        <v>12</v>
      </c>
      <c r="J127">
        <v>4.5</v>
      </c>
      <c r="K127">
        <v>4</v>
      </c>
      <c r="L127">
        <v>10</v>
      </c>
    </row>
    <row r="128" spans="1:12" hidden="1" x14ac:dyDescent="0.3">
      <c r="A128" s="3">
        <v>45309</v>
      </c>
      <c r="B128" t="s">
        <v>82</v>
      </c>
      <c r="C128" t="s">
        <v>73</v>
      </c>
      <c r="D128">
        <v>3</v>
      </c>
      <c r="E128">
        <v>8</v>
      </c>
      <c r="F128">
        <v>7</v>
      </c>
      <c r="G128">
        <v>2</v>
      </c>
      <c r="H128">
        <v>1</v>
      </c>
      <c r="I128">
        <v>1</v>
      </c>
      <c r="J128">
        <v>2.5</v>
      </c>
      <c r="K128">
        <v>2</v>
      </c>
      <c r="L128">
        <v>5</v>
      </c>
    </row>
    <row r="129" spans="1:12" hidden="1" x14ac:dyDescent="0.3">
      <c r="A129" s="3">
        <v>45309</v>
      </c>
      <c r="B129" t="s">
        <v>39</v>
      </c>
      <c r="C129" t="s">
        <v>32</v>
      </c>
      <c r="D129">
        <v>0</v>
      </c>
      <c r="E129">
        <v>12</v>
      </c>
      <c r="F129">
        <v>4</v>
      </c>
      <c r="G129">
        <v>2</v>
      </c>
      <c r="H129">
        <v>4</v>
      </c>
      <c r="I129">
        <v>2</v>
      </c>
      <c r="J129">
        <v>3.5</v>
      </c>
      <c r="K129">
        <v>3</v>
      </c>
      <c r="L129">
        <v>14</v>
      </c>
    </row>
    <row r="130" spans="1:12" hidden="1" x14ac:dyDescent="0.3">
      <c r="A130" s="3">
        <v>45310</v>
      </c>
      <c r="B130" t="s">
        <v>66</v>
      </c>
      <c r="C130" t="s">
        <v>45</v>
      </c>
      <c r="D130">
        <v>3</v>
      </c>
      <c r="E130">
        <v>8</v>
      </c>
      <c r="F130">
        <v>7</v>
      </c>
      <c r="G130">
        <v>1</v>
      </c>
      <c r="H130">
        <v>1</v>
      </c>
      <c r="I130">
        <v>2</v>
      </c>
      <c r="J130">
        <v>3.5</v>
      </c>
      <c r="K130">
        <v>3</v>
      </c>
      <c r="L130">
        <v>8</v>
      </c>
    </row>
    <row r="131" spans="1:12" hidden="1" x14ac:dyDescent="0.3">
      <c r="A131" s="3">
        <v>45310</v>
      </c>
      <c r="B131" t="s">
        <v>22</v>
      </c>
      <c r="C131" t="s">
        <v>26</v>
      </c>
      <c r="D131">
        <v>7</v>
      </c>
      <c r="E131">
        <v>12</v>
      </c>
      <c r="F131">
        <v>8</v>
      </c>
      <c r="G131">
        <v>5</v>
      </c>
      <c r="H131">
        <v>2</v>
      </c>
      <c r="I131">
        <v>4</v>
      </c>
      <c r="J131">
        <v>3.5</v>
      </c>
      <c r="K131">
        <v>3</v>
      </c>
      <c r="L131">
        <v>14</v>
      </c>
    </row>
    <row r="132" spans="1:12" hidden="1" x14ac:dyDescent="0.3">
      <c r="A132" s="3">
        <v>45310</v>
      </c>
      <c r="B132" t="s">
        <v>80</v>
      </c>
      <c r="C132" t="s">
        <v>49</v>
      </c>
      <c r="D132">
        <v>3</v>
      </c>
      <c r="E132">
        <v>8</v>
      </c>
      <c r="F132">
        <v>0</v>
      </c>
      <c r="G132">
        <v>0</v>
      </c>
      <c r="H132">
        <v>6</v>
      </c>
      <c r="I132">
        <v>5</v>
      </c>
      <c r="J132">
        <v>2.5</v>
      </c>
      <c r="K132">
        <v>2</v>
      </c>
      <c r="L132">
        <v>5</v>
      </c>
    </row>
    <row r="133" spans="1:12" hidden="1" x14ac:dyDescent="0.3">
      <c r="A133" s="3">
        <v>45310</v>
      </c>
      <c r="B133" t="s">
        <v>64</v>
      </c>
      <c r="C133" t="s">
        <v>42</v>
      </c>
      <c r="D133">
        <v>6</v>
      </c>
      <c r="E133">
        <v>8</v>
      </c>
      <c r="F133">
        <v>2</v>
      </c>
      <c r="G133">
        <v>5</v>
      </c>
      <c r="H133">
        <v>0</v>
      </c>
      <c r="I133">
        <v>7</v>
      </c>
      <c r="J133">
        <v>3.5</v>
      </c>
      <c r="K133">
        <v>3</v>
      </c>
      <c r="L133">
        <v>8</v>
      </c>
    </row>
    <row r="134" spans="1:12" x14ac:dyDescent="0.3">
      <c r="A134" s="3">
        <v>45311</v>
      </c>
      <c r="B134" t="s">
        <v>34</v>
      </c>
      <c r="C134" t="s">
        <v>30</v>
      </c>
      <c r="D134">
        <v>2</v>
      </c>
      <c r="E134">
        <v>6</v>
      </c>
      <c r="F134">
        <v>2</v>
      </c>
      <c r="G134">
        <v>3</v>
      </c>
      <c r="H134">
        <v>2</v>
      </c>
      <c r="I134">
        <v>1</v>
      </c>
      <c r="J134">
        <v>3.5</v>
      </c>
      <c r="K134">
        <v>3</v>
      </c>
      <c r="L134">
        <v>10</v>
      </c>
    </row>
    <row r="135" spans="1:12" hidden="1" x14ac:dyDescent="0.3">
      <c r="A135" s="3">
        <v>45311</v>
      </c>
      <c r="B135" t="s">
        <v>20</v>
      </c>
      <c r="C135" t="s">
        <v>25</v>
      </c>
      <c r="D135">
        <v>2</v>
      </c>
      <c r="E135">
        <v>10</v>
      </c>
      <c r="F135">
        <v>6</v>
      </c>
      <c r="G135">
        <v>2</v>
      </c>
      <c r="H135">
        <v>2</v>
      </c>
      <c r="I135">
        <v>2</v>
      </c>
      <c r="J135">
        <v>4.5</v>
      </c>
      <c r="K135">
        <v>4</v>
      </c>
      <c r="L135">
        <v>10</v>
      </c>
    </row>
    <row r="136" spans="1:12" hidden="1" x14ac:dyDescent="0.3">
      <c r="A136" s="3">
        <v>45311</v>
      </c>
      <c r="B136" t="s">
        <v>89</v>
      </c>
      <c r="C136" t="s">
        <v>103</v>
      </c>
      <c r="D136">
        <v>6</v>
      </c>
      <c r="E136">
        <v>8</v>
      </c>
      <c r="F136">
        <v>8</v>
      </c>
      <c r="G136">
        <v>4</v>
      </c>
      <c r="H136">
        <v>0</v>
      </c>
      <c r="I136">
        <v>2</v>
      </c>
      <c r="J136">
        <v>3.5</v>
      </c>
      <c r="K136">
        <v>3</v>
      </c>
      <c r="L136">
        <v>8</v>
      </c>
    </row>
    <row r="137" spans="1:12" hidden="1" x14ac:dyDescent="0.3">
      <c r="A137" s="3">
        <v>45311</v>
      </c>
      <c r="B137" t="s">
        <v>63</v>
      </c>
      <c r="C137" t="s">
        <v>97</v>
      </c>
      <c r="D137">
        <v>4</v>
      </c>
      <c r="E137">
        <v>10</v>
      </c>
      <c r="F137">
        <v>1</v>
      </c>
      <c r="G137">
        <v>3</v>
      </c>
      <c r="H137">
        <v>0</v>
      </c>
      <c r="I137">
        <v>10</v>
      </c>
      <c r="J137">
        <v>4</v>
      </c>
      <c r="K137">
        <v>3.5</v>
      </c>
      <c r="L137">
        <v>10</v>
      </c>
    </row>
    <row r="138" spans="1:12" hidden="1" x14ac:dyDescent="0.3">
      <c r="A138" s="3">
        <v>45311</v>
      </c>
      <c r="B138" t="s">
        <v>84</v>
      </c>
      <c r="C138" t="s">
        <v>101</v>
      </c>
      <c r="D138">
        <v>9</v>
      </c>
      <c r="E138">
        <v>8</v>
      </c>
      <c r="F138">
        <v>3</v>
      </c>
      <c r="G138">
        <v>2</v>
      </c>
      <c r="H138">
        <v>0</v>
      </c>
      <c r="I138">
        <v>12</v>
      </c>
      <c r="J138">
        <v>3.5</v>
      </c>
      <c r="K138">
        <v>3</v>
      </c>
      <c r="L138">
        <v>8</v>
      </c>
    </row>
    <row r="139" spans="1:12" hidden="1" x14ac:dyDescent="0.3">
      <c r="A139" s="3">
        <v>45311</v>
      </c>
      <c r="B139" t="s">
        <v>63</v>
      </c>
      <c r="C139" t="s">
        <v>97</v>
      </c>
      <c r="D139">
        <v>10</v>
      </c>
      <c r="E139">
        <v>10</v>
      </c>
      <c r="F139">
        <v>8</v>
      </c>
      <c r="G139">
        <v>6</v>
      </c>
      <c r="H139">
        <v>2</v>
      </c>
      <c r="I139">
        <v>4</v>
      </c>
      <c r="J139">
        <v>4</v>
      </c>
      <c r="K139">
        <v>3.5</v>
      </c>
      <c r="L139">
        <v>10</v>
      </c>
    </row>
    <row r="140" spans="1:12" hidden="1" x14ac:dyDescent="0.3">
      <c r="A140" s="3">
        <v>45311</v>
      </c>
      <c r="B140" t="s">
        <v>92</v>
      </c>
      <c r="C140" t="s">
        <v>91</v>
      </c>
      <c r="D140">
        <v>4</v>
      </c>
      <c r="E140">
        <v>6</v>
      </c>
      <c r="F140">
        <v>5</v>
      </c>
      <c r="G140">
        <v>0</v>
      </c>
      <c r="H140">
        <v>1</v>
      </c>
      <c r="I140">
        <v>4</v>
      </c>
      <c r="J140">
        <v>4.5</v>
      </c>
      <c r="K140">
        <v>4</v>
      </c>
      <c r="L140">
        <v>14</v>
      </c>
    </row>
    <row r="141" spans="1:12" hidden="1" x14ac:dyDescent="0.3">
      <c r="A141" s="3">
        <v>45311</v>
      </c>
      <c r="B141" t="s">
        <v>16</v>
      </c>
      <c r="C141" t="s">
        <v>77</v>
      </c>
      <c r="D141">
        <v>8</v>
      </c>
      <c r="E141">
        <v>10</v>
      </c>
      <c r="F141">
        <v>2</v>
      </c>
      <c r="G141">
        <v>10</v>
      </c>
      <c r="H141">
        <v>0</v>
      </c>
      <c r="I141">
        <v>6</v>
      </c>
      <c r="J141">
        <v>5.5</v>
      </c>
      <c r="K141">
        <v>4.5</v>
      </c>
      <c r="L141">
        <v>7</v>
      </c>
    </row>
    <row r="142" spans="1:12" hidden="1" x14ac:dyDescent="0.3">
      <c r="A142" s="3">
        <v>45311</v>
      </c>
      <c r="B142" t="s">
        <v>56</v>
      </c>
      <c r="C142" t="s">
        <v>54</v>
      </c>
      <c r="D142">
        <v>2</v>
      </c>
      <c r="E142">
        <v>8</v>
      </c>
      <c r="F142">
        <v>4</v>
      </c>
      <c r="G142">
        <v>1</v>
      </c>
      <c r="H142">
        <v>0</v>
      </c>
      <c r="I142">
        <v>5</v>
      </c>
      <c r="J142">
        <v>6</v>
      </c>
      <c r="K142">
        <v>5.5</v>
      </c>
      <c r="L142">
        <v>20</v>
      </c>
    </row>
    <row r="143" spans="1:12" hidden="1" x14ac:dyDescent="0.3">
      <c r="A143" s="3">
        <v>45311</v>
      </c>
      <c r="B143" t="s">
        <v>58</v>
      </c>
      <c r="C143" t="s">
        <v>76</v>
      </c>
      <c r="D143">
        <v>1</v>
      </c>
      <c r="E143">
        <v>15</v>
      </c>
      <c r="F143">
        <v>9</v>
      </c>
      <c r="G143">
        <v>4</v>
      </c>
      <c r="H143">
        <v>2</v>
      </c>
      <c r="I143">
        <v>1</v>
      </c>
      <c r="J143">
        <v>6</v>
      </c>
      <c r="K143">
        <v>5.5</v>
      </c>
      <c r="L143">
        <v>20</v>
      </c>
    </row>
    <row r="144" spans="1:12" hidden="1" x14ac:dyDescent="0.3">
      <c r="A144" s="3">
        <v>45311</v>
      </c>
      <c r="B144" t="s">
        <v>37</v>
      </c>
      <c r="C144" t="s">
        <v>51</v>
      </c>
      <c r="D144">
        <v>13</v>
      </c>
      <c r="E144">
        <v>12</v>
      </c>
      <c r="F144">
        <v>7</v>
      </c>
      <c r="G144">
        <v>7</v>
      </c>
      <c r="H144">
        <v>6</v>
      </c>
      <c r="I144">
        <v>5</v>
      </c>
      <c r="J144">
        <v>3.5</v>
      </c>
      <c r="K144">
        <v>3</v>
      </c>
      <c r="L144">
        <v>14</v>
      </c>
    </row>
    <row r="145" spans="1:12" hidden="1" x14ac:dyDescent="0.3">
      <c r="A145" s="3">
        <v>45311</v>
      </c>
      <c r="B145" t="s">
        <v>69</v>
      </c>
      <c r="C145" t="s">
        <v>98</v>
      </c>
      <c r="D145">
        <v>1</v>
      </c>
      <c r="E145">
        <v>6</v>
      </c>
      <c r="F145">
        <v>1</v>
      </c>
      <c r="G145">
        <v>1</v>
      </c>
      <c r="H145">
        <v>3</v>
      </c>
      <c r="I145">
        <v>2</v>
      </c>
      <c r="J145">
        <v>4</v>
      </c>
      <c r="K145">
        <v>3</v>
      </c>
      <c r="L145">
        <v>7</v>
      </c>
    </row>
    <row r="146" spans="1:12" hidden="1" x14ac:dyDescent="0.3">
      <c r="A146" s="3">
        <v>45312</v>
      </c>
      <c r="B146" t="s">
        <v>56</v>
      </c>
      <c r="C146" t="s">
        <v>54</v>
      </c>
      <c r="D146">
        <v>5</v>
      </c>
      <c r="E146">
        <v>8</v>
      </c>
      <c r="F146">
        <v>4</v>
      </c>
      <c r="G146">
        <v>3</v>
      </c>
      <c r="H146">
        <v>2</v>
      </c>
      <c r="I146">
        <v>4</v>
      </c>
      <c r="J146">
        <v>6</v>
      </c>
      <c r="K146">
        <v>5.5</v>
      </c>
      <c r="L146">
        <v>20</v>
      </c>
    </row>
    <row r="147" spans="1:12" hidden="1" x14ac:dyDescent="0.3">
      <c r="A147" s="3">
        <v>45312</v>
      </c>
      <c r="B147" t="s">
        <v>38</v>
      </c>
      <c r="C147" t="s">
        <v>52</v>
      </c>
      <c r="D147">
        <v>10</v>
      </c>
      <c r="E147">
        <v>12</v>
      </c>
      <c r="F147">
        <v>5</v>
      </c>
      <c r="G147">
        <v>10</v>
      </c>
      <c r="H147">
        <v>0</v>
      </c>
      <c r="I147">
        <v>7</v>
      </c>
      <c r="J147">
        <v>3.5</v>
      </c>
      <c r="K147">
        <v>3</v>
      </c>
      <c r="L147">
        <v>14</v>
      </c>
    </row>
    <row r="148" spans="1:12" hidden="1" x14ac:dyDescent="0.3">
      <c r="A148" s="3">
        <v>45312</v>
      </c>
      <c r="B148" t="s">
        <v>70</v>
      </c>
      <c r="C148" t="s">
        <v>99</v>
      </c>
      <c r="D148">
        <v>2</v>
      </c>
      <c r="E148">
        <v>6</v>
      </c>
      <c r="F148">
        <v>1</v>
      </c>
      <c r="G148">
        <v>4</v>
      </c>
      <c r="H148">
        <v>2</v>
      </c>
      <c r="I148">
        <v>1</v>
      </c>
      <c r="J148">
        <v>4</v>
      </c>
      <c r="K148">
        <v>3</v>
      </c>
      <c r="L148">
        <v>7</v>
      </c>
    </row>
    <row r="149" spans="1:12" hidden="1" x14ac:dyDescent="0.3">
      <c r="A149" s="3">
        <v>45312</v>
      </c>
      <c r="B149" t="s">
        <v>82</v>
      </c>
      <c r="C149" t="s">
        <v>73</v>
      </c>
      <c r="D149">
        <v>1</v>
      </c>
      <c r="E149">
        <v>8</v>
      </c>
      <c r="F149">
        <v>0</v>
      </c>
      <c r="G149">
        <v>3</v>
      </c>
      <c r="H149">
        <v>3</v>
      </c>
      <c r="I149">
        <v>3</v>
      </c>
      <c r="J149">
        <v>2.5</v>
      </c>
      <c r="K149">
        <v>2</v>
      </c>
      <c r="L149">
        <v>5</v>
      </c>
    </row>
    <row r="150" spans="1:12" hidden="1" x14ac:dyDescent="0.3">
      <c r="A150" s="3">
        <v>45312</v>
      </c>
      <c r="B150" t="s">
        <v>61</v>
      </c>
      <c r="C150" t="s">
        <v>95</v>
      </c>
      <c r="D150">
        <v>3</v>
      </c>
      <c r="E150">
        <v>10</v>
      </c>
      <c r="F150">
        <v>4</v>
      </c>
      <c r="G150">
        <v>3</v>
      </c>
      <c r="H150">
        <v>4</v>
      </c>
      <c r="I150">
        <v>2</v>
      </c>
      <c r="J150">
        <v>4</v>
      </c>
      <c r="K150">
        <v>3.5</v>
      </c>
      <c r="L150">
        <v>10</v>
      </c>
    </row>
    <row r="151" spans="1:12" hidden="1" x14ac:dyDescent="0.3">
      <c r="A151" s="3">
        <v>45313</v>
      </c>
      <c r="B151" t="s">
        <v>55</v>
      </c>
      <c r="C151" t="s">
        <v>53</v>
      </c>
      <c r="D151">
        <v>0</v>
      </c>
      <c r="E151">
        <v>4</v>
      </c>
      <c r="F151">
        <v>0</v>
      </c>
      <c r="G151">
        <v>2</v>
      </c>
      <c r="H151">
        <v>0</v>
      </c>
      <c r="I151">
        <v>2</v>
      </c>
      <c r="J151">
        <v>8.5</v>
      </c>
      <c r="K151">
        <v>6</v>
      </c>
      <c r="L151">
        <v>7</v>
      </c>
    </row>
    <row r="152" spans="1:12" hidden="1" x14ac:dyDescent="0.3">
      <c r="A152" s="3">
        <v>45313</v>
      </c>
      <c r="B152" t="s">
        <v>39</v>
      </c>
      <c r="C152" t="s">
        <v>32</v>
      </c>
      <c r="D152">
        <v>2</v>
      </c>
      <c r="E152">
        <v>12</v>
      </c>
      <c r="F152">
        <v>3</v>
      </c>
      <c r="G152">
        <v>0</v>
      </c>
      <c r="H152">
        <v>3</v>
      </c>
      <c r="I152">
        <v>8</v>
      </c>
      <c r="J152">
        <v>3.5</v>
      </c>
      <c r="K152">
        <v>3</v>
      </c>
      <c r="L152">
        <v>14</v>
      </c>
    </row>
    <row r="153" spans="1:12" hidden="1" x14ac:dyDescent="0.3">
      <c r="A153" s="3">
        <v>45313</v>
      </c>
      <c r="B153" t="s">
        <v>62</v>
      </c>
      <c r="C153" t="s">
        <v>96</v>
      </c>
      <c r="D153">
        <v>3</v>
      </c>
      <c r="E153">
        <v>10</v>
      </c>
      <c r="F153">
        <v>6</v>
      </c>
      <c r="G153">
        <v>3</v>
      </c>
      <c r="H153">
        <v>2</v>
      </c>
      <c r="I153">
        <v>2</v>
      </c>
      <c r="J153">
        <v>4</v>
      </c>
      <c r="K153">
        <v>3.5</v>
      </c>
      <c r="L153">
        <v>10</v>
      </c>
    </row>
    <row r="154" spans="1:12" hidden="1" x14ac:dyDescent="0.3">
      <c r="A154" s="3">
        <v>45313</v>
      </c>
      <c r="B154" t="s">
        <v>60</v>
      </c>
      <c r="C154" t="s">
        <v>94</v>
      </c>
      <c r="D154">
        <v>7</v>
      </c>
      <c r="E154">
        <v>10</v>
      </c>
      <c r="F154">
        <v>7</v>
      </c>
      <c r="G154">
        <v>0</v>
      </c>
      <c r="H154">
        <v>0</v>
      </c>
      <c r="I154">
        <v>10</v>
      </c>
      <c r="J154">
        <v>4</v>
      </c>
      <c r="K154">
        <v>3.5</v>
      </c>
      <c r="L154">
        <v>10</v>
      </c>
    </row>
    <row r="155" spans="1:12" hidden="1" x14ac:dyDescent="0.3">
      <c r="A155" s="3">
        <v>45313</v>
      </c>
      <c r="B155" t="s">
        <v>23</v>
      </c>
      <c r="C155" t="s">
        <v>28</v>
      </c>
      <c r="D155">
        <v>2</v>
      </c>
      <c r="E155">
        <v>9</v>
      </c>
      <c r="F155">
        <v>7</v>
      </c>
      <c r="G155">
        <v>1</v>
      </c>
      <c r="H155">
        <v>2</v>
      </c>
      <c r="I155">
        <v>1</v>
      </c>
      <c r="J155">
        <v>6.5</v>
      </c>
      <c r="K155">
        <v>5.5</v>
      </c>
      <c r="L155">
        <v>9</v>
      </c>
    </row>
    <row r="156" spans="1:12" hidden="1" x14ac:dyDescent="0.3">
      <c r="A156" s="3">
        <v>45313</v>
      </c>
      <c r="B156" t="s">
        <v>69</v>
      </c>
      <c r="C156" t="s">
        <v>98</v>
      </c>
      <c r="D156">
        <v>2</v>
      </c>
      <c r="E156">
        <v>6</v>
      </c>
      <c r="F156">
        <v>2</v>
      </c>
      <c r="G156">
        <v>1</v>
      </c>
      <c r="H156">
        <v>2</v>
      </c>
      <c r="I156">
        <v>3</v>
      </c>
      <c r="J156">
        <v>4</v>
      </c>
      <c r="K156">
        <v>3</v>
      </c>
      <c r="L156">
        <v>7</v>
      </c>
    </row>
    <row r="157" spans="1:12" hidden="1" x14ac:dyDescent="0.3">
      <c r="A157" s="3">
        <v>45314</v>
      </c>
      <c r="B157" t="s">
        <v>58</v>
      </c>
      <c r="C157" t="s">
        <v>76</v>
      </c>
      <c r="D157">
        <v>1</v>
      </c>
      <c r="E157">
        <v>15</v>
      </c>
      <c r="F157">
        <v>0</v>
      </c>
      <c r="G157">
        <v>6</v>
      </c>
      <c r="H157">
        <v>0</v>
      </c>
      <c r="I157">
        <v>10</v>
      </c>
      <c r="J157">
        <v>6</v>
      </c>
      <c r="K157">
        <v>5.5</v>
      </c>
      <c r="L157">
        <v>20</v>
      </c>
    </row>
    <row r="158" spans="1:12" hidden="1" x14ac:dyDescent="0.3">
      <c r="A158" s="3">
        <v>45314</v>
      </c>
      <c r="B158" t="s">
        <v>67</v>
      </c>
      <c r="C158" t="s">
        <v>46</v>
      </c>
      <c r="D158">
        <v>4</v>
      </c>
      <c r="E158">
        <v>8</v>
      </c>
      <c r="F158">
        <v>3</v>
      </c>
      <c r="G158">
        <v>2</v>
      </c>
      <c r="H158">
        <v>2</v>
      </c>
      <c r="I158">
        <v>5</v>
      </c>
      <c r="J158">
        <v>3.5</v>
      </c>
      <c r="K158">
        <v>3</v>
      </c>
      <c r="L158">
        <v>8</v>
      </c>
    </row>
    <row r="159" spans="1:12" hidden="1" x14ac:dyDescent="0.3">
      <c r="A159" s="3">
        <v>45314</v>
      </c>
      <c r="B159" t="s">
        <v>66</v>
      </c>
      <c r="C159" t="s">
        <v>45</v>
      </c>
      <c r="D159">
        <v>2</v>
      </c>
      <c r="E159">
        <v>8</v>
      </c>
      <c r="F159">
        <v>2</v>
      </c>
      <c r="G159">
        <v>1</v>
      </c>
      <c r="H159">
        <v>4</v>
      </c>
      <c r="I159">
        <v>3</v>
      </c>
      <c r="J159">
        <v>3.5</v>
      </c>
      <c r="K159">
        <v>3</v>
      </c>
      <c r="L159">
        <v>8</v>
      </c>
    </row>
    <row r="160" spans="1:12" hidden="1" x14ac:dyDescent="0.3">
      <c r="A160" s="3">
        <v>45315</v>
      </c>
      <c r="B160" t="s">
        <v>89</v>
      </c>
      <c r="C160" t="s">
        <v>103</v>
      </c>
      <c r="D160">
        <v>2</v>
      </c>
      <c r="E160">
        <v>8</v>
      </c>
      <c r="F160">
        <v>0</v>
      </c>
      <c r="G160">
        <v>6</v>
      </c>
      <c r="H160">
        <v>0</v>
      </c>
      <c r="I160">
        <v>4</v>
      </c>
      <c r="J160">
        <v>3.5</v>
      </c>
      <c r="K160">
        <v>3</v>
      </c>
      <c r="L160">
        <v>8</v>
      </c>
    </row>
    <row r="161" spans="1:12" hidden="1" x14ac:dyDescent="0.3">
      <c r="A161" s="3">
        <v>45315</v>
      </c>
      <c r="B161" t="s">
        <v>56</v>
      </c>
      <c r="C161" t="s">
        <v>54</v>
      </c>
      <c r="D161">
        <v>4</v>
      </c>
      <c r="E161">
        <v>8</v>
      </c>
      <c r="F161">
        <v>3</v>
      </c>
      <c r="G161">
        <v>4</v>
      </c>
      <c r="H161">
        <v>3</v>
      </c>
      <c r="I161">
        <v>2</v>
      </c>
      <c r="J161">
        <v>6</v>
      </c>
      <c r="K161">
        <v>5.5</v>
      </c>
      <c r="L161">
        <v>20</v>
      </c>
    </row>
    <row r="162" spans="1:12" hidden="1" x14ac:dyDescent="0.3">
      <c r="A162" s="3">
        <v>45315</v>
      </c>
      <c r="B162" t="s">
        <v>10</v>
      </c>
      <c r="C162" t="s">
        <v>18</v>
      </c>
      <c r="D162">
        <v>5</v>
      </c>
      <c r="E162">
        <v>10</v>
      </c>
      <c r="F162">
        <v>5</v>
      </c>
      <c r="G162">
        <v>4</v>
      </c>
      <c r="H162">
        <v>2</v>
      </c>
      <c r="I162">
        <v>4</v>
      </c>
      <c r="J162">
        <v>5.5</v>
      </c>
      <c r="K162">
        <v>4.5</v>
      </c>
      <c r="L162">
        <v>7</v>
      </c>
    </row>
    <row r="163" spans="1:12" hidden="1" x14ac:dyDescent="0.3">
      <c r="A163" s="3">
        <v>45315</v>
      </c>
      <c r="B163" t="s">
        <v>68</v>
      </c>
      <c r="C163" t="s">
        <v>43</v>
      </c>
      <c r="D163">
        <v>11</v>
      </c>
      <c r="E163">
        <v>15</v>
      </c>
      <c r="F163">
        <v>8</v>
      </c>
      <c r="G163">
        <v>8</v>
      </c>
      <c r="H163">
        <v>4</v>
      </c>
      <c r="I163">
        <v>6</v>
      </c>
      <c r="J163">
        <v>4</v>
      </c>
      <c r="K163">
        <v>3</v>
      </c>
      <c r="L163">
        <v>14</v>
      </c>
    </row>
    <row r="164" spans="1:12" hidden="1" x14ac:dyDescent="0.3">
      <c r="A164" s="3">
        <v>45315</v>
      </c>
      <c r="B164" t="s">
        <v>80</v>
      </c>
      <c r="C164" t="s">
        <v>49</v>
      </c>
      <c r="D164">
        <v>5</v>
      </c>
      <c r="E164">
        <v>8</v>
      </c>
      <c r="F164">
        <v>6</v>
      </c>
      <c r="G164">
        <v>3</v>
      </c>
      <c r="H164">
        <v>2</v>
      </c>
      <c r="I164">
        <v>2</v>
      </c>
      <c r="J164">
        <v>2.5</v>
      </c>
      <c r="K164">
        <v>2</v>
      </c>
      <c r="L164">
        <v>5</v>
      </c>
    </row>
    <row r="165" spans="1:12" hidden="1" x14ac:dyDescent="0.3">
      <c r="A165" s="3">
        <v>45316</v>
      </c>
      <c r="B165" t="s">
        <v>24</v>
      </c>
      <c r="C165" t="s">
        <v>29</v>
      </c>
      <c r="D165">
        <v>3</v>
      </c>
      <c r="E165">
        <v>8</v>
      </c>
      <c r="F165">
        <v>2</v>
      </c>
      <c r="G165">
        <v>5</v>
      </c>
      <c r="H165">
        <v>2</v>
      </c>
      <c r="I165">
        <v>2</v>
      </c>
      <c r="J165">
        <v>7.5</v>
      </c>
      <c r="K165">
        <v>5.5</v>
      </c>
      <c r="L165">
        <v>7</v>
      </c>
    </row>
    <row r="166" spans="1:12" hidden="1" x14ac:dyDescent="0.3">
      <c r="A166" s="3">
        <v>45316</v>
      </c>
      <c r="B166" t="s">
        <v>70</v>
      </c>
      <c r="C166" t="s">
        <v>99</v>
      </c>
      <c r="D166">
        <v>1</v>
      </c>
      <c r="E166">
        <v>6</v>
      </c>
      <c r="F166">
        <v>3</v>
      </c>
      <c r="G166">
        <v>0</v>
      </c>
      <c r="H166">
        <v>0</v>
      </c>
      <c r="I166">
        <v>4</v>
      </c>
      <c r="J166">
        <v>4</v>
      </c>
      <c r="K166">
        <v>3</v>
      </c>
      <c r="L166">
        <v>7</v>
      </c>
    </row>
    <row r="167" spans="1:12" hidden="1" x14ac:dyDescent="0.3">
      <c r="A167" s="3">
        <v>45316</v>
      </c>
      <c r="B167" t="s">
        <v>16</v>
      </c>
      <c r="C167" t="s">
        <v>77</v>
      </c>
      <c r="D167">
        <v>6</v>
      </c>
      <c r="E167">
        <v>10</v>
      </c>
      <c r="F167">
        <v>0</v>
      </c>
      <c r="G167">
        <v>6</v>
      </c>
      <c r="H167">
        <v>6</v>
      </c>
      <c r="I167">
        <v>4</v>
      </c>
      <c r="J167">
        <v>5.5</v>
      </c>
      <c r="K167">
        <v>4.5</v>
      </c>
      <c r="L167">
        <v>7</v>
      </c>
    </row>
    <row r="168" spans="1:12" hidden="1" x14ac:dyDescent="0.3">
      <c r="A168" s="3">
        <v>45316</v>
      </c>
      <c r="B168" t="s">
        <v>82</v>
      </c>
      <c r="C168" t="s">
        <v>73</v>
      </c>
      <c r="D168">
        <v>3</v>
      </c>
      <c r="E168">
        <v>8</v>
      </c>
      <c r="F168">
        <v>0</v>
      </c>
      <c r="G168">
        <v>2</v>
      </c>
      <c r="H168">
        <v>5</v>
      </c>
      <c r="I168">
        <v>4</v>
      </c>
      <c r="J168">
        <v>2.5</v>
      </c>
      <c r="K168">
        <v>2</v>
      </c>
      <c r="L168">
        <v>5</v>
      </c>
    </row>
    <row r="169" spans="1:12" hidden="1" x14ac:dyDescent="0.3">
      <c r="A169" s="3">
        <v>45317</v>
      </c>
      <c r="B169" t="s">
        <v>39</v>
      </c>
      <c r="C169" t="s">
        <v>32</v>
      </c>
      <c r="D169">
        <v>8</v>
      </c>
      <c r="E169">
        <v>12</v>
      </c>
      <c r="F169">
        <v>5</v>
      </c>
      <c r="G169">
        <v>8</v>
      </c>
      <c r="H169">
        <v>0</v>
      </c>
      <c r="I169">
        <v>7</v>
      </c>
      <c r="J169">
        <v>3.5</v>
      </c>
      <c r="K169">
        <v>3</v>
      </c>
      <c r="L169">
        <v>14</v>
      </c>
    </row>
    <row r="170" spans="1:12" hidden="1" x14ac:dyDescent="0.3">
      <c r="A170" s="3">
        <v>45317</v>
      </c>
      <c r="B170" t="s">
        <v>84</v>
      </c>
      <c r="C170" t="s">
        <v>101</v>
      </c>
      <c r="D170">
        <v>12</v>
      </c>
      <c r="E170">
        <v>8</v>
      </c>
      <c r="F170">
        <v>7</v>
      </c>
      <c r="G170">
        <v>8</v>
      </c>
      <c r="H170">
        <v>3</v>
      </c>
      <c r="I170">
        <v>2</v>
      </c>
      <c r="J170">
        <v>3.5</v>
      </c>
      <c r="K170">
        <v>3</v>
      </c>
      <c r="L170">
        <v>8</v>
      </c>
    </row>
    <row r="171" spans="1:12" hidden="1" x14ac:dyDescent="0.3">
      <c r="A171" s="3">
        <v>45317</v>
      </c>
      <c r="B171" t="s">
        <v>16</v>
      </c>
      <c r="C171" t="s">
        <v>77</v>
      </c>
      <c r="D171">
        <v>4</v>
      </c>
      <c r="E171">
        <v>10</v>
      </c>
      <c r="F171">
        <v>6</v>
      </c>
      <c r="G171">
        <v>5</v>
      </c>
      <c r="H171">
        <v>1</v>
      </c>
      <c r="I171">
        <v>2</v>
      </c>
      <c r="J171">
        <v>5.5</v>
      </c>
      <c r="K171">
        <v>4.5</v>
      </c>
      <c r="L171">
        <v>7</v>
      </c>
    </row>
    <row r="172" spans="1:12" hidden="1" x14ac:dyDescent="0.3">
      <c r="A172" s="3">
        <v>45317</v>
      </c>
      <c r="B172" t="s">
        <v>61</v>
      </c>
      <c r="C172" t="s">
        <v>95</v>
      </c>
      <c r="D172">
        <v>2</v>
      </c>
      <c r="E172">
        <v>10</v>
      </c>
      <c r="F172">
        <v>6</v>
      </c>
      <c r="G172">
        <v>0</v>
      </c>
      <c r="H172">
        <v>0</v>
      </c>
      <c r="I172">
        <v>6</v>
      </c>
      <c r="J172">
        <v>4</v>
      </c>
      <c r="K172">
        <v>3.5</v>
      </c>
      <c r="L172">
        <v>10</v>
      </c>
    </row>
    <row r="173" spans="1:12" hidden="1" x14ac:dyDescent="0.3">
      <c r="A173" s="3">
        <v>45318</v>
      </c>
      <c r="B173" t="s">
        <v>56</v>
      </c>
      <c r="C173" t="s">
        <v>54</v>
      </c>
      <c r="D173">
        <v>2</v>
      </c>
      <c r="E173">
        <v>8</v>
      </c>
      <c r="F173">
        <v>4</v>
      </c>
      <c r="G173">
        <v>0</v>
      </c>
      <c r="H173">
        <v>4</v>
      </c>
      <c r="I173">
        <v>2</v>
      </c>
      <c r="J173">
        <v>6</v>
      </c>
      <c r="K173">
        <v>5.5</v>
      </c>
      <c r="L173">
        <v>20</v>
      </c>
    </row>
    <row r="174" spans="1:12" hidden="1" x14ac:dyDescent="0.3">
      <c r="A174" s="3">
        <v>45318</v>
      </c>
      <c r="B174" t="s">
        <v>78</v>
      </c>
      <c r="C174" t="s">
        <v>74</v>
      </c>
      <c r="D174">
        <v>1</v>
      </c>
      <c r="E174">
        <v>6</v>
      </c>
      <c r="F174">
        <v>2</v>
      </c>
      <c r="G174">
        <v>2</v>
      </c>
      <c r="H174">
        <v>2</v>
      </c>
      <c r="I174">
        <v>1</v>
      </c>
      <c r="J174">
        <v>4</v>
      </c>
      <c r="K174">
        <v>3</v>
      </c>
      <c r="L174">
        <v>7</v>
      </c>
    </row>
    <row r="175" spans="1:12" hidden="1" x14ac:dyDescent="0.3">
      <c r="A175" s="3">
        <v>45318</v>
      </c>
      <c r="B175" t="s">
        <v>66</v>
      </c>
      <c r="C175" t="s">
        <v>45</v>
      </c>
      <c r="D175">
        <v>3</v>
      </c>
      <c r="E175">
        <v>8</v>
      </c>
      <c r="F175">
        <v>5</v>
      </c>
      <c r="G175">
        <v>1</v>
      </c>
      <c r="H175">
        <v>2</v>
      </c>
      <c r="I175">
        <v>3</v>
      </c>
      <c r="J175">
        <v>3.5</v>
      </c>
      <c r="K175">
        <v>3</v>
      </c>
      <c r="L175">
        <v>8</v>
      </c>
    </row>
    <row r="176" spans="1:12" hidden="1" x14ac:dyDescent="0.3">
      <c r="A176" s="3">
        <v>45318</v>
      </c>
      <c r="B176" t="s">
        <v>57</v>
      </c>
      <c r="C176" t="s">
        <v>75</v>
      </c>
      <c r="D176">
        <v>5</v>
      </c>
      <c r="E176">
        <v>8</v>
      </c>
      <c r="F176">
        <v>6</v>
      </c>
      <c r="G176">
        <v>1</v>
      </c>
      <c r="H176">
        <v>0</v>
      </c>
      <c r="I176">
        <v>6</v>
      </c>
      <c r="J176">
        <v>6</v>
      </c>
      <c r="K176">
        <v>5.5</v>
      </c>
      <c r="L176">
        <v>20</v>
      </c>
    </row>
    <row r="177" spans="1:12" hidden="1" x14ac:dyDescent="0.3">
      <c r="A177" s="3">
        <v>45318</v>
      </c>
      <c r="B177" t="s">
        <v>20</v>
      </c>
      <c r="C177" t="s">
        <v>25</v>
      </c>
      <c r="D177">
        <v>2</v>
      </c>
      <c r="E177">
        <v>10</v>
      </c>
      <c r="F177">
        <v>5</v>
      </c>
      <c r="G177">
        <v>2</v>
      </c>
      <c r="H177">
        <v>0</v>
      </c>
      <c r="I177">
        <v>5</v>
      </c>
      <c r="J177">
        <v>4.5</v>
      </c>
      <c r="K177">
        <v>4</v>
      </c>
      <c r="L177">
        <v>10</v>
      </c>
    </row>
    <row r="178" spans="1:12" hidden="1" x14ac:dyDescent="0.3">
      <c r="A178" s="3">
        <v>45318</v>
      </c>
      <c r="B178" t="s">
        <v>60</v>
      </c>
      <c r="C178" t="s">
        <v>94</v>
      </c>
      <c r="D178">
        <v>10</v>
      </c>
      <c r="E178">
        <v>10</v>
      </c>
      <c r="F178">
        <v>2</v>
      </c>
      <c r="G178">
        <v>10</v>
      </c>
      <c r="H178">
        <v>3</v>
      </c>
      <c r="I178">
        <v>5</v>
      </c>
      <c r="J178">
        <v>4</v>
      </c>
      <c r="K178">
        <v>3.5</v>
      </c>
      <c r="L178">
        <v>10</v>
      </c>
    </row>
    <row r="179" spans="1:12" hidden="1" x14ac:dyDescent="0.3">
      <c r="A179" s="3">
        <v>45318</v>
      </c>
      <c r="B179" t="s">
        <v>37</v>
      </c>
      <c r="C179" t="s">
        <v>51</v>
      </c>
      <c r="D179">
        <v>5</v>
      </c>
      <c r="E179">
        <v>12</v>
      </c>
      <c r="F179">
        <v>6</v>
      </c>
      <c r="G179">
        <v>0</v>
      </c>
      <c r="H179">
        <v>3</v>
      </c>
      <c r="I179">
        <v>8</v>
      </c>
      <c r="J179">
        <v>3.5</v>
      </c>
      <c r="K179">
        <v>3</v>
      </c>
      <c r="L179">
        <v>14</v>
      </c>
    </row>
    <row r="180" spans="1:12" hidden="1" x14ac:dyDescent="0.3">
      <c r="A180" s="3">
        <v>45318</v>
      </c>
      <c r="B180" t="s">
        <v>57</v>
      </c>
      <c r="C180" t="s">
        <v>75</v>
      </c>
      <c r="D180">
        <v>6</v>
      </c>
      <c r="E180">
        <v>8</v>
      </c>
      <c r="F180">
        <v>6</v>
      </c>
      <c r="G180">
        <v>0</v>
      </c>
      <c r="H180">
        <v>3</v>
      </c>
      <c r="I180">
        <v>5</v>
      </c>
      <c r="J180">
        <v>6</v>
      </c>
      <c r="K180">
        <v>5.5</v>
      </c>
      <c r="L180">
        <v>20</v>
      </c>
    </row>
    <row r="181" spans="1:12" hidden="1" x14ac:dyDescent="0.3">
      <c r="A181" s="3">
        <v>45318</v>
      </c>
      <c r="B181" t="s">
        <v>81</v>
      </c>
      <c r="C181" t="s">
        <v>50</v>
      </c>
      <c r="D181">
        <v>3</v>
      </c>
      <c r="E181">
        <v>8</v>
      </c>
      <c r="F181">
        <v>2</v>
      </c>
      <c r="G181">
        <v>2</v>
      </c>
      <c r="H181">
        <v>2</v>
      </c>
      <c r="I181">
        <v>5</v>
      </c>
      <c r="J181">
        <v>2.5</v>
      </c>
      <c r="K181">
        <v>2</v>
      </c>
      <c r="L181">
        <v>5</v>
      </c>
    </row>
    <row r="182" spans="1:12" x14ac:dyDescent="0.3">
      <c r="A182" s="3">
        <v>45318</v>
      </c>
      <c r="B182" t="s">
        <v>34</v>
      </c>
      <c r="C182" t="s">
        <v>30</v>
      </c>
      <c r="D182">
        <v>1</v>
      </c>
      <c r="E182">
        <v>6</v>
      </c>
      <c r="F182">
        <v>3</v>
      </c>
      <c r="G182">
        <v>1</v>
      </c>
      <c r="H182">
        <v>0</v>
      </c>
      <c r="I182">
        <v>3</v>
      </c>
      <c r="J182">
        <v>3.5</v>
      </c>
      <c r="K182">
        <v>3</v>
      </c>
      <c r="L182">
        <v>10</v>
      </c>
    </row>
    <row r="183" spans="1:12" hidden="1" x14ac:dyDescent="0.3">
      <c r="A183" s="3">
        <v>45319</v>
      </c>
      <c r="B183" t="s">
        <v>62</v>
      </c>
      <c r="C183" t="s">
        <v>96</v>
      </c>
      <c r="D183">
        <v>2</v>
      </c>
      <c r="E183">
        <v>10</v>
      </c>
      <c r="F183">
        <v>4</v>
      </c>
      <c r="G183">
        <v>4</v>
      </c>
      <c r="H183">
        <v>0</v>
      </c>
      <c r="I183">
        <v>4</v>
      </c>
      <c r="J183">
        <v>4</v>
      </c>
      <c r="K183">
        <v>3.5</v>
      </c>
      <c r="L183">
        <v>10</v>
      </c>
    </row>
    <row r="184" spans="1:12" hidden="1" x14ac:dyDescent="0.3">
      <c r="A184" s="3">
        <v>45319</v>
      </c>
      <c r="B184" t="s">
        <v>88</v>
      </c>
      <c r="C184" t="s">
        <v>102</v>
      </c>
      <c r="D184">
        <v>0</v>
      </c>
      <c r="E184">
        <v>8</v>
      </c>
      <c r="F184">
        <v>0</v>
      </c>
      <c r="G184">
        <v>2</v>
      </c>
      <c r="H184">
        <v>1</v>
      </c>
      <c r="I184">
        <v>5</v>
      </c>
      <c r="J184">
        <v>3.5</v>
      </c>
      <c r="K184">
        <v>3</v>
      </c>
      <c r="L184">
        <v>8</v>
      </c>
    </row>
    <row r="185" spans="1:12" hidden="1" x14ac:dyDescent="0.3">
      <c r="A185" s="3">
        <v>45319</v>
      </c>
      <c r="B185" t="s">
        <v>62</v>
      </c>
      <c r="C185" t="s">
        <v>96</v>
      </c>
      <c r="D185">
        <v>4</v>
      </c>
      <c r="E185">
        <v>10</v>
      </c>
      <c r="F185">
        <v>5</v>
      </c>
      <c r="G185">
        <v>3</v>
      </c>
      <c r="H185">
        <v>0</v>
      </c>
      <c r="I185">
        <v>6</v>
      </c>
      <c r="J185">
        <v>4</v>
      </c>
      <c r="K185">
        <v>3.5</v>
      </c>
      <c r="L185">
        <v>10</v>
      </c>
    </row>
    <row r="186" spans="1:12" hidden="1" x14ac:dyDescent="0.3">
      <c r="A186" s="3">
        <v>45319</v>
      </c>
      <c r="B186" t="s">
        <v>83</v>
      </c>
      <c r="C186" t="s">
        <v>100</v>
      </c>
      <c r="D186">
        <v>12</v>
      </c>
      <c r="E186">
        <v>10</v>
      </c>
      <c r="F186">
        <v>6</v>
      </c>
      <c r="G186">
        <v>7</v>
      </c>
      <c r="H186">
        <v>0</v>
      </c>
      <c r="I186">
        <v>9</v>
      </c>
      <c r="J186">
        <v>4.5</v>
      </c>
      <c r="K186">
        <v>4</v>
      </c>
      <c r="L186">
        <v>10</v>
      </c>
    </row>
    <row r="187" spans="1:12" hidden="1" x14ac:dyDescent="0.3">
      <c r="A187" s="3">
        <v>45319</v>
      </c>
      <c r="B187" t="s">
        <v>22</v>
      </c>
      <c r="C187" t="s">
        <v>26</v>
      </c>
      <c r="D187">
        <v>4</v>
      </c>
      <c r="E187">
        <v>12</v>
      </c>
      <c r="F187">
        <v>2</v>
      </c>
      <c r="G187">
        <v>6</v>
      </c>
      <c r="H187">
        <v>0</v>
      </c>
      <c r="I187">
        <v>8</v>
      </c>
      <c r="J187">
        <v>3.5</v>
      </c>
      <c r="K187">
        <v>3</v>
      </c>
      <c r="L187">
        <v>14</v>
      </c>
    </row>
    <row r="188" spans="1:12" hidden="1" x14ac:dyDescent="0.3">
      <c r="A188" s="3">
        <v>45319</v>
      </c>
      <c r="B188" t="s">
        <v>67</v>
      </c>
      <c r="C188" t="s">
        <v>46</v>
      </c>
      <c r="D188">
        <v>5</v>
      </c>
      <c r="E188">
        <v>8</v>
      </c>
      <c r="F188">
        <v>7</v>
      </c>
      <c r="G188">
        <v>0</v>
      </c>
      <c r="H188">
        <v>2</v>
      </c>
      <c r="I188">
        <v>4</v>
      </c>
      <c r="J188">
        <v>3.5</v>
      </c>
      <c r="K188">
        <v>3</v>
      </c>
      <c r="L188">
        <v>8</v>
      </c>
    </row>
    <row r="189" spans="1:12" hidden="1" x14ac:dyDescent="0.3">
      <c r="A189" s="3">
        <v>45319</v>
      </c>
      <c r="B189" t="s">
        <v>21</v>
      </c>
      <c r="C189" t="s">
        <v>27</v>
      </c>
      <c r="D189">
        <v>5</v>
      </c>
      <c r="E189">
        <v>8</v>
      </c>
      <c r="F189">
        <v>5</v>
      </c>
      <c r="G189">
        <v>3</v>
      </c>
      <c r="H189">
        <v>0</v>
      </c>
      <c r="I189">
        <v>5</v>
      </c>
      <c r="J189">
        <v>4</v>
      </c>
      <c r="K189">
        <v>3</v>
      </c>
      <c r="L189">
        <v>14</v>
      </c>
    </row>
    <row r="190" spans="1:12" hidden="1" x14ac:dyDescent="0.3">
      <c r="A190" s="3">
        <v>45319</v>
      </c>
      <c r="B190" t="s">
        <v>62</v>
      </c>
      <c r="C190" t="s">
        <v>96</v>
      </c>
      <c r="D190">
        <v>6</v>
      </c>
      <c r="E190">
        <v>10</v>
      </c>
      <c r="F190">
        <v>8</v>
      </c>
      <c r="G190">
        <v>5</v>
      </c>
      <c r="H190">
        <v>0</v>
      </c>
      <c r="I190">
        <v>3</v>
      </c>
      <c r="J190">
        <v>4</v>
      </c>
      <c r="K190">
        <v>3.5</v>
      </c>
      <c r="L190">
        <v>10</v>
      </c>
    </row>
    <row r="191" spans="1:12" hidden="1" x14ac:dyDescent="0.3">
      <c r="A191" s="3">
        <v>45319</v>
      </c>
      <c r="B191" t="s">
        <v>88</v>
      </c>
      <c r="C191" t="s">
        <v>102</v>
      </c>
      <c r="D191">
        <v>5</v>
      </c>
      <c r="E191">
        <v>8</v>
      </c>
      <c r="F191">
        <v>6</v>
      </c>
      <c r="G191">
        <v>2</v>
      </c>
      <c r="H191">
        <v>3</v>
      </c>
      <c r="I191">
        <v>2</v>
      </c>
      <c r="J191">
        <v>3.5</v>
      </c>
      <c r="K191">
        <v>3</v>
      </c>
      <c r="L191">
        <v>8</v>
      </c>
    </row>
    <row r="192" spans="1:12" hidden="1" x14ac:dyDescent="0.3">
      <c r="A192" s="3">
        <v>45320</v>
      </c>
      <c r="B192" t="s">
        <v>92</v>
      </c>
      <c r="C192" t="s">
        <v>91</v>
      </c>
      <c r="D192">
        <v>4</v>
      </c>
      <c r="E192">
        <v>6</v>
      </c>
      <c r="F192">
        <v>6</v>
      </c>
      <c r="G192">
        <v>2</v>
      </c>
      <c r="H192">
        <v>0</v>
      </c>
      <c r="I192">
        <v>2</v>
      </c>
      <c r="J192">
        <v>4.5</v>
      </c>
      <c r="K192">
        <v>4</v>
      </c>
      <c r="L192">
        <v>14</v>
      </c>
    </row>
    <row r="193" spans="1:12" hidden="1" x14ac:dyDescent="0.3">
      <c r="A193" s="3">
        <v>45320</v>
      </c>
      <c r="B193" t="s">
        <v>55</v>
      </c>
      <c r="C193" t="s">
        <v>53</v>
      </c>
      <c r="D193">
        <v>2</v>
      </c>
      <c r="E193">
        <v>4</v>
      </c>
      <c r="F193">
        <v>1</v>
      </c>
      <c r="G193">
        <v>2</v>
      </c>
      <c r="H193">
        <v>1</v>
      </c>
      <c r="I193">
        <v>2</v>
      </c>
      <c r="J193">
        <v>8.5</v>
      </c>
      <c r="K193">
        <v>6</v>
      </c>
      <c r="L193">
        <v>7</v>
      </c>
    </row>
    <row r="194" spans="1:12" hidden="1" x14ac:dyDescent="0.3">
      <c r="A194" s="3">
        <v>45320</v>
      </c>
      <c r="B194" t="s">
        <v>59</v>
      </c>
      <c r="C194" t="s">
        <v>93</v>
      </c>
      <c r="D194">
        <v>11</v>
      </c>
      <c r="E194">
        <v>10</v>
      </c>
      <c r="F194">
        <v>2</v>
      </c>
      <c r="G194">
        <v>5</v>
      </c>
      <c r="H194">
        <v>3</v>
      </c>
      <c r="I194">
        <v>11</v>
      </c>
      <c r="J194">
        <v>4</v>
      </c>
      <c r="K194">
        <v>3.5</v>
      </c>
      <c r="L194">
        <v>10</v>
      </c>
    </row>
    <row r="195" spans="1:12" hidden="1" x14ac:dyDescent="0.3">
      <c r="A195" s="3">
        <v>45320</v>
      </c>
      <c r="B195" t="s">
        <v>60</v>
      </c>
      <c r="C195" t="s">
        <v>94</v>
      </c>
      <c r="D195">
        <v>5</v>
      </c>
      <c r="E195">
        <v>10</v>
      </c>
      <c r="F195">
        <v>2</v>
      </c>
      <c r="G195">
        <v>4</v>
      </c>
      <c r="H195">
        <v>1</v>
      </c>
      <c r="I195">
        <v>8</v>
      </c>
      <c r="J195">
        <v>4</v>
      </c>
      <c r="K195">
        <v>3.5</v>
      </c>
      <c r="L195">
        <v>10</v>
      </c>
    </row>
    <row r="196" spans="1:12" hidden="1" x14ac:dyDescent="0.3">
      <c r="A196" s="3">
        <v>45320</v>
      </c>
      <c r="B196" t="s">
        <v>19</v>
      </c>
      <c r="C196" t="s">
        <v>17</v>
      </c>
      <c r="D196">
        <v>4</v>
      </c>
      <c r="E196">
        <v>10</v>
      </c>
      <c r="F196">
        <v>6</v>
      </c>
      <c r="G196">
        <v>5</v>
      </c>
      <c r="H196">
        <v>2</v>
      </c>
      <c r="I196">
        <v>1</v>
      </c>
      <c r="J196">
        <v>4.5</v>
      </c>
      <c r="K196">
        <v>4</v>
      </c>
      <c r="L196">
        <v>10</v>
      </c>
    </row>
    <row r="197" spans="1:12" hidden="1" x14ac:dyDescent="0.3">
      <c r="A197" s="3">
        <v>45320</v>
      </c>
      <c r="B197" t="s">
        <v>84</v>
      </c>
      <c r="C197" t="s">
        <v>101</v>
      </c>
      <c r="D197">
        <v>2</v>
      </c>
      <c r="E197">
        <v>8</v>
      </c>
      <c r="F197">
        <v>2</v>
      </c>
      <c r="G197">
        <v>4</v>
      </c>
      <c r="H197">
        <v>2</v>
      </c>
      <c r="I197">
        <v>2</v>
      </c>
      <c r="J197">
        <v>3.5</v>
      </c>
      <c r="K197">
        <v>3</v>
      </c>
      <c r="L197">
        <v>8</v>
      </c>
    </row>
    <row r="198" spans="1:12" hidden="1" x14ac:dyDescent="0.3">
      <c r="A198" s="3">
        <v>45321</v>
      </c>
      <c r="B198" t="s">
        <v>41</v>
      </c>
      <c r="C198" t="s">
        <v>86</v>
      </c>
      <c r="D198">
        <v>6</v>
      </c>
      <c r="E198">
        <v>15</v>
      </c>
      <c r="F198">
        <v>13</v>
      </c>
      <c r="G198">
        <v>2</v>
      </c>
      <c r="H198">
        <v>4</v>
      </c>
      <c r="I198">
        <v>2</v>
      </c>
      <c r="J198">
        <v>3</v>
      </c>
      <c r="K198">
        <v>2.5</v>
      </c>
      <c r="L198">
        <v>14</v>
      </c>
    </row>
    <row r="199" spans="1:12" hidden="1" x14ac:dyDescent="0.3">
      <c r="A199" s="3">
        <v>45321</v>
      </c>
      <c r="B199" t="s">
        <v>19</v>
      </c>
      <c r="C199" t="s">
        <v>17</v>
      </c>
      <c r="D199">
        <v>1</v>
      </c>
      <c r="E199">
        <v>10</v>
      </c>
      <c r="F199">
        <v>2</v>
      </c>
      <c r="G199">
        <v>0</v>
      </c>
      <c r="H199">
        <v>5</v>
      </c>
      <c r="I199">
        <v>4</v>
      </c>
      <c r="J199">
        <v>4.5</v>
      </c>
      <c r="K199">
        <v>4</v>
      </c>
      <c r="L199">
        <v>10</v>
      </c>
    </row>
    <row r="200" spans="1:12" hidden="1" x14ac:dyDescent="0.3">
      <c r="A200" s="3">
        <v>45321</v>
      </c>
      <c r="B200" t="s">
        <v>72</v>
      </c>
      <c r="C200" t="s">
        <v>48</v>
      </c>
      <c r="D200">
        <v>3</v>
      </c>
      <c r="E200">
        <v>6</v>
      </c>
      <c r="F200">
        <v>3</v>
      </c>
      <c r="G200">
        <v>1</v>
      </c>
      <c r="H200">
        <v>2</v>
      </c>
      <c r="I200">
        <v>3</v>
      </c>
      <c r="J200">
        <v>4</v>
      </c>
      <c r="K200">
        <v>3</v>
      </c>
      <c r="L200">
        <v>7</v>
      </c>
    </row>
    <row r="201" spans="1:12" hidden="1" x14ac:dyDescent="0.3">
      <c r="A201" s="3">
        <v>45321</v>
      </c>
      <c r="B201" t="s">
        <v>64</v>
      </c>
      <c r="C201" t="s">
        <v>42</v>
      </c>
      <c r="D201">
        <v>7</v>
      </c>
      <c r="E201">
        <v>8</v>
      </c>
      <c r="F201">
        <v>2</v>
      </c>
      <c r="G201">
        <v>3</v>
      </c>
      <c r="H201">
        <v>1</v>
      </c>
      <c r="I201">
        <v>9</v>
      </c>
      <c r="J201">
        <v>3.5</v>
      </c>
      <c r="K201">
        <v>3</v>
      </c>
      <c r="L201">
        <v>8</v>
      </c>
    </row>
    <row r="202" spans="1:12" hidden="1" x14ac:dyDescent="0.3">
      <c r="A202" s="3">
        <v>45321</v>
      </c>
      <c r="B202" t="s">
        <v>80</v>
      </c>
      <c r="C202" t="s">
        <v>49</v>
      </c>
      <c r="D202">
        <v>2</v>
      </c>
      <c r="E202">
        <v>8</v>
      </c>
      <c r="F202">
        <v>4</v>
      </c>
      <c r="G202">
        <v>3</v>
      </c>
      <c r="H202">
        <v>2</v>
      </c>
      <c r="I202">
        <v>1</v>
      </c>
      <c r="J202">
        <v>2.5</v>
      </c>
      <c r="K202">
        <v>2</v>
      </c>
      <c r="L202">
        <v>5</v>
      </c>
    </row>
    <row r="203" spans="1:12" hidden="1" x14ac:dyDescent="0.3">
      <c r="A203" s="3">
        <v>45321</v>
      </c>
      <c r="B203" t="s">
        <v>62</v>
      </c>
      <c r="C203" t="s">
        <v>96</v>
      </c>
      <c r="D203">
        <v>3</v>
      </c>
      <c r="E203">
        <v>10</v>
      </c>
      <c r="F203">
        <v>7</v>
      </c>
      <c r="G203">
        <v>3</v>
      </c>
      <c r="H203">
        <v>2</v>
      </c>
      <c r="I203">
        <v>1</v>
      </c>
      <c r="J203">
        <v>4</v>
      </c>
      <c r="K203">
        <v>3.5</v>
      </c>
      <c r="L203">
        <v>10</v>
      </c>
    </row>
    <row r="204" spans="1:12" hidden="1" x14ac:dyDescent="0.3">
      <c r="A204" s="3">
        <v>45321</v>
      </c>
      <c r="B204" t="s">
        <v>24</v>
      </c>
      <c r="C204" t="s">
        <v>29</v>
      </c>
      <c r="D204">
        <v>2</v>
      </c>
      <c r="E204">
        <v>8</v>
      </c>
      <c r="F204">
        <v>5</v>
      </c>
      <c r="G204">
        <v>3</v>
      </c>
      <c r="H204">
        <v>1</v>
      </c>
      <c r="I204">
        <v>1</v>
      </c>
      <c r="J204">
        <v>7.5</v>
      </c>
      <c r="K204">
        <v>5.5</v>
      </c>
      <c r="L204">
        <v>7</v>
      </c>
    </row>
    <row r="205" spans="1:12" hidden="1" x14ac:dyDescent="0.3">
      <c r="A205" s="3">
        <v>45321</v>
      </c>
      <c r="B205" t="s">
        <v>19</v>
      </c>
      <c r="C205" t="s">
        <v>17</v>
      </c>
      <c r="D205">
        <v>4</v>
      </c>
      <c r="E205">
        <v>10</v>
      </c>
      <c r="F205">
        <v>1</v>
      </c>
      <c r="G205">
        <v>8</v>
      </c>
      <c r="H205">
        <v>3</v>
      </c>
      <c r="I205">
        <v>2</v>
      </c>
      <c r="J205">
        <v>4.5</v>
      </c>
      <c r="K205">
        <v>4</v>
      </c>
      <c r="L205">
        <v>10</v>
      </c>
    </row>
    <row r="206" spans="1:12" hidden="1" x14ac:dyDescent="0.3">
      <c r="A206" s="3">
        <v>45322</v>
      </c>
      <c r="B206" t="s">
        <v>72</v>
      </c>
      <c r="C206" t="s">
        <v>48</v>
      </c>
      <c r="D206">
        <v>3</v>
      </c>
      <c r="E206">
        <v>6</v>
      </c>
      <c r="F206">
        <v>3</v>
      </c>
      <c r="G206">
        <v>2</v>
      </c>
      <c r="H206">
        <v>2</v>
      </c>
      <c r="I206">
        <v>2</v>
      </c>
      <c r="J206">
        <v>4</v>
      </c>
      <c r="K206">
        <v>3</v>
      </c>
      <c r="L206">
        <v>7</v>
      </c>
    </row>
    <row r="207" spans="1:12" hidden="1" x14ac:dyDescent="0.3">
      <c r="A207" s="3">
        <v>45322</v>
      </c>
      <c r="B207" t="s">
        <v>90</v>
      </c>
      <c r="C207" t="s">
        <v>87</v>
      </c>
      <c r="D207">
        <v>5</v>
      </c>
      <c r="E207">
        <v>12</v>
      </c>
      <c r="F207">
        <v>1</v>
      </c>
      <c r="G207">
        <v>1</v>
      </c>
      <c r="H207">
        <v>0</v>
      </c>
      <c r="I207">
        <v>15</v>
      </c>
      <c r="J207">
        <v>4.5</v>
      </c>
      <c r="K207">
        <v>4</v>
      </c>
      <c r="L207">
        <v>14</v>
      </c>
    </row>
    <row r="208" spans="1:12" hidden="1" x14ac:dyDescent="0.3">
      <c r="A208" s="3">
        <v>45322</v>
      </c>
      <c r="B208" t="s">
        <v>72</v>
      </c>
      <c r="C208" t="s">
        <v>48</v>
      </c>
      <c r="D208">
        <v>2</v>
      </c>
      <c r="E208">
        <v>6</v>
      </c>
      <c r="F208">
        <v>3</v>
      </c>
      <c r="G208">
        <v>2</v>
      </c>
      <c r="H208">
        <v>0</v>
      </c>
      <c r="I208">
        <v>3</v>
      </c>
      <c r="J208">
        <v>4</v>
      </c>
      <c r="K208">
        <v>3</v>
      </c>
      <c r="L208">
        <v>7</v>
      </c>
    </row>
    <row r="209" spans="1:12" hidden="1" x14ac:dyDescent="0.3">
      <c r="A209" s="3">
        <v>45322</v>
      </c>
      <c r="B209" t="s">
        <v>21</v>
      </c>
      <c r="C209" t="s">
        <v>27</v>
      </c>
      <c r="D209">
        <v>5</v>
      </c>
      <c r="E209">
        <v>8</v>
      </c>
      <c r="F209">
        <v>6</v>
      </c>
      <c r="G209">
        <v>3</v>
      </c>
      <c r="H209">
        <v>0</v>
      </c>
      <c r="I209">
        <v>4</v>
      </c>
      <c r="J209">
        <v>4</v>
      </c>
      <c r="K209">
        <v>3</v>
      </c>
      <c r="L209">
        <v>14</v>
      </c>
    </row>
    <row r="210" spans="1:12" hidden="1" x14ac:dyDescent="0.3">
      <c r="A210" s="3">
        <v>45322</v>
      </c>
      <c r="B210" t="s">
        <v>38</v>
      </c>
      <c r="C210" t="s">
        <v>52</v>
      </c>
      <c r="D210">
        <v>7</v>
      </c>
      <c r="E210">
        <v>12</v>
      </c>
      <c r="F210">
        <v>2</v>
      </c>
      <c r="G210">
        <v>7</v>
      </c>
      <c r="H210">
        <v>3</v>
      </c>
      <c r="I210">
        <v>7</v>
      </c>
      <c r="J210">
        <v>3.5</v>
      </c>
      <c r="K210">
        <v>3</v>
      </c>
      <c r="L210">
        <v>14</v>
      </c>
    </row>
    <row r="211" spans="1:12" hidden="1" x14ac:dyDescent="0.3">
      <c r="A211" s="3">
        <v>45322</v>
      </c>
      <c r="B211" t="s">
        <v>60</v>
      </c>
      <c r="C211" t="s">
        <v>94</v>
      </c>
      <c r="D211">
        <v>8</v>
      </c>
      <c r="E211">
        <v>10</v>
      </c>
      <c r="F211">
        <v>2</v>
      </c>
      <c r="G211">
        <v>7</v>
      </c>
      <c r="H211">
        <v>4</v>
      </c>
      <c r="I211">
        <v>5</v>
      </c>
      <c r="J211">
        <v>4</v>
      </c>
      <c r="K211">
        <v>3.5</v>
      </c>
      <c r="L211">
        <v>10</v>
      </c>
    </row>
    <row r="212" spans="1:12" x14ac:dyDescent="0.3">
      <c r="A212" s="3">
        <v>45323</v>
      </c>
      <c r="B212" t="s">
        <v>34</v>
      </c>
      <c r="C212" t="s">
        <v>30</v>
      </c>
      <c r="D212">
        <v>3</v>
      </c>
      <c r="E212">
        <v>6</v>
      </c>
      <c r="F212">
        <v>5</v>
      </c>
      <c r="G212">
        <v>0</v>
      </c>
      <c r="H212">
        <v>1</v>
      </c>
      <c r="I212">
        <v>3</v>
      </c>
      <c r="J212">
        <v>3.5</v>
      </c>
      <c r="K212">
        <v>3</v>
      </c>
      <c r="L212">
        <v>10</v>
      </c>
    </row>
    <row r="213" spans="1:12" hidden="1" x14ac:dyDescent="0.3">
      <c r="A213" s="3">
        <v>45323</v>
      </c>
      <c r="B213" t="s">
        <v>61</v>
      </c>
      <c r="C213" t="s">
        <v>95</v>
      </c>
      <c r="D213">
        <v>6</v>
      </c>
      <c r="E213">
        <v>10</v>
      </c>
      <c r="F213">
        <v>3</v>
      </c>
      <c r="G213">
        <v>1</v>
      </c>
      <c r="H213">
        <v>0</v>
      </c>
      <c r="I213">
        <v>12</v>
      </c>
      <c r="J213">
        <v>4</v>
      </c>
      <c r="K213">
        <v>3.5</v>
      </c>
      <c r="L213">
        <v>10</v>
      </c>
    </row>
    <row r="214" spans="1:12" hidden="1" x14ac:dyDescent="0.3">
      <c r="A214" s="3">
        <v>45323</v>
      </c>
      <c r="B214" t="s">
        <v>61</v>
      </c>
      <c r="C214" t="s">
        <v>95</v>
      </c>
      <c r="D214">
        <v>12</v>
      </c>
      <c r="E214">
        <v>10</v>
      </c>
      <c r="F214">
        <v>9</v>
      </c>
      <c r="G214">
        <v>6</v>
      </c>
      <c r="H214">
        <v>3</v>
      </c>
      <c r="I214">
        <v>4</v>
      </c>
      <c r="J214">
        <v>4</v>
      </c>
      <c r="K214">
        <v>3.5</v>
      </c>
      <c r="L214">
        <v>10</v>
      </c>
    </row>
    <row r="215" spans="1:12" hidden="1" x14ac:dyDescent="0.3">
      <c r="A215" s="3">
        <v>45323</v>
      </c>
      <c r="B215" t="s">
        <v>81</v>
      </c>
      <c r="C215" t="s">
        <v>50</v>
      </c>
      <c r="D215">
        <v>5</v>
      </c>
      <c r="E215">
        <v>8</v>
      </c>
      <c r="F215">
        <v>5</v>
      </c>
      <c r="G215">
        <v>0</v>
      </c>
      <c r="H215">
        <v>5</v>
      </c>
      <c r="I215">
        <v>3</v>
      </c>
      <c r="J215">
        <v>2.5</v>
      </c>
      <c r="K215">
        <v>2</v>
      </c>
      <c r="L215">
        <v>5</v>
      </c>
    </row>
    <row r="216" spans="1:12" hidden="1" x14ac:dyDescent="0.3">
      <c r="A216" s="3">
        <v>45324</v>
      </c>
      <c r="B216" t="s">
        <v>89</v>
      </c>
      <c r="C216" t="s">
        <v>103</v>
      </c>
      <c r="D216">
        <v>4</v>
      </c>
      <c r="E216">
        <v>8</v>
      </c>
      <c r="F216">
        <v>5</v>
      </c>
      <c r="G216">
        <v>4</v>
      </c>
      <c r="H216">
        <v>1</v>
      </c>
      <c r="I216">
        <v>2</v>
      </c>
      <c r="J216">
        <v>3.5</v>
      </c>
      <c r="K216">
        <v>3</v>
      </c>
      <c r="L216">
        <v>8</v>
      </c>
    </row>
    <row r="217" spans="1:12" hidden="1" x14ac:dyDescent="0.3">
      <c r="A217" s="3">
        <v>45324</v>
      </c>
      <c r="B217" t="s">
        <v>66</v>
      </c>
      <c r="C217" t="s">
        <v>45</v>
      </c>
      <c r="D217">
        <v>3</v>
      </c>
      <c r="E217">
        <v>8</v>
      </c>
      <c r="F217">
        <v>2</v>
      </c>
      <c r="G217">
        <v>4</v>
      </c>
      <c r="H217">
        <v>3</v>
      </c>
      <c r="I217">
        <v>2</v>
      </c>
      <c r="J217">
        <v>3.5</v>
      </c>
      <c r="K217">
        <v>3</v>
      </c>
      <c r="L217">
        <v>8</v>
      </c>
    </row>
    <row r="218" spans="1:12" hidden="1" x14ac:dyDescent="0.3">
      <c r="A218" s="3">
        <v>45324</v>
      </c>
      <c r="B218" t="s">
        <v>64</v>
      </c>
      <c r="C218" t="s">
        <v>42</v>
      </c>
      <c r="D218">
        <v>9</v>
      </c>
      <c r="E218">
        <v>8</v>
      </c>
      <c r="F218">
        <v>6</v>
      </c>
      <c r="G218">
        <v>3</v>
      </c>
      <c r="H218">
        <v>4</v>
      </c>
      <c r="I218">
        <v>4</v>
      </c>
      <c r="J218">
        <v>3.5</v>
      </c>
      <c r="K218">
        <v>3</v>
      </c>
      <c r="L218">
        <v>8</v>
      </c>
    </row>
    <row r="219" spans="1:12" hidden="1" x14ac:dyDescent="0.3">
      <c r="A219" s="3">
        <v>45324</v>
      </c>
      <c r="B219" t="s">
        <v>38</v>
      </c>
      <c r="C219" t="s">
        <v>52</v>
      </c>
      <c r="D219">
        <v>7</v>
      </c>
      <c r="E219">
        <v>12</v>
      </c>
      <c r="F219">
        <v>11</v>
      </c>
      <c r="G219">
        <v>1</v>
      </c>
      <c r="H219">
        <v>3</v>
      </c>
      <c r="I219">
        <v>4</v>
      </c>
      <c r="J219">
        <v>3.5</v>
      </c>
      <c r="K219">
        <v>3</v>
      </c>
      <c r="L219">
        <v>14</v>
      </c>
    </row>
    <row r="220" spans="1:12" hidden="1" x14ac:dyDescent="0.3">
      <c r="A220" s="3">
        <v>45324</v>
      </c>
      <c r="B220" t="s">
        <v>55</v>
      </c>
      <c r="C220" t="s">
        <v>53</v>
      </c>
      <c r="D220">
        <v>2</v>
      </c>
      <c r="E220">
        <v>4</v>
      </c>
      <c r="F220">
        <v>0</v>
      </c>
      <c r="G220">
        <v>1</v>
      </c>
      <c r="H220">
        <v>2</v>
      </c>
      <c r="I220">
        <v>3</v>
      </c>
      <c r="J220">
        <v>8.5</v>
      </c>
      <c r="K220">
        <v>6</v>
      </c>
      <c r="L220">
        <v>7</v>
      </c>
    </row>
    <row r="221" spans="1:12" hidden="1" x14ac:dyDescent="0.3">
      <c r="A221" s="3">
        <v>45324</v>
      </c>
      <c r="B221" t="s">
        <v>19</v>
      </c>
      <c r="C221" t="s">
        <v>17</v>
      </c>
      <c r="D221">
        <v>2</v>
      </c>
      <c r="E221">
        <v>10</v>
      </c>
      <c r="F221">
        <v>1</v>
      </c>
      <c r="G221">
        <v>7</v>
      </c>
      <c r="H221">
        <v>2</v>
      </c>
      <c r="I221">
        <v>2</v>
      </c>
      <c r="J221">
        <v>4.5</v>
      </c>
      <c r="K221">
        <v>4</v>
      </c>
      <c r="L221">
        <v>10</v>
      </c>
    </row>
    <row r="222" spans="1:12" hidden="1" x14ac:dyDescent="0.3">
      <c r="A222" s="3">
        <v>45324</v>
      </c>
      <c r="B222" t="s">
        <v>69</v>
      </c>
      <c r="C222" t="s">
        <v>98</v>
      </c>
      <c r="D222">
        <v>3</v>
      </c>
      <c r="E222">
        <v>6</v>
      </c>
      <c r="F222">
        <v>0</v>
      </c>
      <c r="G222">
        <v>2</v>
      </c>
      <c r="H222">
        <v>4</v>
      </c>
      <c r="I222">
        <v>3</v>
      </c>
      <c r="J222">
        <v>4</v>
      </c>
      <c r="K222">
        <v>3</v>
      </c>
      <c r="L222">
        <v>7</v>
      </c>
    </row>
    <row r="223" spans="1:12" hidden="1" x14ac:dyDescent="0.3">
      <c r="A223" s="3">
        <v>45325</v>
      </c>
      <c r="B223" t="s">
        <v>71</v>
      </c>
      <c r="C223" t="s">
        <v>47</v>
      </c>
      <c r="D223">
        <v>3</v>
      </c>
      <c r="E223">
        <v>6</v>
      </c>
      <c r="F223">
        <v>0</v>
      </c>
      <c r="G223">
        <v>1</v>
      </c>
      <c r="H223">
        <v>3</v>
      </c>
      <c r="I223">
        <v>5</v>
      </c>
      <c r="J223">
        <v>4</v>
      </c>
      <c r="K223">
        <v>3</v>
      </c>
      <c r="L223">
        <v>7</v>
      </c>
    </row>
    <row r="224" spans="1:12" hidden="1" x14ac:dyDescent="0.3">
      <c r="A224" s="3">
        <v>45325</v>
      </c>
      <c r="B224" t="s">
        <v>68</v>
      </c>
      <c r="C224" t="s">
        <v>43</v>
      </c>
      <c r="D224">
        <v>4</v>
      </c>
      <c r="E224">
        <v>15</v>
      </c>
      <c r="F224">
        <v>4</v>
      </c>
      <c r="G224">
        <v>5</v>
      </c>
      <c r="H224">
        <v>2</v>
      </c>
      <c r="I224">
        <v>8</v>
      </c>
      <c r="J224">
        <v>4</v>
      </c>
      <c r="K224">
        <v>3</v>
      </c>
      <c r="L224">
        <v>14</v>
      </c>
    </row>
    <row r="225" spans="1:12" hidden="1" x14ac:dyDescent="0.3">
      <c r="A225" s="3">
        <v>45325</v>
      </c>
      <c r="B225" t="s">
        <v>68</v>
      </c>
      <c r="C225" t="s">
        <v>43</v>
      </c>
      <c r="D225">
        <v>6</v>
      </c>
      <c r="E225">
        <v>15</v>
      </c>
      <c r="F225">
        <v>0</v>
      </c>
      <c r="G225">
        <v>2</v>
      </c>
      <c r="H225">
        <v>3</v>
      </c>
      <c r="I225">
        <v>16</v>
      </c>
      <c r="J225">
        <v>4</v>
      </c>
      <c r="K225">
        <v>3</v>
      </c>
      <c r="L225">
        <v>14</v>
      </c>
    </row>
    <row r="226" spans="1:12" hidden="1" x14ac:dyDescent="0.3">
      <c r="A226" s="3">
        <v>45325</v>
      </c>
      <c r="B226" t="s">
        <v>62</v>
      </c>
      <c r="C226" t="s">
        <v>96</v>
      </c>
      <c r="D226">
        <v>1</v>
      </c>
      <c r="E226">
        <v>10</v>
      </c>
      <c r="F226">
        <v>7</v>
      </c>
      <c r="G226">
        <v>0</v>
      </c>
      <c r="H226">
        <v>1</v>
      </c>
      <c r="I226">
        <v>3</v>
      </c>
      <c r="J226">
        <v>4</v>
      </c>
      <c r="K226">
        <v>3.5</v>
      </c>
      <c r="L226">
        <v>10</v>
      </c>
    </row>
    <row r="227" spans="1:12" hidden="1" x14ac:dyDescent="0.3">
      <c r="A227" s="3">
        <v>45325</v>
      </c>
      <c r="B227" t="s">
        <v>79</v>
      </c>
      <c r="C227" t="s">
        <v>104</v>
      </c>
      <c r="D227">
        <v>5</v>
      </c>
      <c r="E227">
        <v>8</v>
      </c>
      <c r="F227">
        <v>6</v>
      </c>
      <c r="G227">
        <v>4</v>
      </c>
      <c r="H227">
        <v>2</v>
      </c>
      <c r="I227">
        <v>1</v>
      </c>
      <c r="J227">
        <v>2.5</v>
      </c>
      <c r="K227">
        <v>2</v>
      </c>
      <c r="L227">
        <v>5</v>
      </c>
    </row>
    <row r="228" spans="1:12" hidden="1" x14ac:dyDescent="0.3">
      <c r="A228" s="3">
        <v>45326</v>
      </c>
      <c r="B228" t="s">
        <v>82</v>
      </c>
      <c r="C228" t="s">
        <v>73</v>
      </c>
      <c r="D228">
        <v>4</v>
      </c>
      <c r="E228">
        <v>8</v>
      </c>
      <c r="F228">
        <v>7</v>
      </c>
      <c r="G228">
        <v>3</v>
      </c>
      <c r="H228">
        <v>0</v>
      </c>
      <c r="I228">
        <v>2</v>
      </c>
      <c r="J228">
        <v>2.5</v>
      </c>
      <c r="K228">
        <v>2</v>
      </c>
      <c r="L228">
        <v>5</v>
      </c>
    </row>
    <row r="229" spans="1:12" hidden="1" x14ac:dyDescent="0.3">
      <c r="A229" s="3">
        <v>45326</v>
      </c>
      <c r="B229" t="s">
        <v>41</v>
      </c>
      <c r="C229" t="s">
        <v>86</v>
      </c>
      <c r="D229">
        <v>2</v>
      </c>
      <c r="E229">
        <v>15</v>
      </c>
      <c r="F229">
        <v>10</v>
      </c>
      <c r="G229">
        <v>1</v>
      </c>
      <c r="H229">
        <v>2</v>
      </c>
      <c r="I229">
        <v>4</v>
      </c>
      <c r="J229">
        <v>3</v>
      </c>
      <c r="K229">
        <v>2.5</v>
      </c>
      <c r="L229">
        <v>14</v>
      </c>
    </row>
    <row r="230" spans="1:12" hidden="1" x14ac:dyDescent="0.3">
      <c r="A230" s="3">
        <v>45326</v>
      </c>
      <c r="B230" t="s">
        <v>39</v>
      </c>
      <c r="C230" t="s">
        <v>32</v>
      </c>
      <c r="D230">
        <v>7</v>
      </c>
      <c r="E230">
        <v>12</v>
      </c>
      <c r="F230">
        <v>3</v>
      </c>
      <c r="G230">
        <v>4</v>
      </c>
      <c r="H230">
        <v>4</v>
      </c>
      <c r="I230">
        <v>8</v>
      </c>
      <c r="J230">
        <v>3.5</v>
      </c>
      <c r="K230">
        <v>3</v>
      </c>
      <c r="L230">
        <v>14</v>
      </c>
    </row>
    <row r="231" spans="1:12" hidden="1" x14ac:dyDescent="0.3">
      <c r="A231" s="3">
        <v>45326</v>
      </c>
      <c r="B231" t="s">
        <v>83</v>
      </c>
      <c r="C231" t="s">
        <v>100</v>
      </c>
      <c r="D231">
        <v>9</v>
      </c>
      <c r="E231">
        <v>10</v>
      </c>
      <c r="F231">
        <v>3</v>
      </c>
      <c r="G231">
        <v>5</v>
      </c>
      <c r="H231">
        <v>1</v>
      </c>
      <c r="I231">
        <v>10</v>
      </c>
      <c r="J231">
        <v>4.5</v>
      </c>
      <c r="K231">
        <v>4</v>
      </c>
      <c r="L231">
        <v>10</v>
      </c>
    </row>
    <row r="232" spans="1:12" hidden="1" x14ac:dyDescent="0.3">
      <c r="A232" s="3">
        <v>45327</v>
      </c>
      <c r="B232" t="s">
        <v>84</v>
      </c>
      <c r="C232" t="s">
        <v>101</v>
      </c>
      <c r="D232">
        <v>2</v>
      </c>
      <c r="E232">
        <v>8</v>
      </c>
      <c r="F232">
        <v>4</v>
      </c>
      <c r="G232">
        <v>2</v>
      </c>
      <c r="H232">
        <v>2</v>
      </c>
      <c r="I232">
        <v>2</v>
      </c>
      <c r="J232">
        <v>3.5</v>
      </c>
      <c r="K232">
        <v>3</v>
      </c>
      <c r="L232">
        <v>8</v>
      </c>
    </row>
    <row r="233" spans="1:12" hidden="1" x14ac:dyDescent="0.3">
      <c r="A233" s="3">
        <v>45327</v>
      </c>
      <c r="B233" t="s">
        <v>60</v>
      </c>
      <c r="C233" t="s">
        <v>94</v>
      </c>
      <c r="D233">
        <v>5</v>
      </c>
      <c r="E233">
        <v>10</v>
      </c>
      <c r="F233">
        <v>0</v>
      </c>
      <c r="G233">
        <v>5</v>
      </c>
      <c r="H233">
        <v>3</v>
      </c>
      <c r="I233">
        <v>7</v>
      </c>
      <c r="J233">
        <v>4</v>
      </c>
      <c r="K233">
        <v>3.5</v>
      </c>
      <c r="L233">
        <v>10</v>
      </c>
    </row>
    <row r="234" spans="1:12" hidden="1" x14ac:dyDescent="0.3">
      <c r="A234" s="3">
        <v>45327</v>
      </c>
      <c r="B234" t="s">
        <v>35</v>
      </c>
      <c r="C234" t="s">
        <v>31</v>
      </c>
      <c r="D234">
        <v>5</v>
      </c>
      <c r="E234">
        <v>8</v>
      </c>
      <c r="F234">
        <v>0</v>
      </c>
      <c r="G234">
        <v>0</v>
      </c>
      <c r="H234">
        <v>6</v>
      </c>
      <c r="I234">
        <v>7</v>
      </c>
      <c r="J234">
        <v>3.5</v>
      </c>
      <c r="K234">
        <v>3</v>
      </c>
      <c r="L234">
        <v>14</v>
      </c>
    </row>
    <row r="235" spans="1:12" hidden="1" x14ac:dyDescent="0.3">
      <c r="A235" s="3">
        <v>45327</v>
      </c>
      <c r="B235" t="s">
        <v>24</v>
      </c>
      <c r="C235" t="s">
        <v>29</v>
      </c>
      <c r="D235">
        <v>1</v>
      </c>
      <c r="E235">
        <v>8</v>
      </c>
      <c r="F235">
        <v>0</v>
      </c>
      <c r="G235">
        <v>1</v>
      </c>
      <c r="H235">
        <v>3</v>
      </c>
      <c r="I235">
        <v>5</v>
      </c>
      <c r="J235">
        <v>7.5</v>
      </c>
      <c r="K235">
        <v>5.5</v>
      </c>
      <c r="L235">
        <v>7</v>
      </c>
    </row>
    <row r="236" spans="1:12" hidden="1" x14ac:dyDescent="0.3">
      <c r="A236" s="3">
        <v>45327</v>
      </c>
      <c r="B236" t="s">
        <v>36</v>
      </c>
      <c r="C236" t="s">
        <v>33</v>
      </c>
      <c r="D236">
        <v>4</v>
      </c>
      <c r="E236">
        <v>12</v>
      </c>
      <c r="F236">
        <v>8</v>
      </c>
      <c r="G236">
        <v>0</v>
      </c>
      <c r="H236">
        <v>3</v>
      </c>
      <c r="I236">
        <v>5</v>
      </c>
      <c r="J236">
        <v>3.5</v>
      </c>
      <c r="K236">
        <v>3</v>
      </c>
      <c r="L236">
        <v>14</v>
      </c>
    </row>
    <row r="237" spans="1:12" hidden="1" x14ac:dyDescent="0.3">
      <c r="A237" s="3">
        <v>45327</v>
      </c>
      <c r="B237" t="s">
        <v>38</v>
      </c>
      <c r="C237" t="s">
        <v>52</v>
      </c>
      <c r="D237">
        <v>4</v>
      </c>
      <c r="E237">
        <v>12</v>
      </c>
      <c r="F237">
        <v>1</v>
      </c>
      <c r="G237">
        <v>3</v>
      </c>
      <c r="H237">
        <v>3</v>
      </c>
      <c r="I237">
        <v>9</v>
      </c>
      <c r="J237">
        <v>3.5</v>
      </c>
      <c r="K237">
        <v>3</v>
      </c>
      <c r="L237">
        <v>14</v>
      </c>
    </row>
    <row r="238" spans="1:12" hidden="1" x14ac:dyDescent="0.3">
      <c r="A238" s="3">
        <v>45327</v>
      </c>
      <c r="B238" t="s">
        <v>16</v>
      </c>
      <c r="C238" t="s">
        <v>77</v>
      </c>
      <c r="D238">
        <v>2</v>
      </c>
      <c r="E238">
        <v>10</v>
      </c>
      <c r="F238">
        <v>3</v>
      </c>
      <c r="G238">
        <v>4</v>
      </c>
      <c r="H238">
        <v>1</v>
      </c>
      <c r="I238">
        <v>4</v>
      </c>
      <c r="J238">
        <v>5.5</v>
      </c>
      <c r="K238">
        <v>4.5</v>
      </c>
      <c r="L238">
        <v>7</v>
      </c>
    </row>
    <row r="239" spans="1:12" hidden="1" x14ac:dyDescent="0.3">
      <c r="A239" s="3">
        <v>45327</v>
      </c>
      <c r="B239" t="s">
        <v>41</v>
      </c>
      <c r="C239" t="s">
        <v>86</v>
      </c>
      <c r="D239">
        <v>4</v>
      </c>
      <c r="E239">
        <v>15</v>
      </c>
      <c r="F239">
        <v>5</v>
      </c>
      <c r="G239">
        <v>4</v>
      </c>
      <c r="H239">
        <v>5</v>
      </c>
      <c r="I239">
        <v>5</v>
      </c>
      <c r="J239">
        <v>3</v>
      </c>
      <c r="K239">
        <v>2.5</v>
      </c>
      <c r="L239">
        <v>14</v>
      </c>
    </row>
    <row r="240" spans="1:12" hidden="1" x14ac:dyDescent="0.3">
      <c r="A240" s="3">
        <v>45327</v>
      </c>
      <c r="B240" t="s">
        <v>83</v>
      </c>
      <c r="C240" t="s">
        <v>100</v>
      </c>
      <c r="D240">
        <v>10</v>
      </c>
      <c r="E240">
        <v>10</v>
      </c>
      <c r="F240">
        <v>6</v>
      </c>
      <c r="G240">
        <v>0</v>
      </c>
      <c r="H240">
        <v>8</v>
      </c>
      <c r="I240">
        <v>6</v>
      </c>
      <c r="J240">
        <v>4.5</v>
      </c>
      <c r="K240">
        <v>4</v>
      </c>
      <c r="L240">
        <v>10</v>
      </c>
    </row>
    <row r="241" spans="1:12" hidden="1" x14ac:dyDescent="0.3">
      <c r="A241" s="3">
        <v>45328</v>
      </c>
      <c r="B241" t="s">
        <v>90</v>
      </c>
      <c r="C241" t="s">
        <v>87</v>
      </c>
      <c r="D241">
        <v>15</v>
      </c>
      <c r="E241">
        <v>12</v>
      </c>
      <c r="F241">
        <v>1</v>
      </c>
      <c r="G241">
        <v>10</v>
      </c>
      <c r="H241">
        <v>5</v>
      </c>
      <c r="I241">
        <v>11</v>
      </c>
      <c r="J241">
        <v>4.5</v>
      </c>
      <c r="K241">
        <v>4</v>
      </c>
      <c r="L241">
        <v>14</v>
      </c>
    </row>
    <row r="242" spans="1:12" hidden="1" x14ac:dyDescent="0.3">
      <c r="A242" s="3">
        <v>45328</v>
      </c>
      <c r="B242" t="s">
        <v>78</v>
      </c>
      <c r="C242" t="s">
        <v>74</v>
      </c>
      <c r="D242">
        <v>1</v>
      </c>
      <c r="E242">
        <v>6</v>
      </c>
      <c r="F242">
        <v>0</v>
      </c>
      <c r="G242">
        <v>3</v>
      </c>
      <c r="H242">
        <v>0</v>
      </c>
      <c r="I242">
        <v>4</v>
      </c>
      <c r="J242">
        <v>4</v>
      </c>
      <c r="K242">
        <v>3</v>
      </c>
      <c r="L242">
        <v>7</v>
      </c>
    </row>
    <row r="243" spans="1:12" hidden="1" x14ac:dyDescent="0.3">
      <c r="A243" s="3">
        <v>45328</v>
      </c>
      <c r="B243" t="s">
        <v>16</v>
      </c>
      <c r="C243" t="s">
        <v>77</v>
      </c>
      <c r="D243">
        <v>4</v>
      </c>
      <c r="E243">
        <v>10</v>
      </c>
      <c r="F243">
        <v>7</v>
      </c>
      <c r="G243">
        <v>2</v>
      </c>
      <c r="H243">
        <v>1</v>
      </c>
      <c r="I243">
        <v>4</v>
      </c>
      <c r="J243">
        <v>5.5</v>
      </c>
      <c r="K243">
        <v>4.5</v>
      </c>
      <c r="L243">
        <v>7</v>
      </c>
    </row>
    <row r="244" spans="1:12" hidden="1" x14ac:dyDescent="0.3">
      <c r="A244" s="3">
        <v>45328</v>
      </c>
      <c r="B244" t="s">
        <v>70</v>
      </c>
      <c r="C244" t="s">
        <v>99</v>
      </c>
      <c r="D244">
        <v>4</v>
      </c>
      <c r="E244">
        <v>6</v>
      </c>
      <c r="F244">
        <v>3</v>
      </c>
      <c r="G244">
        <v>1</v>
      </c>
      <c r="H244">
        <v>4</v>
      </c>
      <c r="I244">
        <v>2</v>
      </c>
      <c r="J244">
        <v>4</v>
      </c>
      <c r="K244">
        <v>3</v>
      </c>
      <c r="L244">
        <v>7</v>
      </c>
    </row>
    <row r="245" spans="1:12" hidden="1" x14ac:dyDescent="0.3">
      <c r="A245" s="3">
        <v>45328</v>
      </c>
      <c r="B245" t="s">
        <v>38</v>
      </c>
      <c r="C245" t="s">
        <v>52</v>
      </c>
      <c r="D245">
        <v>9</v>
      </c>
      <c r="E245">
        <v>12</v>
      </c>
      <c r="F245">
        <v>11</v>
      </c>
      <c r="G245">
        <v>5</v>
      </c>
      <c r="H245">
        <v>1</v>
      </c>
      <c r="I245">
        <v>4</v>
      </c>
      <c r="J245">
        <v>3.5</v>
      </c>
      <c r="K245">
        <v>3</v>
      </c>
      <c r="L245">
        <v>14</v>
      </c>
    </row>
    <row r="246" spans="1:12" hidden="1" x14ac:dyDescent="0.3">
      <c r="A246" s="3">
        <v>45328</v>
      </c>
      <c r="B246" t="s">
        <v>59</v>
      </c>
      <c r="C246" t="s">
        <v>93</v>
      </c>
      <c r="D246">
        <v>11</v>
      </c>
      <c r="E246">
        <v>10</v>
      </c>
      <c r="F246">
        <v>13</v>
      </c>
      <c r="G246">
        <v>0</v>
      </c>
      <c r="H246">
        <v>0</v>
      </c>
      <c r="I246">
        <v>8</v>
      </c>
      <c r="J246">
        <v>4</v>
      </c>
      <c r="K246">
        <v>3.5</v>
      </c>
      <c r="L246">
        <v>10</v>
      </c>
    </row>
    <row r="247" spans="1:12" hidden="1" x14ac:dyDescent="0.3">
      <c r="A247" s="3">
        <v>45328</v>
      </c>
      <c r="B247" t="s">
        <v>36</v>
      </c>
      <c r="C247" t="s">
        <v>33</v>
      </c>
      <c r="D247">
        <v>5</v>
      </c>
      <c r="E247">
        <v>12</v>
      </c>
      <c r="F247">
        <v>10</v>
      </c>
      <c r="G247">
        <v>0</v>
      </c>
      <c r="H247">
        <v>3</v>
      </c>
      <c r="I247">
        <v>4</v>
      </c>
      <c r="J247">
        <v>3.5</v>
      </c>
      <c r="K247">
        <v>3</v>
      </c>
      <c r="L247">
        <v>14</v>
      </c>
    </row>
    <row r="248" spans="1:12" hidden="1" x14ac:dyDescent="0.3">
      <c r="A248" s="3">
        <v>45328</v>
      </c>
      <c r="B248" t="s">
        <v>81</v>
      </c>
      <c r="C248" t="s">
        <v>50</v>
      </c>
      <c r="D248">
        <v>3</v>
      </c>
      <c r="E248">
        <v>8</v>
      </c>
      <c r="F248">
        <v>5</v>
      </c>
      <c r="G248">
        <v>2</v>
      </c>
      <c r="H248">
        <v>1</v>
      </c>
      <c r="I248">
        <v>3</v>
      </c>
      <c r="J248">
        <v>2.5</v>
      </c>
      <c r="K248">
        <v>2</v>
      </c>
      <c r="L248">
        <v>5</v>
      </c>
    </row>
    <row r="249" spans="1:12" hidden="1" x14ac:dyDescent="0.3">
      <c r="A249" s="3">
        <v>45328</v>
      </c>
      <c r="B249" t="s">
        <v>81</v>
      </c>
      <c r="C249" t="s">
        <v>50</v>
      </c>
      <c r="D249">
        <v>3</v>
      </c>
      <c r="E249">
        <v>8</v>
      </c>
      <c r="F249">
        <v>7</v>
      </c>
      <c r="G249">
        <v>1</v>
      </c>
      <c r="H249">
        <v>0</v>
      </c>
      <c r="I249">
        <v>3</v>
      </c>
      <c r="J249">
        <v>2.5</v>
      </c>
      <c r="K249">
        <v>2</v>
      </c>
      <c r="L249">
        <v>5</v>
      </c>
    </row>
    <row r="250" spans="1:12" x14ac:dyDescent="0.3">
      <c r="A250" s="3">
        <v>45329</v>
      </c>
      <c r="B250" t="s">
        <v>34</v>
      </c>
      <c r="C250" t="s">
        <v>30</v>
      </c>
      <c r="D250">
        <v>3</v>
      </c>
      <c r="E250">
        <v>6</v>
      </c>
      <c r="F250">
        <v>3</v>
      </c>
      <c r="G250">
        <v>2</v>
      </c>
      <c r="H250">
        <v>1</v>
      </c>
      <c r="I250">
        <v>3</v>
      </c>
      <c r="J250">
        <v>3.5</v>
      </c>
      <c r="K250">
        <v>3</v>
      </c>
      <c r="L250">
        <v>10</v>
      </c>
    </row>
    <row r="251" spans="1:12" hidden="1" x14ac:dyDescent="0.3">
      <c r="A251" s="3">
        <v>45329</v>
      </c>
      <c r="B251" t="s">
        <v>55</v>
      </c>
      <c r="C251" t="s">
        <v>53</v>
      </c>
      <c r="D251">
        <v>3</v>
      </c>
      <c r="E251">
        <v>4</v>
      </c>
      <c r="F251">
        <v>0</v>
      </c>
      <c r="G251">
        <v>0</v>
      </c>
      <c r="H251">
        <v>1</v>
      </c>
      <c r="I251">
        <v>6</v>
      </c>
      <c r="J251">
        <v>8.5</v>
      </c>
      <c r="K251">
        <v>6</v>
      </c>
      <c r="L251">
        <v>7</v>
      </c>
    </row>
    <row r="252" spans="1:12" hidden="1" x14ac:dyDescent="0.3">
      <c r="A252" s="3">
        <v>45329</v>
      </c>
      <c r="B252" t="s">
        <v>22</v>
      </c>
      <c r="C252" t="s">
        <v>26</v>
      </c>
      <c r="D252">
        <v>8</v>
      </c>
      <c r="E252">
        <v>12</v>
      </c>
      <c r="F252">
        <v>11</v>
      </c>
      <c r="G252">
        <v>3</v>
      </c>
      <c r="H252">
        <v>1</v>
      </c>
      <c r="I252">
        <v>5</v>
      </c>
      <c r="J252">
        <v>3.5</v>
      </c>
      <c r="K252">
        <v>3</v>
      </c>
      <c r="L252">
        <v>14</v>
      </c>
    </row>
    <row r="253" spans="1:12" hidden="1" x14ac:dyDescent="0.3">
      <c r="A253" s="3">
        <v>45329</v>
      </c>
      <c r="B253" t="s">
        <v>88</v>
      </c>
      <c r="C253" t="s">
        <v>102</v>
      </c>
      <c r="D253">
        <v>2</v>
      </c>
      <c r="E253">
        <v>8</v>
      </c>
      <c r="F253">
        <v>4</v>
      </c>
      <c r="G253">
        <v>3</v>
      </c>
      <c r="H253">
        <v>0</v>
      </c>
      <c r="I253">
        <v>3</v>
      </c>
      <c r="J253">
        <v>3.5</v>
      </c>
      <c r="K253">
        <v>3</v>
      </c>
      <c r="L253">
        <v>8</v>
      </c>
    </row>
    <row r="254" spans="1:12" hidden="1" x14ac:dyDescent="0.3">
      <c r="A254" s="3">
        <v>45329</v>
      </c>
      <c r="B254" t="s">
        <v>62</v>
      </c>
      <c r="C254" t="s">
        <v>96</v>
      </c>
      <c r="D254">
        <v>3</v>
      </c>
      <c r="E254">
        <v>10</v>
      </c>
      <c r="F254">
        <v>3</v>
      </c>
      <c r="G254">
        <v>6</v>
      </c>
      <c r="H254">
        <v>1</v>
      </c>
      <c r="I254">
        <v>3</v>
      </c>
      <c r="J254">
        <v>4</v>
      </c>
      <c r="K254">
        <v>3.5</v>
      </c>
      <c r="L254">
        <v>10</v>
      </c>
    </row>
    <row r="255" spans="1:12" hidden="1" x14ac:dyDescent="0.3">
      <c r="A255" s="3">
        <v>45329</v>
      </c>
      <c r="B255" t="s">
        <v>22</v>
      </c>
      <c r="C255" t="s">
        <v>26</v>
      </c>
      <c r="D255">
        <v>5</v>
      </c>
      <c r="E255">
        <v>12</v>
      </c>
      <c r="F255">
        <v>6</v>
      </c>
      <c r="G255">
        <v>2</v>
      </c>
      <c r="H255">
        <v>4</v>
      </c>
      <c r="I255">
        <v>5</v>
      </c>
      <c r="J255">
        <v>3.5</v>
      </c>
      <c r="K255">
        <v>3</v>
      </c>
      <c r="L255">
        <v>14</v>
      </c>
    </row>
    <row r="256" spans="1:12" hidden="1" x14ac:dyDescent="0.3">
      <c r="A256" s="3">
        <v>45329</v>
      </c>
      <c r="B256" t="s">
        <v>68</v>
      </c>
      <c r="C256" t="s">
        <v>43</v>
      </c>
      <c r="D256">
        <v>6</v>
      </c>
      <c r="E256">
        <v>15</v>
      </c>
      <c r="F256">
        <v>1</v>
      </c>
      <c r="G256">
        <v>2</v>
      </c>
      <c r="H256">
        <v>3</v>
      </c>
      <c r="I256">
        <v>15</v>
      </c>
      <c r="J256">
        <v>4</v>
      </c>
      <c r="K256">
        <v>3</v>
      </c>
      <c r="L256">
        <v>14</v>
      </c>
    </row>
    <row r="257" spans="1:12" hidden="1" x14ac:dyDescent="0.3">
      <c r="A257" s="3">
        <v>45330</v>
      </c>
      <c r="B257" t="s">
        <v>57</v>
      </c>
      <c r="C257" t="s">
        <v>75</v>
      </c>
      <c r="D257">
        <v>5</v>
      </c>
      <c r="E257">
        <v>8</v>
      </c>
      <c r="F257">
        <v>6</v>
      </c>
      <c r="G257">
        <v>4</v>
      </c>
      <c r="H257">
        <v>0</v>
      </c>
      <c r="I257">
        <v>3</v>
      </c>
      <c r="J257">
        <v>6</v>
      </c>
      <c r="K257">
        <v>5.5</v>
      </c>
      <c r="L257">
        <v>20</v>
      </c>
    </row>
    <row r="258" spans="1:12" hidden="1" x14ac:dyDescent="0.3">
      <c r="A258" s="3">
        <v>45330</v>
      </c>
      <c r="B258" t="s">
        <v>21</v>
      </c>
      <c r="C258" t="s">
        <v>27</v>
      </c>
      <c r="D258">
        <v>4</v>
      </c>
      <c r="E258">
        <v>8</v>
      </c>
      <c r="F258">
        <v>5</v>
      </c>
      <c r="G258">
        <v>0</v>
      </c>
      <c r="H258">
        <v>3</v>
      </c>
      <c r="I258">
        <v>4</v>
      </c>
      <c r="J258">
        <v>4</v>
      </c>
      <c r="K258">
        <v>3</v>
      </c>
      <c r="L258">
        <v>14</v>
      </c>
    </row>
    <row r="259" spans="1:12" hidden="1" x14ac:dyDescent="0.3">
      <c r="A259" s="3">
        <v>45330</v>
      </c>
      <c r="B259" t="s">
        <v>36</v>
      </c>
      <c r="C259" t="s">
        <v>33</v>
      </c>
      <c r="D259">
        <v>4</v>
      </c>
      <c r="E259">
        <v>12</v>
      </c>
      <c r="F259">
        <v>1</v>
      </c>
      <c r="G259">
        <v>6</v>
      </c>
      <c r="H259">
        <v>1</v>
      </c>
      <c r="I259">
        <v>8</v>
      </c>
      <c r="J259">
        <v>3.5</v>
      </c>
      <c r="K259">
        <v>3</v>
      </c>
      <c r="L259">
        <v>14</v>
      </c>
    </row>
    <row r="260" spans="1:12" hidden="1" x14ac:dyDescent="0.3">
      <c r="A260" s="3">
        <v>45330</v>
      </c>
      <c r="B260" t="s">
        <v>55</v>
      </c>
      <c r="C260" t="s">
        <v>53</v>
      </c>
      <c r="D260">
        <v>6</v>
      </c>
      <c r="E260">
        <v>4</v>
      </c>
      <c r="F260">
        <v>1</v>
      </c>
      <c r="G260">
        <v>0</v>
      </c>
      <c r="H260">
        <v>5</v>
      </c>
      <c r="I260">
        <v>4</v>
      </c>
      <c r="J260">
        <v>8.5</v>
      </c>
      <c r="K260">
        <v>6</v>
      </c>
      <c r="L260">
        <v>7</v>
      </c>
    </row>
    <row r="261" spans="1:12" hidden="1" x14ac:dyDescent="0.3">
      <c r="A261" s="3">
        <v>45330</v>
      </c>
      <c r="B261" t="s">
        <v>10</v>
      </c>
      <c r="C261" t="s">
        <v>18</v>
      </c>
      <c r="D261">
        <v>4</v>
      </c>
      <c r="E261">
        <v>10</v>
      </c>
      <c r="F261">
        <v>0</v>
      </c>
      <c r="G261">
        <v>1</v>
      </c>
      <c r="H261">
        <v>1</v>
      </c>
      <c r="I261">
        <v>12</v>
      </c>
      <c r="J261">
        <v>5.5</v>
      </c>
      <c r="K261">
        <v>4.5</v>
      </c>
      <c r="L261">
        <v>7</v>
      </c>
    </row>
    <row r="262" spans="1:12" hidden="1" x14ac:dyDescent="0.3">
      <c r="A262" s="3">
        <v>45330</v>
      </c>
      <c r="B262" t="s">
        <v>22</v>
      </c>
      <c r="C262" t="s">
        <v>26</v>
      </c>
      <c r="D262">
        <v>5</v>
      </c>
      <c r="E262">
        <v>12</v>
      </c>
      <c r="F262">
        <v>7</v>
      </c>
      <c r="G262">
        <v>2</v>
      </c>
      <c r="H262">
        <v>2</v>
      </c>
      <c r="I262">
        <v>6</v>
      </c>
      <c r="J262">
        <v>3.5</v>
      </c>
      <c r="K262">
        <v>3</v>
      </c>
      <c r="L262">
        <v>14</v>
      </c>
    </row>
    <row r="263" spans="1:12" hidden="1" x14ac:dyDescent="0.3">
      <c r="A263" s="3">
        <v>45330</v>
      </c>
      <c r="B263" t="s">
        <v>62</v>
      </c>
      <c r="C263" t="s">
        <v>96</v>
      </c>
      <c r="D263">
        <v>3</v>
      </c>
      <c r="E263">
        <v>10</v>
      </c>
      <c r="F263">
        <v>2</v>
      </c>
      <c r="G263">
        <v>1</v>
      </c>
      <c r="H263">
        <v>4</v>
      </c>
      <c r="I263">
        <v>6</v>
      </c>
      <c r="J263">
        <v>4</v>
      </c>
      <c r="K263">
        <v>3.5</v>
      </c>
      <c r="L263">
        <v>10</v>
      </c>
    </row>
    <row r="264" spans="1:12" hidden="1" x14ac:dyDescent="0.3">
      <c r="A264" s="3">
        <v>45330</v>
      </c>
      <c r="B264" t="s">
        <v>59</v>
      </c>
      <c r="C264" t="s">
        <v>93</v>
      </c>
      <c r="D264">
        <v>8</v>
      </c>
      <c r="E264">
        <v>10</v>
      </c>
      <c r="F264">
        <v>5</v>
      </c>
      <c r="G264">
        <v>8</v>
      </c>
      <c r="H264">
        <v>1</v>
      </c>
      <c r="I264">
        <v>4</v>
      </c>
      <c r="J264">
        <v>4</v>
      </c>
      <c r="K264">
        <v>3.5</v>
      </c>
      <c r="L264">
        <v>10</v>
      </c>
    </row>
    <row r="265" spans="1:12" hidden="1" x14ac:dyDescent="0.3">
      <c r="A265" s="3">
        <v>45331</v>
      </c>
      <c r="B265" t="s">
        <v>41</v>
      </c>
      <c r="C265" t="s">
        <v>86</v>
      </c>
      <c r="D265">
        <v>5</v>
      </c>
      <c r="E265">
        <v>15</v>
      </c>
      <c r="F265">
        <v>5</v>
      </c>
      <c r="G265">
        <v>8</v>
      </c>
      <c r="H265">
        <v>0</v>
      </c>
      <c r="I265">
        <v>7</v>
      </c>
      <c r="J265">
        <v>3</v>
      </c>
      <c r="K265">
        <v>2.5</v>
      </c>
      <c r="L265">
        <v>14</v>
      </c>
    </row>
    <row r="266" spans="1:12" hidden="1" x14ac:dyDescent="0.3">
      <c r="A266" s="3">
        <v>45331</v>
      </c>
      <c r="B266" t="s">
        <v>57</v>
      </c>
      <c r="C266" t="s">
        <v>75</v>
      </c>
      <c r="D266">
        <v>3</v>
      </c>
      <c r="E266">
        <v>8</v>
      </c>
      <c r="F266">
        <v>4</v>
      </c>
      <c r="G266">
        <v>2</v>
      </c>
      <c r="H266">
        <v>0</v>
      </c>
      <c r="I266">
        <v>5</v>
      </c>
      <c r="J266">
        <v>6</v>
      </c>
      <c r="K266">
        <v>5.5</v>
      </c>
      <c r="L266">
        <v>20</v>
      </c>
    </row>
    <row r="267" spans="1:12" hidden="1" x14ac:dyDescent="0.3">
      <c r="A267" s="3">
        <v>45331</v>
      </c>
      <c r="B267" t="s">
        <v>90</v>
      </c>
      <c r="C267" t="s">
        <v>87</v>
      </c>
      <c r="D267">
        <v>11</v>
      </c>
      <c r="E267">
        <v>12</v>
      </c>
      <c r="F267">
        <v>11</v>
      </c>
      <c r="G267">
        <v>7</v>
      </c>
      <c r="H267">
        <v>0</v>
      </c>
      <c r="I267">
        <v>5</v>
      </c>
      <c r="J267">
        <v>4.5</v>
      </c>
      <c r="K267">
        <v>4</v>
      </c>
      <c r="L267">
        <v>14</v>
      </c>
    </row>
    <row r="268" spans="1:12" hidden="1" x14ac:dyDescent="0.3">
      <c r="A268" s="3">
        <v>45331</v>
      </c>
      <c r="B268" t="s">
        <v>21</v>
      </c>
      <c r="C268" t="s">
        <v>27</v>
      </c>
      <c r="D268">
        <v>4</v>
      </c>
      <c r="E268">
        <v>8</v>
      </c>
      <c r="F268">
        <v>5</v>
      </c>
      <c r="G268">
        <v>1</v>
      </c>
      <c r="H268">
        <v>0</v>
      </c>
      <c r="I268">
        <v>6</v>
      </c>
      <c r="J268">
        <v>4</v>
      </c>
      <c r="K268">
        <v>3</v>
      </c>
      <c r="L268">
        <v>14</v>
      </c>
    </row>
    <row r="269" spans="1:12" hidden="1" x14ac:dyDescent="0.3">
      <c r="A269" s="3">
        <v>45331</v>
      </c>
      <c r="B269" t="s">
        <v>41</v>
      </c>
      <c r="C269" t="s">
        <v>86</v>
      </c>
      <c r="D269">
        <v>7</v>
      </c>
      <c r="E269">
        <v>15</v>
      </c>
      <c r="F269">
        <v>0</v>
      </c>
      <c r="G269">
        <v>8</v>
      </c>
      <c r="H269">
        <v>5</v>
      </c>
      <c r="I269">
        <v>9</v>
      </c>
      <c r="J269">
        <v>3</v>
      </c>
      <c r="K269">
        <v>2.5</v>
      </c>
      <c r="L269">
        <v>14</v>
      </c>
    </row>
    <row r="270" spans="1:12" hidden="1" x14ac:dyDescent="0.3">
      <c r="A270" s="3">
        <v>45331</v>
      </c>
      <c r="B270" t="s">
        <v>72</v>
      </c>
      <c r="C270" t="s">
        <v>48</v>
      </c>
      <c r="D270">
        <v>3</v>
      </c>
      <c r="E270">
        <v>6</v>
      </c>
      <c r="F270">
        <v>2</v>
      </c>
      <c r="G270">
        <v>2</v>
      </c>
      <c r="H270">
        <v>2</v>
      </c>
      <c r="I270">
        <v>3</v>
      </c>
      <c r="J270">
        <v>4</v>
      </c>
      <c r="K270">
        <v>3</v>
      </c>
      <c r="L270">
        <v>7</v>
      </c>
    </row>
    <row r="271" spans="1:12" hidden="1" x14ac:dyDescent="0.3">
      <c r="A271" s="3">
        <v>45331</v>
      </c>
      <c r="B271" t="s">
        <v>61</v>
      </c>
      <c r="C271" t="s">
        <v>95</v>
      </c>
      <c r="D271">
        <v>4</v>
      </c>
      <c r="E271">
        <v>10</v>
      </c>
      <c r="F271">
        <v>2</v>
      </c>
      <c r="G271">
        <v>0</v>
      </c>
      <c r="H271">
        <v>3</v>
      </c>
      <c r="I271">
        <v>9</v>
      </c>
      <c r="J271">
        <v>4</v>
      </c>
      <c r="K271">
        <v>3.5</v>
      </c>
      <c r="L271">
        <v>10</v>
      </c>
    </row>
    <row r="272" spans="1:12" hidden="1" x14ac:dyDescent="0.3">
      <c r="A272" s="3">
        <v>45331</v>
      </c>
      <c r="B272" t="s">
        <v>65</v>
      </c>
      <c r="C272" t="s">
        <v>44</v>
      </c>
      <c r="D272">
        <v>5</v>
      </c>
      <c r="E272">
        <v>10</v>
      </c>
      <c r="F272">
        <v>2</v>
      </c>
      <c r="G272">
        <v>8</v>
      </c>
      <c r="H272">
        <v>1</v>
      </c>
      <c r="I272">
        <v>4</v>
      </c>
      <c r="J272">
        <v>3.5</v>
      </c>
      <c r="K272">
        <v>3</v>
      </c>
      <c r="L272">
        <v>8</v>
      </c>
    </row>
    <row r="273" spans="1:12" hidden="1" x14ac:dyDescent="0.3">
      <c r="A273" s="3">
        <v>45332</v>
      </c>
      <c r="B273" t="s">
        <v>23</v>
      </c>
      <c r="C273" t="s">
        <v>28</v>
      </c>
      <c r="D273">
        <v>1</v>
      </c>
      <c r="E273">
        <v>9</v>
      </c>
      <c r="F273">
        <v>1</v>
      </c>
      <c r="G273">
        <v>1</v>
      </c>
      <c r="H273">
        <v>1</v>
      </c>
      <c r="I273">
        <v>7</v>
      </c>
      <c r="J273">
        <v>6.5</v>
      </c>
      <c r="K273">
        <v>5.5</v>
      </c>
      <c r="L273">
        <v>9</v>
      </c>
    </row>
    <row r="274" spans="1:12" hidden="1" x14ac:dyDescent="0.3">
      <c r="A274" s="3">
        <v>45332</v>
      </c>
      <c r="B274" t="s">
        <v>61</v>
      </c>
      <c r="C274" t="s">
        <v>95</v>
      </c>
      <c r="D274">
        <v>9</v>
      </c>
      <c r="E274">
        <v>10</v>
      </c>
      <c r="F274">
        <v>4</v>
      </c>
      <c r="G274">
        <v>0</v>
      </c>
      <c r="H274">
        <v>0</v>
      </c>
      <c r="I274">
        <v>15</v>
      </c>
      <c r="J274">
        <v>4</v>
      </c>
      <c r="K274">
        <v>3.5</v>
      </c>
      <c r="L274">
        <v>10</v>
      </c>
    </row>
    <row r="275" spans="1:12" x14ac:dyDescent="0.3">
      <c r="A275" s="3">
        <v>45332</v>
      </c>
      <c r="B275" t="s">
        <v>34</v>
      </c>
      <c r="C275" t="s">
        <v>30</v>
      </c>
      <c r="D275">
        <v>3</v>
      </c>
      <c r="E275">
        <v>6</v>
      </c>
      <c r="F275">
        <v>2</v>
      </c>
      <c r="G275">
        <v>2</v>
      </c>
      <c r="H275">
        <v>0</v>
      </c>
      <c r="I275">
        <v>5</v>
      </c>
      <c r="J275">
        <v>3.5</v>
      </c>
      <c r="K275">
        <v>3</v>
      </c>
      <c r="L275">
        <v>10</v>
      </c>
    </row>
    <row r="276" spans="1:12" hidden="1" x14ac:dyDescent="0.3">
      <c r="A276" s="3">
        <v>45332</v>
      </c>
      <c r="B276" t="s">
        <v>83</v>
      </c>
      <c r="C276" t="s">
        <v>100</v>
      </c>
      <c r="D276">
        <v>6</v>
      </c>
      <c r="E276">
        <v>10</v>
      </c>
      <c r="F276">
        <v>8</v>
      </c>
      <c r="G276">
        <v>4</v>
      </c>
      <c r="H276">
        <v>0</v>
      </c>
      <c r="I276">
        <v>4</v>
      </c>
      <c r="J276">
        <v>4.5</v>
      </c>
      <c r="K276">
        <v>4</v>
      </c>
      <c r="L276">
        <v>10</v>
      </c>
    </row>
    <row r="277" spans="1:12" hidden="1" x14ac:dyDescent="0.3">
      <c r="A277" s="3">
        <v>45332</v>
      </c>
      <c r="B277" t="s">
        <v>39</v>
      </c>
      <c r="C277" t="s">
        <v>32</v>
      </c>
      <c r="D277">
        <v>8</v>
      </c>
      <c r="E277">
        <v>12</v>
      </c>
      <c r="F277">
        <v>1</v>
      </c>
      <c r="G277">
        <v>2</v>
      </c>
      <c r="H277">
        <v>2</v>
      </c>
      <c r="I277">
        <v>15</v>
      </c>
      <c r="J277">
        <v>3.5</v>
      </c>
      <c r="K277">
        <v>3</v>
      </c>
      <c r="L277">
        <v>14</v>
      </c>
    </row>
    <row r="278" spans="1:12" hidden="1" x14ac:dyDescent="0.3">
      <c r="A278" s="3">
        <v>45332</v>
      </c>
      <c r="B278" t="s">
        <v>78</v>
      </c>
      <c r="C278" t="s">
        <v>74</v>
      </c>
      <c r="D278">
        <v>4</v>
      </c>
      <c r="E278">
        <v>6</v>
      </c>
      <c r="F278">
        <v>6</v>
      </c>
      <c r="G278">
        <v>0</v>
      </c>
      <c r="H278">
        <v>0</v>
      </c>
      <c r="I278">
        <v>4</v>
      </c>
      <c r="J278">
        <v>4</v>
      </c>
      <c r="K278">
        <v>3</v>
      </c>
      <c r="L278">
        <v>7</v>
      </c>
    </row>
    <row r="279" spans="1:12" x14ac:dyDescent="0.3">
      <c r="A279" s="3">
        <v>45332</v>
      </c>
      <c r="B279" t="s">
        <v>34</v>
      </c>
      <c r="C279" t="s">
        <v>30</v>
      </c>
      <c r="D279">
        <v>5</v>
      </c>
      <c r="E279">
        <v>6</v>
      </c>
      <c r="F279">
        <v>2</v>
      </c>
      <c r="G279">
        <v>0</v>
      </c>
      <c r="H279">
        <v>2</v>
      </c>
      <c r="I279">
        <v>7</v>
      </c>
      <c r="J279">
        <v>3.5</v>
      </c>
      <c r="K279">
        <v>3</v>
      </c>
      <c r="L279">
        <v>10</v>
      </c>
    </row>
    <row r="280" spans="1:12" hidden="1" x14ac:dyDescent="0.3">
      <c r="A280" s="3">
        <v>45332</v>
      </c>
      <c r="B280" t="s">
        <v>10</v>
      </c>
      <c r="C280" t="s">
        <v>18</v>
      </c>
      <c r="D280">
        <v>12</v>
      </c>
      <c r="E280">
        <v>10</v>
      </c>
      <c r="F280">
        <v>4</v>
      </c>
      <c r="G280">
        <v>7</v>
      </c>
      <c r="H280">
        <v>5</v>
      </c>
      <c r="I280">
        <v>6</v>
      </c>
      <c r="J280">
        <v>5.5</v>
      </c>
      <c r="K280">
        <v>4.5</v>
      </c>
      <c r="L280">
        <v>7</v>
      </c>
    </row>
    <row r="281" spans="1:12" hidden="1" x14ac:dyDescent="0.3">
      <c r="A281" s="3">
        <v>45332</v>
      </c>
      <c r="B281" t="s">
        <v>19</v>
      </c>
      <c r="C281" t="s">
        <v>17</v>
      </c>
      <c r="D281">
        <v>2</v>
      </c>
      <c r="E281">
        <v>10</v>
      </c>
      <c r="F281">
        <v>5</v>
      </c>
      <c r="G281">
        <v>4</v>
      </c>
      <c r="H281">
        <v>0</v>
      </c>
      <c r="I281">
        <v>3</v>
      </c>
      <c r="J281">
        <v>4.5</v>
      </c>
      <c r="K281">
        <v>4</v>
      </c>
      <c r="L281">
        <v>10</v>
      </c>
    </row>
    <row r="282" spans="1:12" hidden="1" x14ac:dyDescent="0.3">
      <c r="A282" s="3">
        <v>45332</v>
      </c>
      <c r="B282" t="s">
        <v>58</v>
      </c>
      <c r="C282" t="s">
        <v>76</v>
      </c>
      <c r="D282">
        <v>10</v>
      </c>
      <c r="E282">
        <v>15</v>
      </c>
      <c r="F282">
        <v>13</v>
      </c>
      <c r="G282">
        <v>0</v>
      </c>
      <c r="H282">
        <v>4</v>
      </c>
      <c r="I282">
        <v>8</v>
      </c>
      <c r="J282">
        <v>6</v>
      </c>
      <c r="K282">
        <v>5.5</v>
      </c>
      <c r="L282">
        <v>20</v>
      </c>
    </row>
    <row r="283" spans="1:12" hidden="1" x14ac:dyDescent="0.3">
      <c r="A283" s="3">
        <v>45333</v>
      </c>
      <c r="B283" t="s">
        <v>66</v>
      </c>
      <c r="C283" t="s">
        <v>45</v>
      </c>
      <c r="D283">
        <v>2</v>
      </c>
      <c r="E283">
        <v>8</v>
      </c>
      <c r="F283">
        <v>6</v>
      </c>
      <c r="G283">
        <v>0</v>
      </c>
      <c r="H283">
        <v>1</v>
      </c>
      <c r="I283">
        <v>3</v>
      </c>
      <c r="J283">
        <v>3.5</v>
      </c>
      <c r="K283">
        <v>3</v>
      </c>
      <c r="L283">
        <v>8</v>
      </c>
    </row>
    <row r="284" spans="1:12" hidden="1" x14ac:dyDescent="0.3">
      <c r="A284" s="3">
        <v>45333</v>
      </c>
      <c r="B284" t="s">
        <v>70</v>
      </c>
      <c r="C284" t="s">
        <v>99</v>
      </c>
      <c r="D284">
        <v>2</v>
      </c>
      <c r="E284">
        <v>6</v>
      </c>
      <c r="F284">
        <v>0</v>
      </c>
      <c r="G284">
        <v>0</v>
      </c>
      <c r="H284">
        <v>2</v>
      </c>
      <c r="I284">
        <v>6</v>
      </c>
      <c r="J284">
        <v>4</v>
      </c>
      <c r="K284">
        <v>3</v>
      </c>
      <c r="L284">
        <v>7</v>
      </c>
    </row>
    <row r="285" spans="1:12" hidden="1" x14ac:dyDescent="0.3">
      <c r="A285" s="3">
        <v>45333</v>
      </c>
      <c r="B285" t="s">
        <v>40</v>
      </c>
      <c r="C285" t="s">
        <v>85</v>
      </c>
      <c r="D285">
        <v>8</v>
      </c>
      <c r="E285">
        <v>15</v>
      </c>
      <c r="F285">
        <v>5</v>
      </c>
      <c r="G285">
        <v>2</v>
      </c>
      <c r="H285">
        <v>10</v>
      </c>
      <c r="I285">
        <v>6</v>
      </c>
      <c r="J285">
        <v>3</v>
      </c>
      <c r="K285">
        <v>2.5</v>
      </c>
      <c r="L285">
        <v>14</v>
      </c>
    </row>
    <row r="286" spans="1:12" hidden="1" x14ac:dyDescent="0.3">
      <c r="A286" s="3">
        <v>45333</v>
      </c>
      <c r="B286" t="s">
        <v>40</v>
      </c>
      <c r="C286" t="s">
        <v>85</v>
      </c>
      <c r="D286">
        <v>6</v>
      </c>
      <c r="E286">
        <v>15</v>
      </c>
      <c r="F286">
        <v>9</v>
      </c>
      <c r="G286">
        <v>2</v>
      </c>
      <c r="H286">
        <v>0</v>
      </c>
      <c r="I286">
        <v>10</v>
      </c>
      <c r="J286">
        <v>3</v>
      </c>
      <c r="K286">
        <v>2.5</v>
      </c>
      <c r="L286">
        <v>14</v>
      </c>
    </row>
    <row r="287" spans="1:12" hidden="1" x14ac:dyDescent="0.3">
      <c r="A287" s="3">
        <v>45333</v>
      </c>
      <c r="B287" t="s">
        <v>65</v>
      </c>
      <c r="C287" t="s">
        <v>44</v>
      </c>
      <c r="D287">
        <v>4</v>
      </c>
      <c r="E287">
        <v>10</v>
      </c>
      <c r="F287">
        <v>7</v>
      </c>
      <c r="G287">
        <v>2</v>
      </c>
      <c r="H287">
        <v>1</v>
      </c>
      <c r="I287">
        <v>4</v>
      </c>
      <c r="J287">
        <v>3.5</v>
      </c>
      <c r="K287">
        <v>3</v>
      </c>
      <c r="L287">
        <v>8</v>
      </c>
    </row>
    <row r="288" spans="1:12" hidden="1" x14ac:dyDescent="0.3">
      <c r="A288" s="3">
        <v>45333</v>
      </c>
      <c r="B288" t="s">
        <v>67</v>
      </c>
      <c r="C288" t="s">
        <v>46</v>
      </c>
      <c r="D288">
        <v>4</v>
      </c>
      <c r="E288">
        <v>8</v>
      </c>
      <c r="F288">
        <v>1</v>
      </c>
      <c r="G288">
        <v>4</v>
      </c>
      <c r="H288">
        <v>0</v>
      </c>
      <c r="I288">
        <v>7</v>
      </c>
      <c r="J288">
        <v>3.5</v>
      </c>
      <c r="K288">
        <v>3</v>
      </c>
      <c r="L288">
        <v>8</v>
      </c>
    </row>
    <row r="289" spans="1:12" hidden="1" x14ac:dyDescent="0.3">
      <c r="A289" s="3">
        <v>45334</v>
      </c>
      <c r="B289" t="s">
        <v>81</v>
      </c>
      <c r="C289" t="s">
        <v>50</v>
      </c>
      <c r="D289">
        <v>3</v>
      </c>
      <c r="E289">
        <v>8</v>
      </c>
      <c r="F289">
        <v>3</v>
      </c>
      <c r="G289">
        <v>4</v>
      </c>
      <c r="H289">
        <v>0</v>
      </c>
      <c r="I289">
        <v>4</v>
      </c>
      <c r="J289">
        <v>2.5</v>
      </c>
      <c r="K289">
        <v>2</v>
      </c>
      <c r="L289">
        <v>5</v>
      </c>
    </row>
    <row r="290" spans="1:12" hidden="1" x14ac:dyDescent="0.3">
      <c r="A290" s="3">
        <v>45334</v>
      </c>
      <c r="B290" t="s">
        <v>79</v>
      </c>
      <c r="C290" t="s">
        <v>104</v>
      </c>
      <c r="D290">
        <v>1</v>
      </c>
      <c r="E290">
        <v>8</v>
      </c>
      <c r="F290">
        <v>0</v>
      </c>
      <c r="G290">
        <v>3</v>
      </c>
      <c r="H290">
        <v>3</v>
      </c>
      <c r="I290">
        <v>3</v>
      </c>
      <c r="J290">
        <v>2.5</v>
      </c>
      <c r="K290">
        <v>2</v>
      </c>
      <c r="L290">
        <v>5</v>
      </c>
    </row>
    <row r="291" spans="1:12" hidden="1" x14ac:dyDescent="0.3">
      <c r="A291" s="3">
        <v>45334</v>
      </c>
      <c r="B291" t="s">
        <v>21</v>
      </c>
      <c r="C291" t="s">
        <v>27</v>
      </c>
      <c r="D291">
        <v>6</v>
      </c>
      <c r="E291">
        <v>8</v>
      </c>
      <c r="F291">
        <v>4</v>
      </c>
      <c r="G291">
        <v>3</v>
      </c>
      <c r="H291">
        <v>1</v>
      </c>
      <c r="I291">
        <v>6</v>
      </c>
      <c r="J291">
        <v>4</v>
      </c>
      <c r="K291">
        <v>3</v>
      </c>
      <c r="L291">
        <v>14</v>
      </c>
    </row>
    <row r="292" spans="1:12" hidden="1" x14ac:dyDescent="0.3">
      <c r="A292" s="3">
        <v>45334</v>
      </c>
      <c r="B292" t="s">
        <v>71</v>
      </c>
      <c r="C292" t="s">
        <v>47</v>
      </c>
      <c r="D292">
        <v>5</v>
      </c>
      <c r="E292">
        <v>6</v>
      </c>
      <c r="F292">
        <v>2</v>
      </c>
      <c r="G292">
        <v>0</v>
      </c>
      <c r="H292">
        <v>5</v>
      </c>
      <c r="I292">
        <v>4</v>
      </c>
      <c r="J292">
        <v>4</v>
      </c>
      <c r="K292">
        <v>3</v>
      </c>
      <c r="L292">
        <v>7</v>
      </c>
    </row>
    <row r="293" spans="1:12" hidden="1" x14ac:dyDescent="0.3">
      <c r="A293" s="3">
        <v>45334</v>
      </c>
      <c r="B293" t="s">
        <v>58</v>
      </c>
      <c r="C293" t="s">
        <v>76</v>
      </c>
      <c r="D293">
        <v>8</v>
      </c>
      <c r="E293">
        <v>15</v>
      </c>
      <c r="F293">
        <v>11</v>
      </c>
      <c r="G293">
        <v>4</v>
      </c>
      <c r="H293">
        <v>4</v>
      </c>
      <c r="I293">
        <v>4</v>
      </c>
      <c r="J293">
        <v>6</v>
      </c>
      <c r="K293">
        <v>5.5</v>
      </c>
      <c r="L293">
        <v>20</v>
      </c>
    </row>
    <row r="294" spans="1:12" hidden="1" x14ac:dyDescent="0.3">
      <c r="A294" s="3">
        <v>45334</v>
      </c>
      <c r="B294" t="s">
        <v>67</v>
      </c>
      <c r="C294" t="s">
        <v>46</v>
      </c>
      <c r="D294">
        <v>7</v>
      </c>
      <c r="E294">
        <v>8</v>
      </c>
      <c r="F294">
        <v>7</v>
      </c>
      <c r="G294">
        <v>4</v>
      </c>
      <c r="H294">
        <v>0</v>
      </c>
      <c r="I294">
        <v>4</v>
      </c>
      <c r="J294">
        <v>3.5</v>
      </c>
      <c r="K294">
        <v>3</v>
      </c>
      <c r="L294">
        <v>8</v>
      </c>
    </row>
    <row r="295" spans="1:12" hidden="1" x14ac:dyDescent="0.3">
      <c r="A295" s="3">
        <v>45334</v>
      </c>
      <c r="B295" t="s">
        <v>21</v>
      </c>
      <c r="C295" t="s">
        <v>27</v>
      </c>
      <c r="D295">
        <v>6</v>
      </c>
      <c r="E295">
        <v>8</v>
      </c>
      <c r="F295">
        <v>6</v>
      </c>
      <c r="G295">
        <v>4</v>
      </c>
      <c r="H295">
        <v>0</v>
      </c>
      <c r="I295">
        <v>4</v>
      </c>
      <c r="J295">
        <v>4</v>
      </c>
      <c r="K295">
        <v>3</v>
      </c>
      <c r="L295">
        <v>14</v>
      </c>
    </row>
    <row r="296" spans="1:12" hidden="1" x14ac:dyDescent="0.3">
      <c r="A296" s="3">
        <v>45334</v>
      </c>
      <c r="B296" t="s">
        <v>20</v>
      </c>
      <c r="C296" t="s">
        <v>25</v>
      </c>
      <c r="D296">
        <v>5</v>
      </c>
      <c r="E296">
        <v>10</v>
      </c>
      <c r="F296">
        <v>7</v>
      </c>
      <c r="G296">
        <v>4</v>
      </c>
      <c r="H296">
        <v>2</v>
      </c>
      <c r="I296">
        <v>2</v>
      </c>
      <c r="J296">
        <v>4.5</v>
      </c>
      <c r="K296">
        <v>4</v>
      </c>
      <c r="L296">
        <v>10</v>
      </c>
    </row>
    <row r="297" spans="1:12" hidden="1" x14ac:dyDescent="0.3">
      <c r="A297" s="3">
        <v>45335</v>
      </c>
      <c r="B297" t="s">
        <v>63</v>
      </c>
      <c r="C297" t="s">
        <v>97</v>
      </c>
      <c r="D297">
        <v>4</v>
      </c>
      <c r="E297">
        <v>10</v>
      </c>
      <c r="F297">
        <v>4</v>
      </c>
      <c r="G297">
        <v>5</v>
      </c>
      <c r="H297">
        <v>1</v>
      </c>
      <c r="I297">
        <v>4</v>
      </c>
      <c r="J297">
        <v>4</v>
      </c>
      <c r="K297">
        <v>3.5</v>
      </c>
      <c r="L297">
        <v>10</v>
      </c>
    </row>
    <row r="298" spans="1:12" hidden="1" x14ac:dyDescent="0.3">
      <c r="A298" s="3">
        <v>45335</v>
      </c>
      <c r="B298" t="s">
        <v>92</v>
      </c>
      <c r="C298" t="s">
        <v>91</v>
      </c>
      <c r="D298">
        <v>2</v>
      </c>
      <c r="E298">
        <v>6</v>
      </c>
      <c r="F298">
        <v>3</v>
      </c>
      <c r="G298">
        <v>0</v>
      </c>
      <c r="H298">
        <v>0</v>
      </c>
      <c r="I298">
        <v>5</v>
      </c>
      <c r="J298">
        <v>4.5</v>
      </c>
      <c r="K298">
        <v>4</v>
      </c>
      <c r="L298">
        <v>14</v>
      </c>
    </row>
    <row r="299" spans="1:12" hidden="1" x14ac:dyDescent="0.3">
      <c r="A299" s="3">
        <v>45335</v>
      </c>
      <c r="B299" t="s">
        <v>80</v>
      </c>
      <c r="C299" t="s">
        <v>49</v>
      </c>
      <c r="D299">
        <v>1</v>
      </c>
      <c r="E299">
        <v>8</v>
      </c>
      <c r="F299">
        <v>1</v>
      </c>
      <c r="G299">
        <v>1</v>
      </c>
      <c r="H299">
        <v>1</v>
      </c>
      <c r="I299">
        <v>6</v>
      </c>
      <c r="J299">
        <v>2.5</v>
      </c>
      <c r="K299">
        <v>2</v>
      </c>
      <c r="L299">
        <v>5</v>
      </c>
    </row>
    <row r="300" spans="1:12" hidden="1" x14ac:dyDescent="0.3">
      <c r="A300" s="3">
        <v>45335</v>
      </c>
      <c r="B300" t="s">
        <v>65</v>
      </c>
      <c r="C300" t="s">
        <v>44</v>
      </c>
      <c r="D300">
        <v>4</v>
      </c>
      <c r="E300">
        <v>10</v>
      </c>
      <c r="F300">
        <v>7</v>
      </c>
      <c r="G300">
        <v>1</v>
      </c>
      <c r="H300">
        <v>0</v>
      </c>
      <c r="I300">
        <v>6</v>
      </c>
      <c r="J300">
        <v>3.5</v>
      </c>
      <c r="K300">
        <v>3</v>
      </c>
      <c r="L300">
        <v>8</v>
      </c>
    </row>
    <row r="301" spans="1:12" hidden="1" x14ac:dyDescent="0.3">
      <c r="A301" s="3">
        <v>45335</v>
      </c>
      <c r="B301" t="s">
        <v>16</v>
      </c>
      <c r="C301" t="s">
        <v>77</v>
      </c>
      <c r="D301">
        <v>4</v>
      </c>
      <c r="E301">
        <v>10</v>
      </c>
      <c r="F301">
        <v>4</v>
      </c>
      <c r="G301">
        <v>0</v>
      </c>
      <c r="H301">
        <v>2</v>
      </c>
      <c r="I301">
        <v>8</v>
      </c>
      <c r="J301">
        <v>5.5</v>
      </c>
      <c r="K301">
        <v>4.5</v>
      </c>
      <c r="L301">
        <v>7</v>
      </c>
    </row>
    <row r="302" spans="1:12" hidden="1" x14ac:dyDescent="0.3">
      <c r="A302" s="3">
        <v>45335</v>
      </c>
      <c r="B302" t="s">
        <v>37</v>
      </c>
      <c r="C302" t="s">
        <v>51</v>
      </c>
      <c r="D302">
        <v>8</v>
      </c>
      <c r="E302">
        <v>12</v>
      </c>
      <c r="F302">
        <v>0</v>
      </c>
      <c r="G302">
        <v>3</v>
      </c>
      <c r="H302">
        <v>7</v>
      </c>
      <c r="I302">
        <v>10</v>
      </c>
      <c r="J302">
        <v>3.5</v>
      </c>
      <c r="K302">
        <v>3</v>
      </c>
      <c r="L302">
        <v>14</v>
      </c>
    </row>
    <row r="303" spans="1:12" hidden="1" x14ac:dyDescent="0.3">
      <c r="A303" s="3">
        <v>45336</v>
      </c>
      <c r="B303" t="s">
        <v>23</v>
      </c>
      <c r="C303" t="s">
        <v>28</v>
      </c>
      <c r="D303">
        <v>7</v>
      </c>
      <c r="E303">
        <v>9</v>
      </c>
      <c r="F303">
        <v>4</v>
      </c>
      <c r="G303">
        <v>3</v>
      </c>
      <c r="H303">
        <v>1</v>
      </c>
      <c r="I303">
        <v>8</v>
      </c>
      <c r="J303">
        <v>6.5</v>
      </c>
      <c r="K303">
        <v>5.5</v>
      </c>
      <c r="L303">
        <v>9</v>
      </c>
    </row>
    <row r="304" spans="1:12" hidden="1" x14ac:dyDescent="0.3">
      <c r="A304" s="3">
        <v>45336</v>
      </c>
      <c r="B304" t="s">
        <v>21</v>
      </c>
      <c r="C304" t="s">
        <v>27</v>
      </c>
      <c r="D304">
        <v>4</v>
      </c>
      <c r="E304">
        <v>8</v>
      </c>
      <c r="F304">
        <v>5</v>
      </c>
      <c r="G304">
        <v>4</v>
      </c>
      <c r="H304">
        <v>2</v>
      </c>
      <c r="I304">
        <v>1</v>
      </c>
      <c r="J304">
        <v>4</v>
      </c>
      <c r="K304">
        <v>3</v>
      </c>
      <c r="L304">
        <v>14</v>
      </c>
    </row>
    <row r="305" spans="1:12" hidden="1" x14ac:dyDescent="0.3">
      <c r="A305" s="3">
        <v>45336</v>
      </c>
      <c r="B305" t="s">
        <v>60</v>
      </c>
      <c r="C305" t="s">
        <v>94</v>
      </c>
      <c r="D305">
        <v>7</v>
      </c>
      <c r="E305">
        <v>10</v>
      </c>
      <c r="F305">
        <v>5</v>
      </c>
      <c r="G305">
        <v>7</v>
      </c>
      <c r="H305">
        <v>2</v>
      </c>
      <c r="I305">
        <v>3</v>
      </c>
      <c r="J305">
        <v>4</v>
      </c>
      <c r="K305">
        <v>3.5</v>
      </c>
      <c r="L305">
        <v>10</v>
      </c>
    </row>
    <row r="306" spans="1:12" hidden="1" x14ac:dyDescent="0.3">
      <c r="A306" s="3">
        <v>45336</v>
      </c>
      <c r="B306" t="s">
        <v>37</v>
      </c>
      <c r="C306" t="s">
        <v>51</v>
      </c>
      <c r="D306">
        <v>10</v>
      </c>
      <c r="E306">
        <v>12</v>
      </c>
      <c r="F306">
        <v>4</v>
      </c>
      <c r="G306">
        <v>7</v>
      </c>
      <c r="H306">
        <v>3</v>
      </c>
      <c r="I306">
        <v>8</v>
      </c>
      <c r="J306">
        <v>3.5</v>
      </c>
      <c r="K306">
        <v>3</v>
      </c>
      <c r="L306">
        <v>14</v>
      </c>
    </row>
    <row r="307" spans="1:12" hidden="1" x14ac:dyDescent="0.3">
      <c r="A307" s="3">
        <v>45336</v>
      </c>
      <c r="B307" t="s">
        <v>68</v>
      </c>
      <c r="C307" t="s">
        <v>43</v>
      </c>
      <c r="D307">
        <v>6</v>
      </c>
      <c r="E307">
        <v>15</v>
      </c>
      <c r="F307">
        <v>1</v>
      </c>
      <c r="G307">
        <v>8</v>
      </c>
      <c r="H307">
        <v>1</v>
      </c>
      <c r="I307">
        <v>11</v>
      </c>
      <c r="J307">
        <v>4</v>
      </c>
      <c r="K307">
        <v>3</v>
      </c>
      <c r="L307">
        <v>14</v>
      </c>
    </row>
    <row r="308" spans="1:12" hidden="1" x14ac:dyDescent="0.3">
      <c r="A308" s="3">
        <v>45336</v>
      </c>
      <c r="B308" t="s">
        <v>65</v>
      </c>
      <c r="C308" t="s">
        <v>44</v>
      </c>
      <c r="D308">
        <v>6</v>
      </c>
      <c r="E308">
        <v>10</v>
      </c>
      <c r="F308">
        <v>4</v>
      </c>
      <c r="G308">
        <v>2</v>
      </c>
      <c r="H308">
        <v>2</v>
      </c>
      <c r="I308">
        <v>8</v>
      </c>
      <c r="J308">
        <v>3.5</v>
      </c>
      <c r="K308">
        <v>3</v>
      </c>
      <c r="L308">
        <v>8</v>
      </c>
    </row>
    <row r="309" spans="1:12" hidden="1" x14ac:dyDescent="0.3">
      <c r="A309" s="3">
        <v>45337</v>
      </c>
      <c r="B309" t="s">
        <v>64</v>
      </c>
      <c r="C309" t="s">
        <v>42</v>
      </c>
      <c r="D309">
        <v>4</v>
      </c>
      <c r="E309">
        <v>8</v>
      </c>
      <c r="F309">
        <v>2</v>
      </c>
      <c r="G309">
        <v>6</v>
      </c>
      <c r="H309">
        <v>2</v>
      </c>
      <c r="I309">
        <v>2</v>
      </c>
      <c r="J309">
        <v>3.5</v>
      </c>
      <c r="K309">
        <v>3</v>
      </c>
      <c r="L309">
        <v>8</v>
      </c>
    </row>
    <row r="310" spans="1:12" hidden="1" x14ac:dyDescent="0.3">
      <c r="A310" s="3">
        <v>45337</v>
      </c>
      <c r="B310" t="s">
        <v>41</v>
      </c>
      <c r="C310" t="s">
        <v>86</v>
      </c>
      <c r="D310">
        <v>9</v>
      </c>
      <c r="E310">
        <v>15</v>
      </c>
      <c r="F310">
        <v>1</v>
      </c>
      <c r="G310">
        <v>0</v>
      </c>
      <c r="H310">
        <v>10</v>
      </c>
      <c r="I310">
        <v>13</v>
      </c>
      <c r="J310">
        <v>3</v>
      </c>
      <c r="K310">
        <v>2.5</v>
      </c>
      <c r="L310">
        <v>14</v>
      </c>
    </row>
    <row r="311" spans="1:12" hidden="1" x14ac:dyDescent="0.3">
      <c r="A311" s="3">
        <v>45337</v>
      </c>
      <c r="B311" t="s">
        <v>70</v>
      </c>
      <c r="C311" t="s">
        <v>99</v>
      </c>
      <c r="D311">
        <v>6</v>
      </c>
      <c r="E311">
        <v>6</v>
      </c>
      <c r="F311">
        <v>5</v>
      </c>
      <c r="G311">
        <v>0</v>
      </c>
      <c r="H311">
        <v>0</v>
      </c>
      <c r="I311">
        <v>7</v>
      </c>
      <c r="J311">
        <v>4</v>
      </c>
      <c r="K311">
        <v>3</v>
      </c>
      <c r="L311">
        <v>7</v>
      </c>
    </row>
    <row r="312" spans="1:12" hidden="1" x14ac:dyDescent="0.3">
      <c r="A312" s="3">
        <v>45337</v>
      </c>
      <c r="B312" t="s">
        <v>69</v>
      </c>
      <c r="C312" t="s">
        <v>98</v>
      </c>
      <c r="D312">
        <v>3</v>
      </c>
      <c r="E312">
        <v>6</v>
      </c>
      <c r="F312">
        <v>3</v>
      </c>
      <c r="G312">
        <v>2</v>
      </c>
      <c r="H312">
        <v>0</v>
      </c>
      <c r="I312">
        <v>4</v>
      </c>
      <c r="J312">
        <v>4</v>
      </c>
      <c r="K312">
        <v>3</v>
      </c>
      <c r="L312">
        <v>7</v>
      </c>
    </row>
    <row r="313" spans="1:12" hidden="1" x14ac:dyDescent="0.3">
      <c r="A313" s="3">
        <v>45337</v>
      </c>
      <c r="B313" t="s">
        <v>80</v>
      </c>
      <c r="C313" t="s">
        <v>49</v>
      </c>
      <c r="D313">
        <v>6</v>
      </c>
      <c r="E313">
        <v>8</v>
      </c>
      <c r="F313">
        <v>4</v>
      </c>
      <c r="G313">
        <v>5</v>
      </c>
      <c r="H313">
        <v>2</v>
      </c>
      <c r="I313">
        <v>3</v>
      </c>
      <c r="J313">
        <v>2.5</v>
      </c>
      <c r="K313">
        <v>2</v>
      </c>
      <c r="L313">
        <v>5</v>
      </c>
    </row>
    <row r="314" spans="1:12" hidden="1" x14ac:dyDescent="0.3">
      <c r="A314" s="3">
        <v>45337</v>
      </c>
      <c r="B314" t="s">
        <v>72</v>
      </c>
      <c r="C314" t="s">
        <v>48</v>
      </c>
      <c r="D314">
        <v>3</v>
      </c>
      <c r="E314">
        <v>6</v>
      </c>
      <c r="F314">
        <v>2</v>
      </c>
      <c r="G314">
        <v>3</v>
      </c>
      <c r="H314">
        <v>0</v>
      </c>
      <c r="I314">
        <v>4</v>
      </c>
      <c r="J314">
        <v>4</v>
      </c>
      <c r="K314">
        <v>3</v>
      </c>
      <c r="L314">
        <v>7</v>
      </c>
    </row>
    <row r="315" spans="1:12" hidden="1" x14ac:dyDescent="0.3">
      <c r="A315" s="3">
        <v>45337</v>
      </c>
      <c r="B315" t="s">
        <v>55</v>
      </c>
      <c r="C315" t="s">
        <v>53</v>
      </c>
      <c r="D315">
        <v>4</v>
      </c>
      <c r="E315">
        <v>4</v>
      </c>
      <c r="F315">
        <v>0</v>
      </c>
      <c r="G315">
        <v>1</v>
      </c>
      <c r="H315">
        <v>3</v>
      </c>
      <c r="I315">
        <v>4</v>
      </c>
      <c r="J315">
        <v>8.5</v>
      </c>
      <c r="K315">
        <v>6</v>
      </c>
      <c r="L315">
        <v>7</v>
      </c>
    </row>
    <row r="316" spans="1:12" hidden="1" x14ac:dyDescent="0.3">
      <c r="A316" s="3">
        <v>45337</v>
      </c>
      <c r="B316" t="s">
        <v>71</v>
      </c>
      <c r="C316" t="s">
        <v>47</v>
      </c>
      <c r="D316">
        <v>4</v>
      </c>
      <c r="E316">
        <v>6</v>
      </c>
      <c r="F316">
        <v>0</v>
      </c>
      <c r="G316">
        <v>4</v>
      </c>
      <c r="H316">
        <v>2</v>
      </c>
      <c r="I316">
        <v>4</v>
      </c>
      <c r="J316">
        <v>4</v>
      </c>
      <c r="K316">
        <v>3</v>
      </c>
      <c r="L316">
        <v>7</v>
      </c>
    </row>
    <row r="317" spans="1:12" hidden="1" x14ac:dyDescent="0.3">
      <c r="A317" s="3">
        <v>45338</v>
      </c>
      <c r="B317" t="s">
        <v>88</v>
      </c>
      <c r="C317" t="s">
        <v>102</v>
      </c>
      <c r="D317">
        <v>3</v>
      </c>
      <c r="E317">
        <v>8</v>
      </c>
      <c r="F317">
        <v>6</v>
      </c>
      <c r="G317">
        <v>2</v>
      </c>
      <c r="H317">
        <v>2</v>
      </c>
      <c r="I317">
        <v>1</v>
      </c>
      <c r="J317">
        <v>3.5</v>
      </c>
      <c r="K317">
        <v>3</v>
      </c>
      <c r="L317">
        <v>8</v>
      </c>
    </row>
    <row r="318" spans="1:12" hidden="1" x14ac:dyDescent="0.3">
      <c r="A318" s="3">
        <v>45338</v>
      </c>
      <c r="B318" t="s">
        <v>68</v>
      </c>
      <c r="C318" t="s">
        <v>43</v>
      </c>
      <c r="D318">
        <v>0</v>
      </c>
      <c r="E318">
        <v>15</v>
      </c>
      <c r="F318">
        <v>5</v>
      </c>
      <c r="G318">
        <v>6</v>
      </c>
      <c r="H318">
        <v>1</v>
      </c>
      <c r="I318">
        <v>3</v>
      </c>
      <c r="J318">
        <v>4</v>
      </c>
      <c r="K318">
        <v>3</v>
      </c>
      <c r="L318">
        <v>14</v>
      </c>
    </row>
    <row r="319" spans="1:12" hidden="1" x14ac:dyDescent="0.3">
      <c r="A319" s="3">
        <v>45338</v>
      </c>
      <c r="B319" t="s">
        <v>10</v>
      </c>
      <c r="C319" t="s">
        <v>18</v>
      </c>
      <c r="D319">
        <v>6</v>
      </c>
      <c r="E319">
        <v>10</v>
      </c>
      <c r="F319">
        <v>3</v>
      </c>
      <c r="G319">
        <v>6</v>
      </c>
      <c r="H319">
        <v>0</v>
      </c>
      <c r="I319">
        <v>7</v>
      </c>
      <c r="J319">
        <v>5.5</v>
      </c>
      <c r="K319">
        <v>4.5</v>
      </c>
      <c r="L319">
        <v>7</v>
      </c>
    </row>
    <row r="320" spans="1:12" hidden="1" x14ac:dyDescent="0.3">
      <c r="A320" s="3">
        <v>45338</v>
      </c>
      <c r="B320" t="s">
        <v>62</v>
      </c>
      <c r="C320" t="s">
        <v>96</v>
      </c>
      <c r="D320">
        <v>6</v>
      </c>
      <c r="E320">
        <v>10</v>
      </c>
      <c r="F320">
        <v>5</v>
      </c>
      <c r="G320">
        <v>6</v>
      </c>
      <c r="H320">
        <v>2</v>
      </c>
      <c r="I320">
        <v>3</v>
      </c>
      <c r="J320">
        <v>4</v>
      </c>
      <c r="K320">
        <v>3.5</v>
      </c>
      <c r="L320">
        <v>10</v>
      </c>
    </row>
    <row r="321" spans="1:12" hidden="1" x14ac:dyDescent="0.3">
      <c r="A321" s="3">
        <v>45339</v>
      </c>
      <c r="B321" t="s">
        <v>70</v>
      </c>
      <c r="C321" t="s">
        <v>99</v>
      </c>
      <c r="D321">
        <v>7</v>
      </c>
      <c r="E321">
        <v>6</v>
      </c>
      <c r="F321">
        <v>5</v>
      </c>
      <c r="G321">
        <v>2</v>
      </c>
      <c r="H321">
        <v>3</v>
      </c>
      <c r="I321">
        <v>3</v>
      </c>
      <c r="J321">
        <v>4</v>
      </c>
      <c r="K321">
        <v>3</v>
      </c>
      <c r="L321">
        <v>7</v>
      </c>
    </row>
    <row r="322" spans="1:12" hidden="1" x14ac:dyDescent="0.3">
      <c r="A322" s="3">
        <v>45339</v>
      </c>
      <c r="B322" t="s">
        <v>65</v>
      </c>
      <c r="C322" t="s">
        <v>44</v>
      </c>
      <c r="D322">
        <v>8</v>
      </c>
      <c r="E322">
        <v>10</v>
      </c>
      <c r="F322">
        <v>10</v>
      </c>
      <c r="G322">
        <v>3</v>
      </c>
      <c r="H322">
        <v>1</v>
      </c>
      <c r="I322">
        <v>4</v>
      </c>
      <c r="J322">
        <v>3.5</v>
      </c>
      <c r="K322">
        <v>3</v>
      </c>
      <c r="L322">
        <v>8</v>
      </c>
    </row>
    <row r="323" spans="1:12" hidden="1" x14ac:dyDescent="0.3">
      <c r="A323" s="3">
        <v>45339</v>
      </c>
      <c r="B323" t="s">
        <v>81</v>
      </c>
      <c r="C323" t="s">
        <v>50</v>
      </c>
      <c r="D323">
        <v>4</v>
      </c>
      <c r="E323">
        <v>8</v>
      </c>
      <c r="F323">
        <v>2</v>
      </c>
      <c r="G323">
        <v>5</v>
      </c>
      <c r="H323">
        <v>3</v>
      </c>
      <c r="I323">
        <v>2</v>
      </c>
      <c r="J323">
        <v>2.5</v>
      </c>
      <c r="K323">
        <v>2</v>
      </c>
      <c r="L323">
        <v>5</v>
      </c>
    </row>
    <row r="324" spans="1:12" hidden="1" x14ac:dyDescent="0.3">
      <c r="A324" s="3">
        <v>45339</v>
      </c>
      <c r="B324" t="s">
        <v>19</v>
      </c>
      <c r="C324" t="s">
        <v>17</v>
      </c>
      <c r="D324">
        <v>3</v>
      </c>
      <c r="E324">
        <v>10</v>
      </c>
      <c r="F324">
        <v>5</v>
      </c>
      <c r="G324">
        <v>5</v>
      </c>
      <c r="H324">
        <v>1</v>
      </c>
      <c r="I324">
        <v>2</v>
      </c>
      <c r="J324">
        <v>4.5</v>
      </c>
      <c r="K324">
        <v>4</v>
      </c>
      <c r="L324">
        <v>10</v>
      </c>
    </row>
    <row r="325" spans="1:12" hidden="1" x14ac:dyDescent="0.3">
      <c r="A325" s="3">
        <v>45339</v>
      </c>
      <c r="B325" t="s">
        <v>62</v>
      </c>
      <c r="C325" t="s">
        <v>96</v>
      </c>
      <c r="D325">
        <v>3</v>
      </c>
      <c r="E325">
        <v>10</v>
      </c>
      <c r="F325">
        <v>5</v>
      </c>
      <c r="G325">
        <v>0</v>
      </c>
      <c r="H325">
        <v>1</v>
      </c>
      <c r="I325">
        <v>7</v>
      </c>
      <c r="J325">
        <v>4</v>
      </c>
      <c r="K325">
        <v>3.5</v>
      </c>
      <c r="L325">
        <v>10</v>
      </c>
    </row>
    <row r="326" spans="1:12" hidden="1" x14ac:dyDescent="0.3">
      <c r="A326" s="3">
        <v>45339</v>
      </c>
      <c r="B326" t="s">
        <v>67</v>
      </c>
      <c r="C326" t="s">
        <v>46</v>
      </c>
      <c r="D326">
        <v>4</v>
      </c>
      <c r="E326">
        <v>8</v>
      </c>
      <c r="F326">
        <v>6</v>
      </c>
      <c r="G326">
        <v>4</v>
      </c>
      <c r="H326">
        <v>1</v>
      </c>
      <c r="I326">
        <v>1</v>
      </c>
      <c r="J326">
        <v>3.5</v>
      </c>
      <c r="K326">
        <v>3</v>
      </c>
      <c r="L326">
        <v>8</v>
      </c>
    </row>
    <row r="327" spans="1:12" x14ac:dyDescent="0.3">
      <c r="A327" s="3">
        <v>45339</v>
      </c>
      <c r="B327" t="s">
        <v>34</v>
      </c>
      <c r="C327" t="s">
        <v>30</v>
      </c>
      <c r="D327">
        <v>7</v>
      </c>
      <c r="E327">
        <v>6</v>
      </c>
      <c r="F327">
        <v>1</v>
      </c>
      <c r="G327">
        <v>6</v>
      </c>
      <c r="H327">
        <v>4</v>
      </c>
      <c r="I327">
        <v>2</v>
      </c>
      <c r="J327">
        <v>3.5</v>
      </c>
      <c r="K327">
        <v>3</v>
      </c>
      <c r="L327">
        <v>10</v>
      </c>
    </row>
    <row r="328" spans="1:12" hidden="1" x14ac:dyDescent="0.3">
      <c r="A328" s="3">
        <v>45340</v>
      </c>
      <c r="B328" t="s">
        <v>80</v>
      </c>
      <c r="C328" t="s">
        <v>49</v>
      </c>
      <c r="D328">
        <v>3</v>
      </c>
      <c r="E328">
        <v>8</v>
      </c>
      <c r="F328">
        <v>6</v>
      </c>
      <c r="G328">
        <v>1</v>
      </c>
      <c r="H328">
        <v>0</v>
      </c>
      <c r="I328">
        <v>4</v>
      </c>
      <c r="J328">
        <v>2.5</v>
      </c>
      <c r="K328">
        <v>2</v>
      </c>
      <c r="L328">
        <v>5</v>
      </c>
    </row>
    <row r="329" spans="1:12" hidden="1" x14ac:dyDescent="0.3">
      <c r="A329" s="3">
        <v>45340</v>
      </c>
      <c r="B329" t="s">
        <v>59</v>
      </c>
      <c r="C329" t="s">
        <v>93</v>
      </c>
      <c r="D329">
        <v>4</v>
      </c>
      <c r="E329">
        <v>10</v>
      </c>
      <c r="F329">
        <v>8</v>
      </c>
      <c r="G329">
        <v>0</v>
      </c>
      <c r="H329">
        <v>0</v>
      </c>
      <c r="I329">
        <v>6</v>
      </c>
      <c r="J329">
        <v>4</v>
      </c>
      <c r="K329">
        <v>3.5</v>
      </c>
      <c r="L329">
        <v>10</v>
      </c>
    </row>
    <row r="330" spans="1:12" hidden="1" x14ac:dyDescent="0.3">
      <c r="A330" s="3">
        <v>45340</v>
      </c>
      <c r="B330" t="s">
        <v>21</v>
      </c>
      <c r="C330" t="s">
        <v>27</v>
      </c>
      <c r="D330">
        <v>1</v>
      </c>
      <c r="E330">
        <v>8</v>
      </c>
      <c r="F330">
        <v>1</v>
      </c>
      <c r="G330">
        <v>3</v>
      </c>
      <c r="H330">
        <v>2</v>
      </c>
      <c r="I330">
        <v>3</v>
      </c>
      <c r="J330">
        <v>4</v>
      </c>
      <c r="K330">
        <v>3</v>
      </c>
      <c r="L330">
        <v>14</v>
      </c>
    </row>
    <row r="331" spans="1:12" hidden="1" x14ac:dyDescent="0.3">
      <c r="A331" s="3">
        <v>45340</v>
      </c>
      <c r="B331" t="s">
        <v>41</v>
      </c>
      <c r="C331" t="s">
        <v>86</v>
      </c>
      <c r="D331">
        <v>13</v>
      </c>
      <c r="E331">
        <v>15</v>
      </c>
      <c r="F331">
        <v>7</v>
      </c>
      <c r="G331">
        <v>8</v>
      </c>
      <c r="H331">
        <v>7</v>
      </c>
      <c r="I331">
        <v>6</v>
      </c>
      <c r="J331">
        <v>3</v>
      </c>
      <c r="K331">
        <v>2.5</v>
      </c>
      <c r="L331">
        <v>14</v>
      </c>
    </row>
    <row r="332" spans="1:12" hidden="1" x14ac:dyDescent="0.3">
      <c r="A332" s="3">
        <v>45340</v>
      </c>
      <c r="B332" t="s">
        <v>22</v>
      </c>
      <c r="C332" t="s">
        <v>26</v>
      </c>
      <c r="D332">
        <v>6</v>
      </c>
      <c r="E332">
        <v>12</v>
      </c>
      <c r="F332">
        <v>4</v>
      </c>
      <c r="G332">
        <v>8</v>
      </c>
      <c r="H332">
        <v>0</v>
      </c>
      <c r="I332">
        <v>6</v>
      </c>
      <c r="J332">
        <v>3.5</v>
      </c>
      <c r="K332">
        <v>3</v>
      </c>
      <c r="L332">
        <v>14</v>
      </c>
    </row>
    <row r="333" spans="1:12" hidden="1" x14ac:dyDescent="0.3">
      <c r="A333" s="3">
        <v>45340</v>
      </c>
      <c r="B333" t="s">
        <v>82</v>
      </c>
      <c r="C333" t="s">
        <v>73</v>
      </c>
      <c r="D333">
        <v>2</v>
      </c>
      <c r="E333">
        <v>8</v>
      </c>
      <c r="F333">
        <v>2</v>
      </c>
      <c r="G333">
        <v>5</v>
      </c>
      <c r="H333">
        <v>0</v>
      </c>
      <c r="I333">
        <v>3</v>
      </c>
      <c r="J333">
        <v>2.5</v>
      </c>
      <c r="K333">
        <v>2</v>
      </c>
      <c r="L333">
        <v>5</v>
      </c>
    </row>
    <row r="334" spans="1:12" hidden="1" x14ac:dyDescent="0.3">
      <c r="A334" s="3">
        <v>45340</v>
      </c>
      <c r="B334" t="s">
        <v>88</v>
      </c>
      <c r="C334" t="s">
        <v>102</v>
      </c>
      <c r="D334">
        <v>1</v>
      </c>
      <c r="E334">
        <v>8</v>
      </c>
      <c r="F334">
        <v>1</v>
      </c>
      <c r="G334">
        <v>0</v>
      </c>
      <c r="H334">
        <v>2</v>
      </c>
      <c r="I334">
        <v>6</v>
      </c>
      <c r="J334">
        <v>3.5</v>
      </c>
      <c r="K334">
        <v>3</v>
      </c>
      <c r="L334">
        <v>8</v>
      </c>
    </row>
    <row r="335" spans="1:12" hidden="1" x14ac:dyDescent="0.3">
      <c r="A335" s="3">
        <v>45340</v>
      </c>
      <c r="B335" t="s">
        <v>78</v>
      </c>
      <c r="C335" t="s">
        <v>74</v>
      </c>
      <c r="D335">
        <v>4</v>
      </c>
      <c r="E335">
        <v>6</v>
      </c>
      <c r="F335">
        <v>2</v>
      </c>
      <c r="G335">
        <v>4</v>
      </c>
      <c r="H335">
        <v>2</v>
      </c>
      <c r="I335">
        <v>2</v>
      </c>
      <c r="J335">
        <v>4</v>
      </c>
      <c r="K335">
        <v>3</v>
      </c>
      <c r="L335">
        <v>7</v>
      </c>
    </row>
    <row r="336" spans="1:12" hidden="1" x14ac:dyDescent="0.3">
      <c r="A336" s="3">
        <v>45340</v>
      </c>
      <c r="B336" t="s">
        <v>22</v>
      </c>
      <c r="C336" t="s">
        <v>26</v>
      </c>
      <c r="D336">
        <v>6</v>
      </c>
      <c r="E336">
        <v>12</v>
      </c>
      <c r="F336">
        <v>0</v>
      </c>
      <c r="G336">
        <v>3</v>
      </c>
      <c r="H336">
        <v>7</v>
      </c>
      <c r="I336">
        <v>8</v>
      </c>
      <c r="J336">
        <v>3.5</v>
      </c>
      <c r="K336">
        <v>3</v>
      </c>
      <c r="L336">
        <v>14</v>
      </c>
    </row>
    <row r="337" spans="1:12" hidden="1" x14ac:dyDescent="0.3">
      <c r="A337" s="3">
        <v>45340</v>
      </c>
      <c r="B337" t="s">
        <v>61</v>
      </c>
      <c r="C337" t="s">
        <v>95</v>
      </c>
      <c r="D337">
        <v>15</v>
      </c>
      <c r="E337">
        <v>10</v>
      </c>
      <c r="F337">
        <v>2</v>
      </c>
      <c r="G337">
        <v>9</v>
      </c>
      <c r="H337">
        <v>6</v>
      </c>
      <c r="I337">
        <v>8</v>
      </c>
      <c r="J337">
        <v>4</v>
      </c>
      <c r="K337">
        <v>3.5</v>
      </c>
      <c r="L337">
        <v>10</v>
      </c>
    </row>
    <row r="338" spans="1:12" hidden="1" x14ac:dyDescent="0.3">
      <c r="A338" s="3">
        <v>45341</v>
      </c>
      <c r="B338" t="s">
        <v>90</v>
      </c>
      <c r="C338" t="s">
        <v>87</v>
      </c>
      <c r="D338">
        <v>5</v>
      </c>
      <c r="E338">
        <v>12</v>
      </c>
      <c r="F338">
        <v>8</v>
      </c>
      <c r="G338">
        <v>2</v>
      </c>
      <c r="H338">
        <v>3</v>
      </c>
      <c r="I338">
        <v>4</v>
      </c>
      <c r="J338">
        <v>4.5</v>
      </c>
      <c r="K338">
        <v>4</v>
      </c>
      <c r="L338">
        <v>14</v>
      </c>
    </row>
    <row r="339" spans="1:12" hidden="1" x14ac:dyDescent="0.3">
      <c r="A339" s="3">
        <v>45341</v>
      </c>
      <c r="B339" t="s">
        <v>89</v>
      </c>
      <c r="C339" t="s">
        <v>103</v>
      </c>
      <c r="D339">
        <v>2</v>
      </c>
      <c r="E339">
        <v>8</v>
      </c>
      <c r="F339">
        <v>1</v>
      </c>
      <c r="G339">
        <v>2</v>
      </c>
      <c r="H339">
        <v>3</v>
      </c>
      <c r="I339">
        <v>4</v>
      </c>
      <c r="J339">
        <v>3.5</v>
      </c>
      <c r="K339">
        <v>3</v>
      </c>
      <c r="L339">
        <v>8</v>
      </c>
    </row>
    <row r="340" spans="1:12" hidden="1" x14ac:dyDescent="0.3">
      <c r="A340" s="3">
        <v>45341</v>
      </c>
      <c r="B340" t="s">
        <v>35</v>
      </c>
      <c r="C340" t="s">
        <v>31</v>
      </c>
      <c r="D340">
        <v>7</v>
      </c>
      <c r="E340">
        <v>8</v>
      </c>
      <c r="F340">
        <v>0</v>
      </c>
      <c r="G340">
        <v>7</v>
      </c>
      <c r="H340">
        <v>2</v>
      </c>
      <c r="I340">
        <v>6</v>
      </c>
      <c r="J340">
        <v>3.5</v>
      </c>
      <c r="K340">
        <v>3</v>
      </c>
      <c r="L340">
        <v>14</v>
      </c>
    </row>
    <row r="341" spans="1:12" hidden="1" x14ac:dyDescent="0.3">
      <c r="A341" s="3">
        <v>45341</v>
      </c>
      <c r="B341" t="s">
        <v>24</v>
      </c>
      <c r="C341" t="s">
        <v>29</v>
      </c>
      <c r="D341">
        <v>5</v>
      </c>
      <c r="E341">
        <v>8</v>
      </c>
      <c r="F341">
        <v>2</v>
      </c>
      <c r="G341">
        <v>4</v>
      </c>
      <c r="H341">
        <v>2</v>
      </c>
      <c r="I341">
        <v>5</v>
      </c>
      <c r="J341">
        <v>7.5</v>
      </c>
      <c r="K341">
        <v>5.5</v>
      </c>
      <c r="L341">
        <v>7</v>
      </c>
    </row>
    <row r="342" spans="1:12" hidden="1" x14ac:dyDescent="0.3">
      <c r="A342" s="3">
        <v>45341</v>
      </c>
      <c r="B342" t="s">
        <v>41</v>
      </c>
      <c r="C342" t="s">
        <v>86</v>
      </c>
      <c r="D342">
        <v>6</v>
      </c>
      <c r="E342">
        <v>15</v>
      </c>
      <c r="F342">
        <v>10</v>
      </c>
      <c r="G342">
        <v>1</v>
      </c>
      <c r="H342">
        <v>0</v>
      </c>
      <c r="I342">
        <v>10</v>
      </c>
      <c r="J342">
        <v>3</v>
      </c>
      <c r="K342">
        <v>2.5</v>
      </c>
      <c r="L342">
        <v>14</v>
      </c>
    </row>
    <row r="343" spans="1:12" hidden="1" x14ac:dyDescent="0.3">
      <c r="A343" s="3">
        <v>45341</v>
      </c>
      <c r="B343" t="s">
        <v>70</v>
      </c>
      <c r="C343" t="s">
        <v>99</v>
      </c>
      <c r="D343">
        <v>3</v>
      </c>
      <c r="E343">
        <v>6</v>
      </c>
      <c r="F343">
        <v>5</v>
      </c>
      <c r="G343">
        <v>0</v>
      </c>
      <c r="H343">
        <v>2</v>
      </c>
      <c r="I343">
        <v>2</v>
      </c>
      <c r="J343">
        <v>4</v>
      </c>
      <c r="K343">
        <v>3</v>
      </c>
      <c r="L343">
        <v>7</v>
      </c>
    </row>
    <row r="344" spans="1:12" hidden="1" x14ac:dyDescent="0.3">
      <c r="A344" s="3">
        <v>45341</v>
      </c>
      <c r="B344" t="s">
        <v>81</v>
      </c>
      <c r="C344" t="s">
        <v>50</v>
      </c>
      <c r="D344">
        <v>2</v>
      </c>
      <c r="E344">
        <v>8</v>
      </c>
      <c r="F344">
        <v>5</v>
      </c>
      <c r="G344">
        <v>3</v>
      </c>
      <c r="H344">
        <v>1</v>
      </c>
      <c r="I344">
        <v>1</v>
      </c>
      <c r="J344">
        <v>2.5</v>
      </c>
      <c r="K344">
        <v>2</v>
      </c>
      <c r="L344">
        <v>5</v>
      </c>
    </row>
    <row r="345" spans="1:12" hidden="1" x14ac:dyDescent="0.3">
      <c r="A345" s="3">
        <v>45342</v>
      </c>
      <c r="B345" t="s">
        <v>63</v>
      </c>
      <c r="C345" t="s">
        <v>97</v>
      </c>
      <c r="D345">
        <v>4</v>
      </c>
      <c r="E345">
        <v>10</v>
      </c>
      <c r="F345">
        <v>8</v>
      </c>
      <c r="G345">
        <v>3</v>
      </c>
      <c r="H345">
        <v>2</v>
      </c>
      <c r="I345">
        <v>1</v>
      </c>
      <c r="J345">
        <v>4</v>
      </c>
      <c r="K345">
        <v>3.5</v>
      </c>
      <c r="L345">
        <v>10</v>
      </c>
    </row>
    <row r="346" spans="1:12" hidden="1" x14ac:dyDescent="0.3">
      <c r="A346" s="3">
        <v>45342</v>
      </c>
      <c r="B346" t="s">
        <v>82</v>
      </c>
      <c r="C346" t="s">
        <v>73</v>
      </c>
      <c r="D346">
        <v>3</v>
      </c>
      <c r="E346">
        <v>8</v>
      </c>
      <c r="F346">
        <v>1</v>
      </c>
      <c r="G346">
        <v>6</v>
      </c>
      <c r="H346">
        <v>1</v>
      </c>
      <c r="I346">
        <v>3</v>
      </c>
      <c r="J346">
        <v>2.5</v>
      </c>
      <c r="K346">
        <v>2</v>
      </c>
      <c r="L346">
        <v>5</v>
      </c>
    </row>
    <row r="347" spans="1:12" hidden="1" x14ac:dyDescent="0.3">
      <c r="A347" s="3">
        <v>45342</v>
      </c>
      <c r="B347" t="s">
        <v>92</v>
      </c>
      <c r="C347" t="s">
        <v>91</v>
      </c>
      <c r="D347">
        <v>5</v>
      </c>
      <c r="E347">
        <v>6</v>
      </c>
      <c r="F347">
        <v>5</v>
      </c>
      <c r="G347">
        <v>3</v>
      </c>
      <c r="H347">
        <v>0</v>
      </c>
      <c r="I347">
        <v>3</v>
      </c>
      <c r="J347">
        <v>4.5</v>
      </c>
      <c r="K347">
        <v>4</v>
      </c>
      <c r="L347">
        <v>14</v>
      </c>
    </row>
    <row r="348" spans="1:12" hidden="1" x14ac:dyDescent="0.3">
      <c r="A348" s="3">
        <v>45342</v>
      </c>
      <c r="B348" t="s">
        <v>36</v>
      </c>
      <c r="C348" t="s">
        <v>33</v>
      </c>
      <c r="D348">
        <v>8</v>
      </c>
      <c r="E348">
        <v>12</v>
      </c>
      <c r="F348">
        <v>9</v>
      </c>
      <c r="G348">
        <v>1</v>
      </c>
      <c r="H348">
        <v>6</v>
      </c>
      <c r="I348">
        <v>4</v>
      </c>
      <c r="J348">
        <v>3.5</v>
      </c>
      <c r="K348">
        <v>3</v>
      </c>
      <c r="L348">
        <v>14</v>
      </c>
    </row>
    <row r="349" spans="1:12" hidden="1" x14ac:dyDescent="0.3">
      <c r="A349" s="3">
        <v>45342</v>
      </c>
      <c r="B349" t="s">
        <v>84</v>
      </c>
      <c r="C349" t="s">
        <v>101</v>
      </c>
      <c r="D349">
        <v>2</v>
      </c>
      <c r="E349">
        <v>8</v>
      </c>
      <c r="F349">
        <v>2</v>
      </c>
      <c r="G349">
        <v>1</v>
      </c>
      <c r="H349">
        <v>4</v>
      </c>
      <c r="I349">
        <v>3</v>
      </c>
      <c r="J349">
        <v>3.5</v>
      </c>
      <c r="K349">
        <v>3</v>
      </c>
      <c r="L349">
        <v>8</v>
      </c>
    </row>
    <row r="350" spans="1:12" hidden="1" x14ac:dyDescent="0.3">
      <c r="A350" s="3">
        <v>45342</v>
      </c>
      <c r="B350" t="s">
        <v>90</v>
      </c>
      <c r="C350" t="s">
        <v>87</v>
      </c>
      <c r="D350">
        <v>4</v>
      </c>
      <c r="E350">
        <v>12</v>
      </c>
      <c r="F350">
        <v>4</v>
      </c>
      <c r="G350">
        <v>3</v>
      </c>
      <c r="H350">
        <v>4</v>
      </c>
      <c r="I350">
        <v>5</v>
      </c>
      <c r="J350">
        <v>4.5</v>
      </c>
      <c r="K350">
        <v>4</v>
      </c>
      <c r="L350">
        <v>14</v>
      </c>
    </row>
    <row r="351" spans="1:12" hidden="1" x14ac:dyDescent="0.3">
      <c r="A351" s="3">
        <v>45343</v>
      </c>
      <c r="B351" t="s">
        <v>82</v>
      </c>
      <c r="C351" t="s">
        <v>73</v>
      </c>
      <c r="D351">
        <v>3</v>
      </c>
      <c r="E351">
        <v>8</v>
      </c>
      <c r="F351">
        <v>1</v>
      </c>
      <c r="G351">
        <v>0</v>
      </c>
      <c r="H351">
        <v>2</v>
      </c>
      <c r="I351">
        <v>8</v>
      </c>
      <c r="J351">
        <v>2.5</v>
      </c>
      <c r="K351">
        <v>2</v>
      </c>
      <c r="L351">
        <v>5</v>
      </c>
    </row>
    <row r="352" spans="1:12" hidden="1" x14ac:dyDescent="0.3">
      <c r="A352" s="3">
        <v>45343</v>
      </c>
      <c r="B352" t="s">
        <v>70</v>
      </c>
      <c r="C352" t="s">
        <v>99</v>
      </c>
      <c r="D352">
        <v>2</v>
      </c>
      <c r="E352">
        <v>6</v>
      </c>
      <c r="F352">
        <v>2</v>
      </c>
      <c r="G352">
        <v>2</v>
      </c>
      <c r="H352">
        <v>1</v>
      </c>
      <c r="I352">
        <v>3</v>
      </c>
      <c r="J352">
        <v>4</v>
      </c>
      <c r="K352">
        <v>3</v>
      </c>
      <c r="L352">
        <v>7</v>
      </c>
    </row>
    <row r="353" spans="1:12" hidden="1" x14ac:dyDescent="0.3">
      <c r="A353" s="3">
        <v>45343</v>
      </c>
      <c r="B353" t="s">
        <v>37</v>
      </c>
      <c r="C353" t="s">
        <v>51</v>
      </c>
      <c r="D353">
        <v>8</v>
      </c>
      <c r="E353">
        <v>12</v>
      </c>
      <c r="F353">
        <v>10</v>
      </c>
      <c r="G353">
        <v>5</v>
      </c>
      <c r="H353">
        <v>0</v>
      </c>
      <c r="I353">
        <v>5</v>
      </c>
      <c r="J353">
        <v>3.5</v>
      </c>
      <c r="K353">
        <v>3</v>
      </c>
      <c r="L353">
        <v>14</v>
      </c>
    </row>
    <row r="354" spans="1:12" hidden="1" x14ac:dyDescent="0.3">
      <c r="A354" s="3">
        <v>45343</v>
      </c>
      <c r="B354" t="s">
        <v>57</v>
      </c>
      <c r="C354" t="s">
        <v>75</v>
      </c>
      <c r="D354">
        <v>5</v>
      </c>
      <c r="E354">
        <v>8</v>
      </c>
      <c r="F354">
        <v>3</v>
      </c>
      <c r="G354">
        <v>6</v>
      </c>
      <c r="H354">
        <v>2</v>
      </c>
      <c r="I354">
        <v>2</v>
      </c>
      <c r="J354">
        <v>6</v>
      </c>
      <c r="K354">
        <v>5.5</v>
      </c>
      <c r="L354">
        <v>20</v>
      </c>
    </row>
    <row r="355" spans="1:12" hidden="1" x14ac:dyDescent="0.3">
      <c r="A355" s="3">
        <v>45343</v>
      </c>
      <c r="B355" t="s">
        <v>58</v>
      </c>
      <c r="C355" t="s">
        <v>76</v>
      </c>
      <c r="D355">
        <v>4</v>
      </c>
      <c r="E355">
        <v>15</v>
      </c>
      <c r="F355">
        <v>1</v>
      </c>
      <c r="G355">
        <v>5</v>
      </c>
      <c r="H355">
        <v>5</v>
      </c>
      <c r="I355">
        <v>8</v>
      </c>
      <c r="J355">
        <v>6</v>
      </c>
      <c r="K355">
        <v>5.5</v>
      </c>
      <c r="L355">
        <v>20</v>
      </c>
    </row>
    <row r="356" spans="1:12" hidden="1" x14ac:dyDescent="0.3">
      <c r="A356" s="3">
        <v>45343</v>
      </c>
      <c r="B356" t="s">
        <v>70</v>
      </c>
      <c r="C356" t="s">
        <v>99</v>
      </c>
      <c r="D356">
        <v>3</v>
      </c>
      <c r="E356">
        <v>6</v>
      </c>
      <c r="F356">
        <v>2</v>
      </c>
      <c r="G356">
        <v>2</v>
      </c>
      <c r="H356">
        <v>0</v>
      </c>
      <c r="I356">
        <v>5</v>
      </c>
      <c r="J356">
        <v>4</v>
      </c>
      <c r="K356">
        <v>3</v>
      </c>
      <c r="L356">
        <v>7</v>
      </c>
    </row>
    <row r="357" spans="1:12" hidden="1" x14ac:dyDescent="0.3">
      <c r="A357" s="3">
        <v>45344</v>
      </c>
      <c r="B357" t="s">
        <v>58</v>
      </c>
      <c r="C357" t="s">
        <v>76</v>
      </c>
      <c r="D357">
        <v>8</v>
      </c>
      <c r="E357">
        <v>15</v>
      </c>
      <c r="F357">
        <v>8</v>
      </c>
      <c r="G357">
        <v>9</v>
      </c>
      <c r="H357">
        <v>3</v>
      </c>
      <c r="I357">
        <v>3</v>
      </c>
      <c r="J357">
        <v>6</v>
      </c>
      <c r="K357">
        <v>5.5</v>
      </c>
      <c r="L357">
        <v>20</v>
      </c>
    </row>
    <row r="358" spans="1:12" hidden="1" x14ac:dyDescent="0.3">
      <c r="A358" s="3">
        <v>45344</v>
      </c>
      <c r="B358" t="s">
        <v>78</v>
      </c>
      <c r="C358" t="s">
        <v>74</v>
      </c>
      <c r="D358">
        <v>2</v>
      </c>
      <c r="E358">
        <v>6</v>
      </c>
      <c r="F358">
        <v>3</v>
      </c>
      <c r="G358">
        <v>2</v>
      </c>
      <c r="H358">
        <v>1</v>
      </c>
      <c r="I358">
        <v>2</v>
      </c>
      <c r="J358">
        <v>4</v>
      </c>
      <c r="K358">
        <v>3</v>
      </c>
      <c r="L358">
        <v>7</v>
      </c>
    </row>
    <row r="359" spans="1:12" hidden="1" x14ac:dyDescent="0.3">
      <c r="A359" s="3">
        <v>45344</v>
      </c>
      <c r="B359" t="s">
        <v>35</v>
      </c>
      <c r="C359" t="s">
        <v>31</v>
      </c>
      <c r="D359">
        <v>6</v>
      </c>
      <c r="E359">
        <v>8</v>
      </c>
      <c r="F359">
        <v>3</v>
      </c>
      <c r="G359">
        <v>6</v>
      </c>
      <c r="H359">
        <v>1</v>
      </c>
      <c r="I359">
        <v>4</v>
      </c>
      <c r="J359">
        <v>3.5</v>
      </c>
      <c r="K359">
        <v>3</v>
      </c>
      <c r="L359">
        <v>14</v>
      </c>
    </row>
    <row r="360" spans="1:12" hidden="1" x14ac:dyDescent="0.3">
      <c r="A360" s="3">
        <v>45344</v>
      </c>
      <c r="B360" t="s">
        <v>89</v>
      </c>
      <c r="C360" t="s">
        <v>103</v>
      </c>
      <c r="D360">
        <v>4</v>
      </c>
      <c r="E360">
        <v>8</v>
      </c>
      <c r="F360">
        <v>2</v>
      </c>
      <c r="G360">
        <v>4</v>
      </c>
      <c r="H360">
        <v>2</v>
      </c>
      <c r="I360">
        <v>4</v>
      </c>
      <c r="J360">
        <v>3.5</v>
      </c>
      <c r="K360">
        <v>3</v>
      </c>
      <c r="L360">
        <v>8</v>
      </c>
    </row>
    <row r="361" spans="1:12" hidden="1" x14ac:dyDescent="0.3">
      <c r="A361" s="3">
        <v>45345</v>
      </c>
      <c r="B361" t="s">
        <v>65</v>
      </c>
      <c r="C361" t="s">
        <v>44</v>
      </c>
      <c r="D361">
        <v>4</v>
      </c>
      <c r="E361">
        <v>10</v>
      </c>
      <c r="F361">
        <v>6</v>
      </c>
      <c r="G361">
        <v>5</v>
      </c>
      <c r="H361">
        <v>1</v>
      </c>
      <c r="I361">
        <v>2</v>
      </c>
      <c r="J361">
        <v>3.5</v>
      </c>
      <c r="K361">
        <v>3</v>
      </c>
      <c r="L361">
        <v>8</v>
      </c>
    </row>
    <row r="362" spans="1:12" hidden="1" x14ac:dyDescent="0.3">
      <c r="A362" s="3">
        <v>45345</v>
      </c>
      <c r="B362" t="s">
        <v>24</v>
      </c>
      <c r="C362" t="s">
        <v>29</v>
      </c>
      <c r="D362">
        <v>5</v>
      </c>
      <c r="E362">
        <v>8</v>
      </c>
      <c r="F362">
        <v>3</v>
      </c>
      <c r="G362">
        <v>1</v>
      </c>
      <c r="H362">
        <v>5</v>
      </c>
      <c r="I362">
        <v>4</v>
      </c>
      <c r="J362">
        <v>7.5</v>
      </c>
      <c r="K362">
        <v>5.5</v>
      </c>
      <c r="L362">
        <v>7</v>
      </c>
    </row>
    <row r="363" spans="1:12" hidden="1" x14ac:dyDescent="0.3">
      <c r="A363" s="3">
        <v>45345</v>
      </c>
      <c r="B363" t="s">
        <v>23</v>
      </c>
      <c r="C363" t="s">
        <v>28</v>
      </c>
      <c r="D363">
        <v>8</v>
      </c>
      <c r="E363">
        <v>9</v>
      </c>
      <c r="F363">
        <v>8</v>
      </c>
      <c r="G363">
        <v>2</v>
      </c>
      <c r="H363">
        <v>3</v>
      </c>
      <c r="I363">
        <v>4</v>
      </c>
      <c r="J363">
        <v>6.5</v>
      </c>
      <c r="K363">
        <v>5.5</v>
      </c>
      <c r="L363">
        <v>9</v>
      </c>
    </row>
    <row r="364" spans="1:12" hidden="1" x14ac:dyDescent="0.3">
      <c r="A364" s="3">
        <v>45345</v>
      </c>
      <c r="B364" t="s">
        <v>65</v>
      </c>
      <c r="C364" t="s">
        <v>44</v>
      </c>
      <c r="D364">
        <v>2</v>
      </c>
      <c r="E364">
        <v>10</v>
      </c>
      <c r="F364">
        <v>4</v>
      </c>
      <c r="G364">
        <v>0</v>
      </c>
      <c r="H364">
        <v>2</v>
      </c>
      <c r="I364">
        <v>6</v>
      </c>
      <c r="J364">
        <v>3.5</v>
      </c>
      <c r="K364">
        <v>3</v>
      </c>
      <c r="L364">
        <v>8</v>
      </c>
    </row>
    <row r="365" spans="1:12" hidden="1" x14ac:dyDescent="0.3">
      <c r="A365" s="3">
        <v>45345</v>
      </c>
      <c r="B365" t="s">
        <v>21</v>
      </c>
      <c r="C365" t="s">
        <v>27</v>
      </c>
      <c r="D365">
        <v>3</v>
      </c>
      <c r="E365">
        <v>8</v>
      </c>
      <c r="F365">
        <v>0</v>
      </c>
      <c r="G365">
        <v>7</v>
      </c>
      <c r="H365">
        <v>2</v>
      </c>
      <c r="I365">
        <v>2</v>
      </c>
      <c r="J365">
        <v>4</v>
      </c>
      <c r="K365">
        <v>3</v>
      </c>
      <c r="L365">
        <v>14</v>
      </c>
    </row>
    <row r="366" spans="1:12" hidden="1" x14ac:dyDescent="0.3">
      <c r="A366" s="3">
        <v>45345</v>
      </c>
      <c r="B366" t="s">
        <v>57</v>
      </c>
      <c r="C366" t="s">
        <v>75</v>
      </c>
      <c r="D366">
        <v>2</v>
      </c>
      <c r="E366">
        <v>8</v>
      </c>
      <c r="F366">
        <v>6</v>
      </c>
      <c r="G366">
        <v>0</v>
      </c>
      <c r="H366">
        <v>2</v>
      </c>
      <c r="I366">
        <v>2</v>
      </c>
      <c r="J366">
        <v>6</v>
      </c>
      <c r="K366">
        <v>5.5</v>
      </c>
      <c r="L366">
        <v>20</v>
      </c>
    </row>
    <row r="367" spans="1:12" hidden="1" x14ac:dyDescent="0.3">
      <c r="A367" s="3">
        <v>45345</v>
      </c>
      <c r="B367" t="s">
        <v>56</v>
      </c>
      <c r="C367" t="s">
        <v>54</v>
      </c>
      <c r="D367">
        <v>2</v>
      </c>
      <c r="E367">
        <v>8</v>
      </c>
      <c r="F367">
        <v>0</v>
      </c>
      <c r="G367">
        <v>3</v>
      </c>
      <c r="H367">
        <v>1</v>
      </c>
      <c r="I367">
        <v>6</v>
      </c>
      <c r="J367">
        <v>6</v>
      </c>
      <c r="K367">
        <v>5.5</v>
      </c>
      <c r="L367">
        <v>20</v>
      </c>
    </row>
    <row r="368" spans="1:12" hidden="1" x14ac:dyDescent="0.3">
      <c r="A368" s="3">
        <v>45345</v>
      </c>
      <c r="B368" t="s">
        <v>72</v>
      </c>
      <c r="C368" t="s">
        <v>48</v>
      </c>
      <c r="D368">
        <v>4</v>
      </c>
      <c r="E368">
        <v>6</v>
      </c>
      <c r="F368">
        <v>3</v>
      </c>
      <c r="G368">
        <v>1</v>
      </c>
      <c r="H368">
        <v>0</v>
      </c>
      <c r="I368">
        <v>6</v>
      </c>
      <c r="J368">
        <v>4</v>
      </c>
      <c r="K368">
        <v>3</v>
      </c>
      <c r="L368">
        <v>7</v>
      </c>
    </row>
    <row r="369" spans="1:12" hidden="1" x14ac:dyDescent="0.3">
      <c r="A369" s="3">
        <v>45345</v>
      </c>
      <c r="B369" t="s">
        <v>92</v>
      </c>
      <c r="C369" t="s">
        <v>91</v>
      </c>
      <c r="D369">
        <v>3</v>
      </c>
      <c r="E369">
        <v>6</v>
      </c>
      <c r="F369">
        <v>2</v>
      </c>
      <c r="G369">
        <v>3</v>
      </c>
      <c r="H369">
        <v>0</v>
      </c>
      <c r="I369">
        <v>4</v>
      </c>
      <c r="J369">
        <v>4.5</v>
      </c>
      <c r="K369">
        <v>4</v>
      </c>
      <c r="L369">
        <v>14</v>
      </c>
    </row>
    <row r="370" spans="1:12" hidden="1" x14ac:dyDescent="0.3">
      <c r="A370" s="3">
        <v>45346</v>
      </c>
      <c r="B370" t="s">
        <v>57</v>
      </c>
      <c r="C370" t="s">
        <v>75</v>
      </c>
      <c r="D370">
        <v>2</v>
      </c>
      <c r="E370">
        <v>8</v>
      </c>
      <c r="F370">
        <v>4</v>
      </c>
      <c r="G370">
        <v>3</v>
      </c>
      <c r="H370">
        <v>1</v>
      </c>
      <c r="I370">
        <v>2</v>
      </c>
      <c r="J370">
        <v>6</v>
      </c>
      <c r="K370">
        <v>5.5</v>
      </c>
      <c r="L370">
        <v>20</v>
      </c>
    </row>
    <row r="371" spans="1:12" hidden="1" x14ac:dyDescent="0.3">
      <c r="A371" s="3">
        <v>45346</v>
      </c>
      <c r="B371" t="s">
        <v>58</v>
      </c>
      <c r="C371" t="s">
        <v>76</v>
      </c>
      <c r="D371">
        <v>3</v>
      </c>
      <c r="E371">
        <v>15</v>
      </c>
      <c r="F371">
        <v>8</v>
      </c>
      <c r="G371">
        <v>6</v>
      </c>
      <c r="H371">
        <v>2</v>
      </c>
      <c r="I371">
        <v>2</v>
      </c>
      <c r="J371">
        <v>6</v>
      </c>
      <c r="K371">
        <v>5.5</v>
      </c>
      <c r="L371">
        <v>20</v>
      </c>
    </row>
    <row r="372" spans="1:12" hidden="1" x14ac:dyDescent="0.3">
      <c r="A372" s="3">
        <v>45346</v>
      </c>
      <c r="B372" t="s">
        <v>23</v>
      </c>
      <c r="C372" t="s">
        <v>28</v>
      </c>
      <c r="D372">
        <v>4</v>
      </c>
      <c r="E372">
        <v>9</v>
      </c>
      <c r="F372">
        <v>3</v>
      </c>
      <c r="G372">
        <v>6</v>
      </c>
      <c r="H372">
        <v>1</v>
      </c>
      <c r="I372">
        <v>3</v>
      </c>
      <c r="J372">
        <v>6.5</v>
      </c>
      <c r="K372">
        <v>5.5</v>
      </c>
      <c r="L372">
        <v>9</v>
      </c>
    </row>
    <row r="373" spans="1:12" hidden="1" x14ac:dyDescent="0.3">
      <c r="A373" s="3">
        <v>45346</v>
      </c>
      <c r="B373" t="s">
        <v>84</v>
      </c>
      <c r="C373" t="s">
        <v>101</v>
      </c>
      <c r="D373">
        <v>3</v>
      </c>
      <c r="E373">
        <v>8</v>
      </c>
      <c r="F373">
        <v>3</v>
      </c>
      <c r="G373">
        <v>3</v>
      </c>
      <c r="H373">
        <v>1</v>
      </c>
      <c r="I373">
        <v>4</v>
      </c>
      <c r="J373">
        <v>3.5</v>
      </c>
      <c r="K373">
        <v>3</v>
      </c>
      <c r="L373">
        <v>8</v>
      </c>
    </row>
    <row r="374" spans="1:12" hidden="1" x14ac:dyDescent="0.3">
      <c r="A374" s="3">
        <v>45346</v>
      </c>
      <c r="B374" t="s">
        <v>64</v>
      </c>
      <c r="C374" t="s">
        <v>42</v>
      </c>
      <c r="D374">
        <v>2</v>
      </c>
      <c r="E374">
        <v>8</v>
      </c>
      <c r="F374">
        <v>4</v>
      </c>
      <c r="G374">
        <v>4</v>
      </c>
      <c r="H374">
        <v>1</v>
      </c>
      <c r="I374">
        <v>1</v>
      </c>
      <c r="J374">
        <v>3.5</v>
      </c>
      <c r="K374">
        <v>3</v>
      </c>
      <c r="L374">
        <v>8</v>
      </c>
    </row>
    <row r="375" spans="1:12" hidden="1" x14ac:dyDescent="0.3">
      <c r="A375" s="3">
        <v>45346</v>
      </c>
      <c r="B375" t="s">
        <v>90</v>
      </c>
      <c r="C375" t="s">
        <v>87</v>
      </c>
      <c r="D375">
        <v>5</v>
      </c>
      <c r="E375">
        <v>12</v>
      </c>
      <c r="F375">
        <v>0</v>
      </c>
      <c r="G375">
        <v>8</v>
      </c>
      <c r="H375">
        <v>0</v>
      </c>
      <c r="I375">
        <v>9</v>
      </c>
      <c r="J375">
        <v>4.5</v>
      </c>
      <c r="K375">
        <v>4</v>
      </c>
      <c r="L375">
        <v>14</v>
      </c>
    </row>
    <row r="376" spans="1:12" hidden="1" x14ac:dyDescent="0.3">
      <c r="A376" s="3">
        <v>45346</v>
      </c>
      <c r="B376" t="s">
        <v>61</v>
      </c>
      <c r="C376" t="s">
        <v>95</v>
      </c>
      <c r="D376">
        <v>8</v>
      </c>
      <c r="E376">
        <v>10</v>
      </c>
      <c r="F376">
        <v>10</v>
      </c>
      <c r="G376">
        <v>2</v>
      </c>
      <c r="H376">
        <v>0</v>
      </c>
      <c r="I376">
        <v>6</v>
      </c>
      <c r="J376">
        <v>4</v>
      </c>
      <c r="K376">
        <v>3.5</v>
      </c>
      <c r="L376">
        <v>10</v>
      </c>
    </row>
    <row r="377" spans="1:12" hidden="1" x14ac:dyDescent="0.3">
      <c r="A377" s="3">
        <v>45346</v>
      </c>
      <c r="B377" t="s">
        <v>90</v>
      </c>
      <c r="C377" t="s">
        <v>87</v>
      </c>
      <c r="D377">
        <v>9</v>
      </c>
      <c r="E377">
        <v>12</v>
      </c>
      <c r="F377">
        <v>11</v>
      </c>
      <c r="G377">
        <v>2</v>
      </c>
      <c r="H377">
        <v>5</v>
      </c>
      <c r="I377">
        <v>3</v>
      </c>
      <c r="J377">
        <v>4.5</v>
      </c>
      <c r="K377">
        <v>4</v>
      </c>
      <c r="L377">
        <v>14</v>
      </c>
    </row>
    <row r="378" spans="1:12" hidden="1" x14ac:dyDescent="0.3">
      <c r="A378" s="3">
        <v>45346</v>
      </c>
      <c r="B378" t="s">
        <v>70</v>
      </c>
      <c r="C378" t="s">
        <v>99</v>
      </c>
      <c r="D378">
        <v>5</v>
      </c>
      <c r="E378">
        <v>6</v>
      </c>
      <c r="F378">
        <v>1</v>
      </c>
      <c r="G378">
        <v>2</v>
      </c>
      <c r="H378">
        <v>3</v>
      </c>
      <c r="I378">
        <v>5</v>
      </c>
      <c r="J378">
        <v>4</v>
      </c>
      <c r="K378">
        <v>3</v>
      </c>
      <c r="L378">
        <v>7</v>
      </c>
    </row>
    <row r="379" spans="1:12" hidden="1" x14ac:dyDescent="0.3">
      <c r="A379" s="3">
        <v>45346</v>
      </c>
      <c r="B379" t="s">
        <v>88</v>
      </c>
      <c r="C379" t="s">
        <v>102</v>
      </c>
      <c r="D379">
        <v>6</v>
      </c>
      <c r="E379">
        <v>8</v>
      </c>
      <c r="F379">
        <v>0</v>
      </c>
      <c r="G379">
        <v>5</v>
      </c>
      <c r="H379">
        <v>0</v>
      </c>
      <c r="I379">
        <v>9</v>
      </c>
      <c r="J379">
        <v>3.5</v>
      </c>
      <c r="K379">
        <v>3</v>
      </c>
      <c r="L379">
        <v>8</v>
      </c>
    </row>
    <row r="380" spans="1:12" hidden="1" x14ac:dyDescent="0.3">
      <c r="A380" s="3">
        <v>45347</v>
      </c>
      <c r="B380" t="s">
        <v>88</v>
      </c>
      <c r="C380" t="s">
        <v>102</v>
      </c>
      <c r="D380">
        <v>9</v>
      </c>
      <c r="E380">
        <v>8</v>
      </c>
      <c r="F380">
        <v>10</v>
      </c>
      <c r="G380">
        <v>0</v>
      </c>
      <c r="H380">
        <v>4</v>
      </c>
      <c r="I380">
        <v>3</v>
      </c>
      <c r="J380">
        <v>3.5</v>
      </c>
      <c r="K380">
        <v>3</v>
      </c>
      <c r="L380">
        <v>8</v>
      </c>
    </row>
    <row r="381" spans="1:12" hidden="1" x14ac:dyDescent="0.3">
      <c r="A381" s="3">
        <v>45347</v>
      </c>
      <c r="B381" t="s">
        <v>57</v>
      </c>
      <c r="C381" t="s">
        <v>75</v>
      </c>
      <c r="D381">
        <v>2</v>
      </c>
      <c r="E381">
        <v>8</v>
      </c>
      <c r="F381">
        <v>4</v>
      </c>
      <c r="G381">
        <v>4</v>
      </c>
      <c r="H381">
        <v>1</v>
      </c>
      <c r="I381">
        <v>1</v>
      </c>
      <c r="J381">
        <v>6</v>
      </c>
      <c r="K381">
        <v>5.5</v>
      </c>
      <c r="L381">
        <v>20</v>
      </c>
    </row>
    <row r="382" spans="1:12" hidden="1" x14ac:dyDescent="0.3">
      <c r="A382" s="3">
        <v>45347</v>
      </c>
      <c r="B382" t="s">
        <v>21</v>
      </c>
      <c r="C382" t="s">
        <v>27</v>
      </c>
      <c r="D382">
        <v>2</v>
      </c>
      <c r="E382">
        <v>8</v>
      </c>
      <c r="F382">
        <v>3</v>
      </c>
      <c r="G382">
        <v>4</v>
      </c>
      <c r="H382">
        <v>0</v>
      </c>
      <c r="I382">
        <v>3</v>
      </c>
      <c r="J382">
        <v>4</v>
      </c>
      <c r="K382">
        <v>3</v>
      </c>
      <c r="L382">
        <v>14</v>
      </c>
    </row>
    <row r="383" spans="1:12" hidden="1" x14ac:dyDescent="0.3">
      <c r="A383" s="3">
        <v>45347</v>
      </c>
      <c r="B383" t="s">
        <v>35</v>
      </c>
      <c r="C383" t="s">
        <v>31</v>
      </c>
      <c r="D383">
        <v>4</v>
      </c>
      <c r="E383">
        <v>8</v>
      </c>
      <c r="F383">
        <v>0</v>
      </c>
      <c r="G383">
        <v>5</v>
      </c>
      <c r="H383">
        <v>0</v>
      </c>
      <c r="I383">
        <v>7</v>
      </c>
      <c r="J383">
        <v>3.5</v>
      </c>
      <c r="K383">
        <v>3</v>
      </c>
      <c r="L383">
        <v>14</v>
      </c>
    </row>
    <row r="384" spans="1:12" hidden="1" x14ac:dyDescent="0.3">
      <c r="A384" s="3">
        <v>45347</v>
      </c>
      <c r="B384" t="s">
        <v>71</v>
      </c>
      <c r="C384" t="s">
        <v>47</v>
      </c>
      <c r="D384">
        <v>4</v>
      </c>
      <c r="E384">
        <v>6</v>
      </c>
      <c r="F384">
        <v>4</v>
      </c>
      <c r="G384">
        <v>1</v>
      </c>
      <c r="H384">
        <v>0</v>
      </c>
      <c r="I384">
        <v>5</v>
      </c>
      <c r="J384">
        <v>4</v>
      </c>
      <c r="K384">
        <v>3</v>
      </c>
      <c r="L384">
        <v>7</v>
      </c>
    </row>
    <row r="385" spans="1:12" hidden="1" x14ac:dyDescent="0.3">
      <c r="A385" s="3">
        <v>45347</v>
      </c>
      <c r="B385" t="s">
        <v>57</v>
      </c>
      <c r="C385" t="s">
        <v>75</v>
      </c>
      <c r="D385">
        <v>1</v>
      </c>
      <c r="E385">
        <v>8</v>
      </c>
      <c r="F385">
        <v>5</v>
      </c>
      <c r="G385">
        <v>1</v>
      </c>
      <c r="H385">
        <v>1</v>
      </c>
      <c r="I385">
        <v>2</v>
      </c>
      <c r="J385">
        <v>6</v>
      </c>
      <c r="K385">
        <v>5.5</v>
      </c>
      <c r="L385">
        <v>20</v>
      </c>
    </row>
    <row r="386" spans="1:12" hidden="1" x14ac:dyDescent="0.3">
      <c r="A386" s="3">
        <v>45348</v>
      </c>
      <c r="B386" t="s">
        <v>61</v>
      </c>
      <c r="C386" t="s">
        <v>95</v>
      </c>
      <c r="D386">
        <v>6</v>
      </c>
      <c r="E386">
        <v>10</v>
      </c>
      <c r="F386">
        <v>8</v>
      </c>
      <c r="G386">
        <v>4</v>
      </c>
      <c r="H386">
        <v>1</v>
      </c>
      <c r="I386">
        <v>3</v>
      </c>
      <c r="J386">
        <v>4</v>
      </c>
      <c r="K386">
        <v>3.5</v>
      </c>
      <c r="L386">
        <v>10</v>
      </c>
    </row>
    <row r="387" spans="1:12" hidden="1" x14ac:dyDescent="0.3">
      <c r="A387" s="3">
        <v>45348</v>
      </c>
      <c r="B387" t="s">
        <v>37</v>
      </c>
      <c r="C387" t="s">
        <v>51</v>
      </c>
      <c r="D387">
        <v>5</v>
      </c>
      <c r="E387">
        <v>12</v>
      </c>
      <c r="F387">
        <v>7</v>
      </c>
      <c r="G387">
        <v>4</v>
      </c>
      <c r="H387">
        <v>1</v>
      </c>
      <c r="I387">
        <v>5</v>
      </c>
      <c r="J387">
        <v>3.5</v>
      </c>
      <c r="K387">
        <v>3</v>
      </c>
      <c r="L387">
        <v>14</v>
      </c>
    </row>
    <row r="388" spans="1:12" hidden="1" x14ac:dyDescent="0.3">
      <c r="A388" s="3">
        <v>45348</v>
      </c>
      <c r="B388" t="s">
        <v>63</v>
      </c>
      <c r="C388" t="s">
        <v>97</v>
      </c>
      <c r="D388">
        <v>1</v>
      </c>
      <c r="E388">
        <v>10</v>
      </c>
      <c r="F388">
        <v>1</v>
      </c>
      <c r="G388">
        <v>0</v>
      </c>
      <c r="H388">
        <v>6</v>
      </c>
      <c r="I388">
        <v>4</v>
      </c>
      <c r="J388">
        <v>4</v>
      </c>
      <c r="K388">
        <v>3.5</v>
      </c>
      <c r="L388">
        <v>10</v>
      </c>
    </row>
    <row r="389" spans="1:12" hidden="1" x14ac:dyDescent="0.3">
      <c r="A389" s="3">
        <v>45348</v>
      </c>
      <c r="B389" t="s">
        <v>22</v>
      </c>
      <c r="C389" t="s">
        <v>26</v>
      </c>
      <c r="D389">
        <v>8</v>
      </c>
      <c r="E389">
        <v>12</v>
      </c>
      <c r="F389">
        <v>1</v>
      </c>
      <c r="G389">
        <v>0</v>
      </c>
      <c r="H389">
        <v>9</v>
      </c>
      <c r="I389">
        <v>10</v>
      </c>
      <c r="J389">
        <v>3.5</v>
      </c>
      <c r="K389">
        <v>3</v>
      </c>
      <c r="L389">
        <v>14</v>
      </c>
    </row>
    <row r="390" spans="1:12" hidden="1" x14ac:dyDescent="0.3">
      <c r="A390" s="3">
        <v>45348</v>
      </c>
      <c r="B390" t="s">
        <v>19</v>
      </c>
      <c r="C390" t="s">
        <v>17</v>
      </c>
      <c r="D390">
        <v>2</v>
      </c>
      <c r="E390">
        <v>10</v>
      </c>
      <c r="F390">
        <v>7</v>
      </c>
      <c r="G390">
        <v>0</v>
      </c>
      <c r="H390">
        <v>3</v>
      </c>
      <c r="I390">
        <v>2</v>
      </c>
      <c r="J390">
        <v>4.5</v>
      </c>
      <c r="K390">
        <v>4</v>
      </c>
      <c r="L390">
        <v>10</v>
      </c>
    </row>
    <row r="391" spans="1:12" hidden="1" x14ac:dyDescent="0.3">
      <c r="A391" s="3">
        <v>45348</v>
      </c>
      <c r="B391" t="s">
        <v>37</v>
      </c>
      <c r="C391" t="s">
        <v>51</v>
      </c>
      <c r="D391">
        <v>5</v>
      </c>
      <c r="E391">
        <v>12</v>
      </c>
      <c r="F391">
        <v>6</v>
      </c>
      <c r="G391">
        <v>5</v>
      </c>
      <c r="H391">
        <v>0</v>
      </c>
      <c r="I391">
        <v>6</v>
      </c>
      <c r="J391">
        <v>3.5</v>
      </c>
      <c r="K391">
        <v>3</v>
      </c>
      <c r="L391">
        <v>14</v>
      </c>
    </row>
    <row r="392" spans="1:12" hidden="1" x14ac:dyDescent="0.3">
      <c r="A392" s="3">
        <v>45348</v>
      </c>
      <c r="B392" t="s">
        <v>61</v>
      </c>
      <c r="C392" t="s">
        <v>95</v>
      </c>
      <c r="D392">
        <v>3</v>
      </c>
      <c r="E392">
        <v>10</v>
      </c>
      <c r="F392">
        <v>7</v>
      </c>
      <c r="G392">
        <v>0</v>
      </c>
      <c r="H392">
        <v>2</v>
      </c>
      <c r="I392">
        <v>4</v>
      </c>
      <c r="J392">
        <v>4</v>
      </c>
      <c r="K392">
        <v>3.5</v>
      </c>
      <c r="L392">
        <v>10</v>
      </c>
    </row>
    <row r="393" spans="1:12" hidden="1" x14ac:dyDescent="0.3">
      <c r="A393" s="3">
        <v>45348</v>
      </c>
      <c r="B393" t="s">
        <v>81</v>
      </c>
      <c r="C393" t="s">
        <v>50</v>
      </c>
      <c r="D393">
        <v>1</v>
      </c>
      <c r="E393">
        <v>8</v>
      </c>
      <c r="F393">
        <v>4</v>
      </c>
      <c r="G393">
        <v>3</v>
      </c>
      <c r="H393">
        <v>0</v>
      </c>
      <c r="I393">
        <v>2</v>
      </c>
      <c r="J393">
        <v>2.5</v>
      </c>
      <c r="K393">
        <v>2</v>
      </c>
      <c r="L393">
        <v>5</v>
      </c>
    </row>
    <row r="394" spans="1:12" hidden="1" x14ac:dyDescent="0.3">
      <c r="A394" s="3">
        <v>45348</v>
      </c>
      <c r="B394" t="s">
        <v>84</v>
      </c>
      <c r="C394" t="s">
        <v>101</v>
      </c>
      <c r="D394">
        <v>4</v>
      </c>
      <c r="E394">
        <v>8</v>
      </c>
      <c r="F394">
        <v>3</v>
      </c>
      <c r="G394">
        <v>5</v>
      </c>
      <c r="H394">
        <v>2</v>
      </c>
      <c r="I394">
        <v>2</v>
      </c>
      <c r="J394">
        <v>3.5</v>
      </c>
      <c r="K394">
        <v>3</v>
      </c>
      <c r="L394">
        <v>8</v>
      </c>
    </row>
    <row r="395" spans="1:12" hidden="1" x14ac:dyDescent="0.3">
      <c r="A395" s="3">
        <v>45349</v>
      </c>
      <c r="B395" t="s">
        <v>83</v>
      </c>
      <c r="C395" t="s">
        <v>100</v>
      </c>
      <c r="D395">
        <v>4</v>
      </c>
      <c r="E395">
        <v>10</v>
      </c>
      <c r="F395">
        <v>7</v>
      </c>
      <c r="G395">
        <v>3</v>
      </c>
      <c r="H395">
        <v>0</v>
      </c>
      <c r="I395">
        <v>4</v>
      </c>
      <c r="J395">
        <v>4.5</v>
      </c>
      <c r="K395">
        <v>4</v>
      </c>
      <c r="L395">
        <v>10</v>
      </c>
    </row>
    <row r="396" spans="1:12" hidden="1" x14ac:dyDescent="0.3">
      <c r="A396" s="3">
        <v>45349</v>
      </c>
      <c r="B396" t="s">
        <v>64</v>
      </c>
      <c r="C396" t="s">
        <v>42</v>
      </c>
      <c r="D396">
        <v>1</v>
      </c>
      <c r="E396">
        <v>8</v>
      </c>
      <c r="F396">
        <v>4</v>
      </c>
      <c r="G396">
        <v>3</v>
      </c>
      <c r="H396">
        <v>1</v>
      </c>
      <c r="I396">
        <v>1</v>
      </c>
      <c r="J396">
        <v>3.5</v>
      </c>
      <c r="K396">
        <v>3</v>
      </c>
      <c r="L396">
        <v>8</v>
      </c>
    </row>
    <row r="397" spans="1:12" hidden="1" x14ac:dyDescent="0.3">
      <c r="A397" s="3">
        <v>45349</v>
      </c>
      <c r="B397" t="s">
        <v>56</v>
      </c>
      <c r="C397" t="s">
        <v>54</v>
      </c>
      <c r="D397">
        <v>6</v>
      </c>
      <c r="E397">
        <v>8</v>
      </c>
      <c r="F397">
        <v>3</v>
      </c>
      <c r="G397">
        <v>1</v>
      </c>
      <c r="H397">
        <v>1</v>
      </c>
      <c r="I397">
        <v>9</v>
      </c>
      <c r="J397">
        <v>6</v>
      </c>
      <c r="K397">
        <v>5.5</v>
      </c>
      <c r="L397">
        <v>20</v>
      </c>
    </row>
    <row r="398" spans="1:12" hidden="1" x14ac:dyDescent="0.3">
      <c r="A398" s="3">
        <v>45349</v>
      </c>
      <c r="B398" t="s">
        <v>89</v>
      </c>
      <c r="C398" t="s">
        <v>103</v>
      </c>
      <c r="D398">
        <v>4</v>
      </c>
      <c r="E398">
        <v>8</v>
      </c>
      <c r="F398">
        <v>0</v>
      </c>
      <c r="G398">
        <v>7</v>
      </c>
      <c r="H398">
        <v>3</v>
      </c>
      <c r="I398">
        <v>2</v>
      </c>
      <c r="J398">
        <v>3.5</v>
      </c>
      <c r="K398">
        <v>3</v>
      </c>
      <c r="L398">
        <v>8</v>
      </c>
    </row>
    <row r="399" spans="1:12" hidden="1" x14ac:dyDescent="0.3">
      <c r="A399" s="3">
        <v>45349</v>
      </c>
      <c r="B399" t="s">
        <v>21</v>
      </c>
      <c r="C399" t="s">
        <v>27</v>
      </c>
      <c r="D399">
        <v>3</v>
      </c>
      <c r="E399">
        <v>8</v>
      </c>
      <c r="F399">
        <v>6</v>
      </c>
      <c r="G399">
        <v>2</v>
      </c>
      <c r="H399">
        <v>2</v>
      </c>
      <c r="I399">
        <v>1</v>
      </c>
      <c r="J399">
        <v>4</v>
      </c>
      <c r="K399">
        <v>3</v>
      </c>
      <c r="L399">
        <v>14</v>
      </c>
    </row>
    <row r="400" spans="1:12" hidden="1" x14ac:dyDescent="0.3">
      <c r="A400" s="3">
        <v>45349</v>
      </c>
      <c r="B400" t="s">
        <v>89</v>
      </c>
      <c r="C400" t="s">
        <v>103</v>
      </c>
      <c r="D400">
        <v>2</v>
      </c>
      <c r="E400">
        <v>8</v>
      </c>
      <c r="F400">
        <v>5</v>
      </c>
      <c r="G400">
        <v>2</v>
      </c>
      <c r="H400">
        <v>0</v>
      </c>
      <c r="I400">
        <v>3</v>
      </c>
      <c r="J400">
        <v>3.5</v>
      </c>
      <c r="K400">
        <v>3</v>
      </c>
      <c r="L400">
        <v>8</v>
      </c>
    </row>
    <row r="401" spans="1:12" hidden="1" x14ac:dyDescent="0.3">
      <c r="A401" s="3">
        <v>45349</v>
      </c>
      <c r="B401" t="s">
        <v>55</v>
      </c>
      <c r="C401" t="s">
        <v>53</v>
      </c>
      <c r="D401">
        <v>4</v>
      </c>
      <c r="E401">
        <v>4</v>
      </c>
      <c r="F401">
        <v>5</v>
      </c>
      <c r="G401">
        <v>0</v>
      </c>
      <c r="H401">
        <v>2</v>
      </c>
      <c r="I401">
        <v>1</v>
      </c>
      <c r="J401">
        <v>8.5</v>
      </c>
      <c r="K401">
        <v>6</v>
      </c>
      <c r="L401">
        <v>7</v>
      </c>
    </row>
    <row r="402" spans="1:12" hidden="1" x14ac:dyDescent="0.3">
      <c r="A402" s="3">
        <v>45350</v>
      </c>
      <c r="B402" t="s">
        <v>22</v>
      </c>
      <c r="C402" t="s">
        <v>26</v>
      </c>
      <c r="D402">
        <v>10</v>
      </c>
      <c r="E402">
        <v>12</v>
      </c>
      <c r="F402">
        <v>2</v>
      </c>
      <c r="G402">
        <v>1</v>
      </c>
      <c r="H402">
        <v>4</v>
      </c>
      <c r="I402">
        <v>15</v>
      </c>
      <c r="J402">
        <v>3.5</v>
      </c>
      <c r="K402">
        <v>3</v>
      </c>
      <c r="L402">
        <v>14</v>
      </c>
    </row>
    <row r="403" spans="1:12" hidden="1" x14ac:dyDescent="0.3">
      <c r="A403" s="3">
        <v>45350</v>
      </c>
      <c r="B403" t="s">
        <v>63</v>
      </c>
      <c r="C403" t="s">
        <v>97</v>
      </c>
      <c r="D403">
        <v>4</v>
      </c>
      <c r="E403">
        <v>10</v>
      </c>
      <c r="F403">
        <v>0</v>
      </c>
      <c r="G403">
        <v>0</v>
      </c>
      <c r="H403">
        <v>4</v>
      </c>
      <c r="I403">
        <v>10</v>
      </c>
      <c r="J403">
        <v>4</v>
      </c>
      <c r="K403">
        <v>3.5</v>
      </c>
      <c r="L403">
        <v>10</v>
      </c>
    </row>
    <row r="404" spans="1:12" hidden="1" x14ac:dyDescent="0.3">
      <c r="A404" s="3">
        <v>45350</v>
      </c>
      <c r="B404" t="s">
        <v>63</v>
      </c>
      <c r="C404" t="s">
        <v>97</v>
      </c>
      <c r="D404">
        <v>10</v>
      </c>
      <c r="E404">
        <v>10</v>
      </c>
      <c r="F404">
        <v>5</v>
      </c>
      <c r="G404">
        <v>6</v>
      </c>
      <c r="H404">
        <v>0</v>
      </c>
      <c r="I404">
        <v>9</v>
      </c>
      <c r="J404">
        <v>4</v>
      </c>
      <c r="K404">
        <v>3.5</v>
      </c>
      <c r="L404">
        <v>10</v>
      </c>
    </row>
    <row r="405" spans="1:12" hidden="1" x14ac:dyDescent="0.3">
      <c r="A405" s="3">
        <v>45350</v>
      </c>
      <c r="B405" t="s">
        <v>84</v>
      </c>
      <c r="C405" t="s">
        <v>101</v>
      </c>
      <c r="D405">
        <v>2</v>
      </c>
      <c r="E405">
        <v>8</v>
      </c>
      <c r="F405">
        <v>5</v>
      </c>
      <c r="G405">
        <v>3</v>
      </c>
      <c r="H405">
        <v>0</v>
      </c>
      <c r="I405">
        <v>2</v>
      </c>
      <c r="J405">
        <v>3.5</v>
      </c>
      <c r="K405">
        <v>3</v>
      </c>
      <c r="L405">
        <v>8</v>
      </c>
    </row>
    <row r="406" spans="1:12" hidden="1" x14ac:dyDescent="0.3">
      <c r="A406" s="3">
        <v>45350</v>
      </c>
      <c r="B406" t="s">
        <v>22</v>
      </c>
      <c r="C406" t="s">
        <v>26</v>
      </c>
      <c r="D406">
        <v>15</v>
      </c>
      <c r="E406">
        <v>12</v>
      </c>
      <c r="F406">
        <v>1</v>
      </c>
      <c r="G406">
        <v>11</v>
      </c>
      <c r="H406">
        <v>5</v>
      </c>
      <c r="I406">
        <v>10</v>
      </c>
      <c r="J406">
        <v>3.5</v>
      </c>
      <c r="K406">
        <v>3</v>
      </c>
      <c r="L406">
        <v>14</v>
      </c>
    </row>
    <row r="407" spans="1:12" hidden="1" x14ac:dyDescent="0.3">
      <c r="A407" s="3">
        <v>45350</v>
      </c>
      <c r="B407" t="s">
        <v>21</v>
      </c>
      <c r="C407" t="s">
        <v>27</v>
      </c>
      <c r="D407">
        <v>1</v>
      </c>
      <c r="E407">
        <v>8</v>
      </c>
      <c r="F407">
        <v>5</v>
      </c>
      <c r="G407">
        <v>1</v>
      </c>
      <c r="H407">
        <v>1</v>
      </c>
      <c r="I407">
        <v>2</v>
      </c>
      <c r="J407">
        <v>4</v>
      </c>
      <c r="K407">
        <v>3</v>
      </c>
      <c r="L407">
        <v>14</v>
      </c>
    </row>
    <row r="408" spans="1:12" hidden="1" x14ac:dyDescent="0.3">
      <c r="A408" s="3">
        <v>45351</v>
      </c>
      <c r="B408" t="s">
        <v>67</v>
      </c>
      <c r="C408" t="s">
        <v>46</v>
      </c>
      <c r="D408">
        <v>1</v>
      </c>
      <c r="E408">
        <v>8</v>
      </c>
      <c r="F408">
        <v>3</v>
      </c>
      <c r="G408">
        <v>2</v>
      </c>
      <c r="H408">
        <v>1</v>
      </c>
      <c r="I408">
        <v>3</v>
      </c>
      <c r="J408">
        <v>3.5</v>
      </c>
      <c r="K408">
        <v>3</v>
      </c>
      <c r="L408">
        <v>8</v>
      </c>
    </row>
    <row r="409" spans="1:12" hidden="1" x14ac:dyDescent="0.3">
      <c r="A409" s="3">
        <v>45351</v>
      </c>
      <c r="B409" t="s">
        <v>60</v>
      </c>
      <c r="C409" t="s">
        <v>94</v>
      </c>
      <c r="D409">
        <v>3</v>
      </c>
      <c r="E409">
        <v>10</v>
      </c>
      <c r="F409">
        <v>3</v>
      </c>
      <c r="G409">
        <v>6</v>
      </c>
      <c r="H409">
        <v>0</v>
      </c>
      <c r="I409">
        <v>4</v>
      </c>
      <c r="J409">
        <v>4</v>
      </c>
      <c r="K409">
        <v>3.5</v>
      </c>
      <c r="L409">
        <v>10</v>
      </c>
    </row>
    <row r="410" spans="1:12" hidden="1" x14ac:dyDescent="0.3">
      <c r="A410" s="3">
        <v>45351</v>
      </c>
      <c r="B410" t="s">
        <v>80</v>
      </c>
      <c r="C410" t="s">
        <v>49</v>
      </c>
      <c r="D410">
        <v>4</v>
      </c>
      <c r="E410">
        <v>8</v>
      </c>
      <c r="F410">
        <v>1</v>
      </c>
      <c r="G410">
        <v>0</v>
      </c>
      <c r="H410">
        <v>0</v>
      </c>
      <c r="I410">
        <v>11</v>
      </c>
      <c r="J410">
        <v>2.5</v>
      </c>
      <c r="K410">
        <v>2</v>
      </c>
      <c r="L410">
        <v>5</v>
      </c>
    </row>
    <row r="411" spans="1:12" hidden="1" x14ac:dyDescent="0.3">
      <c r="A411" s="3">
        <v>45351</v>
      </c>
      <c r="B411" t="s">
        <v>16</v>
      </c>
      <c r="C411" t="s">
        <v>77</v>
      </c>
      <c r="D411">
        <v>8</v>
      </c>
      <c r="E411">
        <v>10</v>
      </c>
      <c r="F411">
        <v>8</v>
      </c>
      <c r="G411">
        <v>3</v>
      </c>
      <c r="H411">
        <v>1</v>
      </c>
      <c r="I411">
        <v>6</v>
      </c>
      <c r="J411">
        <v>5.5</v>
      </c>
      <c r="K411">
        <v>4.5</v>
      </c>
      <c r="L411">
        <v>7</v>
      </c>
    </row>
    <row r="412" spans="1:12" hidden="1" x14ac:dyDescent="0.3">
      <c r="A412" s="3">
        <v>45352</v>
      </c>
      <c r="B412" t="s">
        <v>78</v>
      </c>
      <c r="C412" t="s">
        <v>74</v>
      </c>
      <c r="D412">
        <v>2</v>
      </c>
      <c r="E412">
        <v>6</v>
      </c>
      <c r="F412">
        <v>5</v>
      </c>
      <c r="G412">
        <v>2</v>
      </c>
      <c r="H412">
        <v>1</v>
      </c>
      <c r="I412">
        <v>0</v>
      </c>
      <c r="J412">
        <v>4</v>
      </c>
      <c r="K412">
        <v>3</v>
      </c>
      <c r="L412">
        <v>7</v>
      </c>
    </row>
    <row r="413" spans="1:12" hidden="1" x14ac:dyDescent="0.3">
      <c r="A413" s="3">
        <v>45352</v>
      </c>
      <c r="B413" t="s">
        <v>81</v>
      </c>
      <c r="C413" t="s">
        <v>50</v>
      </c>
      <c r="D413">
        <v>2</v>
      </c>
      <c r="E413">
        <v>8</v>
      </c>
      <c r="F413">
        <v>5</v>
      </c>
      <c r="G413">
        <v>2</v>
      </c>
      <c r="H413">
        <v>0</v>
      </c>
      <c r="I413">
        <v>3</v>
      </c>
      <c r="J413">
        <v>2.5</v>
      </c>
      <c r="K413">
        <v>2</v>
      </c>
      <c r="L413">
        <v>5</v>
      </c>
    </row>
    <row r="414" spans="1:12" hidden="1" x14ac:dyDescent="0.3">
      <c r="A414" s="3">
        <v>45352</v>
      </c>
      <c r="B414" t="s">
        <v>79</v>
      </c>
      <c r="C414" t="s">
        <v>104</v>
      </c>
      <c r="D414">
        <v>3</v>
      </c>
      <c r="E414">
        <v>8</v>
      </c>
      <c r="F414">
        <v>1</v>
      </c>
      <c r="G414">
        <v>2</v>
      </c>
      <c r="H414">
        <v>5</v>
      </c>
      <c r="I414">
        <v>3</v>
      </c>
      <c r="J414">
        <v>2.5</v>
      </c>
      <c r="K414">
        <v>2</v>
      </c>
      <c r="L414">
        <v>5</v>
      </c>
    </row>
    <row r="415" spans="1:12" hidden="1" x14ac:dyDescent="0.3">
      <c r="A415" s="3">
        <v>45352</v>
      </c>
      <c r="B415" t="s">
        <v>71</v>
      </c>
      <c r="C415" t="s">
        <v>47</v>
      </c>
      <c r="D415">
        <v>5</v>
      </c>
      <c r="E415">
        <v>6</v>
      </c>
      <c r="F415">
        <v>1</v>
      </c>
      <c r="G415">
        <v>5</v>
      </c>
      <c r="H415">
        <v>1</v>
      </c>
      <c r="I415">
        <v>4</v>
      </c>
      <c r="J415">
        <v>4</v>
      </c>
      <c r="K415">
        <v>3</v>
      </c>
      <c r="L415">
        <v>7</v>
      </c>
    </row>
    <row r="416" spans="1:12" hidden="1" x14ac:dyDescent="0.3">
      <c r="A416" s="3">
        <v>45352</v>
      </c>
      <c r="B416" t="s">
        <v>56</v>
      </c>
      <c r="C416" t="s">
        <v>54</v>
      </c>
      <c r="D416">
        <v>9</v>
      </c>
      <c r="E416">
        <v>8</v>
      </c>
      <c r="F416">
        <v>10</v>
      </c>
      <c r="G416">
        <v>1</v>
      </c>
      <c r="H416">
        <v>0</v>
      </c>
      <c r="I416">
        <v>6</v>
      </c>
      <c r="J416">
        <v>6</v>
      </c>
      <c r="K416">
        <v>5.5</v>
      </c>
      <c r="L416">
        <v>20</v>
      </c>
    </row>
    <row r="417" spans="1:12" hidden="1" x14ac:dyDescent="0.3">
      <c r="A417" s="3">
        <v>45352</v>
      </c>
      <c r="B417" t="s">
        <v>57</v>
      </c>
      <c r="C417" t="s">
        <v>75</v>
      </c>
      <c r="D417">
        <v>2</v>
      </c>
      <c r="E417">
        <v>8</v>
      </c>
      <c r="F417">
        <v>6</v>
      </c>
      <c r="G417">
        <v>1</v>
      </c>
      <c r="H417">
        <v>1</v>
      </c>
      <c r="I417">
        <v>2</v>
      </c>
      <c r="J417">
        <v>6</v>
      </c>
      <c r="K417">
        <v>5.5</v>
      </c>
      <c r="L417">
        <v>20</v>
      </c>
    </row>
    <row r="418" spans="1:12" hidden="1" x14ac:dyDescent="0.3">
      <c r="A418" s="3">
        <v>45352</v>
      </c>
      <c r="B418" t="s">
        <v>84</v>
      </c>
      <c r="C418" t="s">
        <v>101</v>
      </c>
      <c r="D418">
        <v>2</v>
      </c>
      <c r="E418">
        <v>8</v>
      </c>
      <c r="F418">
        <v>5</v>
      </c>
      <c r="G418">
        <v>2</v>
      </c>
      <c r="H418">
        <v>1</v>
      </c>
      <c r="I418">
        <v>2</v>
      </c>
      <c r="J418">
        <v>3.5</v>
      </c>
      <c r="K418">
        <v>3</v>
      </c>
      <c r="L418">
        <v>8</v>
      </c>
    </row>
    <row r="419" spans="1:12" hidden="1" x14ac:dyDescent="0.3">
      <c r="A419" s="3">
        <v>45352</v>
      </c>
      <c r="B419" t="s">
        <v>71</v>
      </c>
      <c r="C419" t="s">
        <v>47</v>
      </c>
      <c r="D419">
        <v>4</v>
      </c>
      <c r="E419">
        <v>6</v>
      </c>
      <c r="F419">
        <v>5</v>
      </c>
      <c r="G419">
        <v>0</v>
      </c>
      <c r="H419">
        <v>1</v>
      </c>
      <c r="I419">
        <v>4</v>
      </c>
      <c r="J419">
        <v>4</v>
      </c>
      <c r="K419">
        <v>3</v>
      </c>
      <c r="L419">
        <v>7</v>
      </c>
    </row>
    <row r="420" spans="1:12" hidden="1" x14ac:dyDescent="0.3">
      <c r="A420" s="3">
        <v>45352</v>
      </c>
      <c r="B420" t="s">
        <v>35</v>
      </c>
      <c r="C420" t="s">
        <v>31</v>
      </c>
      <c r="D420">
        <v>7</v>
      </c>
      <c r="E420">
        <v>8</v>
      </c>
      <c r="F420">
        <v>9</v>
      </c>
      <c r="G420">
        <v>4</v>
      </c>
      <c r="H420">
        <v>1</v>
      </c>
      <c r="I420">
        <v>1</v>
      </c>
      <c r="J420">
        <v>3.5</v>
      </c>
      <c r="K420">
        <v>3</v>
      </c>
      <c r="L420">
        <v>14</v>
      </c>
    </row>
    <row r="421" spans="1:12" hidden="1" x14ac:dyDescent="0.3">
      <c r="A421" s="3">
        <v>45353</v>
      </c>
      <c r="B421" t="s">
        <v>71</v>
      </c>
      <c r="C421" t="s">
        <v>47</v>
      </c>
      <c r="D421">
        <v>4</v>
      </c>
      <c r="E421">
        <v>6</v>
      </c>
      <c r="F421">
        <v>3</v>
      </c>
      <c r="G421">
        <v>1</v>
      </c>
      <c r="H421">
        <v>3</v>
      </c>
      <c r="I421">
        <v>3</v>
      </c>
      <c r="J421">
        <v>4</v>
      </c>
      <c r="K421">
        <v>3</v>
      </c>
      <c r="L421">
        <v>7</v>
      </c>
    </row>
    <row r="422" spans="1:12" hidden="1" x14ac:dyDescent="0.3">
      <c r="A422" s="3">
        <v>45353</v>
      </c>
      <c r="B422" t="s">
        <v>65</v>
      </c>
      <c r="C422" t="s">
        <v>44</v>
      </c>
      <c r="D422">
        <v>6</v>
      </c>
      <c r="E422">
        <v>10</v>
      </c>
      <c r="F422">
        <v>4</v>
      </c>
      <c r="G422">
        <v>7</v>
      </c>
      <c r="H422">
        <v>0</v>
      </c>
      <c r="I422">
        <v>5</v>
      </c>
      <c r="J422">
        <v>3.5</v>
      </c>
      <c r="K422">
        <v>3</v>
      </c>
      <c r="L422">
        <v>8</v>
      </c>
    </row>
    <row r="423" spans="1:12" hidden="1" x14ac:dyDescent="0.3">
      <c r="A423" s="3">
        <v>45353</v>
      </c>
      <c r="B423" t="s">
        <v>70</v>
      </c>
      <c r="C423" t="s">
        <v>99</v>
      </c>
      <c r="D423">
        <v>5</v>
      </c>
      <c r="E423">
        <v>6</v>
      </c>
      <c r="F423">
        <v>5</v>
      </c>
      <c r="G423">
        <v>0</v>
      </c>
      <c r="H423">
        <v>3</v>
      </c>
      <c r="I423">
        <v>3</v>
      </c>
      <c r="J423">
        <v>4</v>
      </c>
      <c r="K423">
        <v>3</v>
      </c>
      <c r="L423">
        <v>7</v>
      </c>
    </row>
    <row r="424" spans="1:12" hidden="1" x14ac:dyDescent="0.3">
      <c r="A424" s="3">
        <v>45353</v>
      </c>
      <c r="B424" t="s">
        <v>16</v>
      </c>
      <c r="C424" t="s">
        <v>77</v>
      </c>
      <c r="D424">
        <v>6</v>
      </c>
      <c r="E424">
        <v>10</v>
      </c>
      <c r="F424">
        <v>4</v>
      </c>
      <c r="G424">
        <v>2</v>
      </c>
      <c r="H424">
        <v>3</v>
      </c>
      <c r="I424">
        <v>7</v>
      </c>
      <c r="J424">
        <v>5.5</v>
      </c>
      <c r="K424">
        <v>4.5</v>
      </c>
      <c r="L424">
        <v>7</v>
      </c>
    </row>
    <row r="425" spans="1:12" hidden="1" x14ac:dyDescent="0.3">
      <c r="A425" s="3">
        <v>45353</v>
      </c>
      <c r="B425" t="s">
        <v>20</v>
      </c>
      <c r="C425" t="s">
        <v>25</v>
      </c>
      <c r="D425">
        <v>2</v>
      </c>
      <c r="E425">
        <v>10</v>
      </c>
      <c r="F425">
        <v>3</v>
      </c>
      <c r="G425">
        <v>3</v>
      </c>
      <c r="H425">
        <v>4</v>
      </c>
      <c r="I425">
        <v>2</v>
      </c>
      <c r="J425">
        <v>4.5</v>
      </c>
      <c r="K425">
        <v>4</v>
      </c>
      <c r="L425">
        <v>10</v>
      </c>
    </row>
    <row r="426" spans="1:12" hidden="1" x14ac:dyDescent="0.3">
      <c r="A426" s="3">
        <v>45353</v>
      </c>
      <c r="B426" t="s">
        <v>20</v>
      </c>
      <c r="C426" t="s">
        <v>25</v>
      </c>
      <c r="D426">
        <v>2</v>
      </c>
      <c r="E426">
        <v>10</v>
      </c>
      <c r="F426">
        <v>0</v>
      </c>
      <c r="G426">
        <v>4</v>
      </c>
      <c r="H426">
        <v>2</v>
      </c>
      <c r="I426">
        <v>6</v>
      </c>
      <c r="J426">
        <v>4.5</v>
      </c>
      <c r="K426">
        <v>4</v>
      </c>
      <c r="L426">
        <v>10</v>
      </c>
    </row>
    <row r="427" spans="1:12" hidden="1" x14ac:dyDescent="0.3">
      <c r="A427" s="3">
        <v>45353</v>
      </c>
      <c r="B427" t="s">
        <v>62</v>
      </c>
      <c r="C427" t="s">
        <v>96</v>
      </c>
      <c r="D427">
        <v>7</v>
      </c>
      <c r="E427">
        <v>10</v>
      </c>
      <c r="F427">
        <v>8</v>
      </c>
      <c r="G427">
        <v>5</v>
      </c>
      <c r="H427">
        <v>2</v>
      </c>
      <c r="I427">
        <v>2</v>
      </c>
      <c r="J427">
        <v>4</v>
      </c>
      <c r="K427">
        <v>3.5</v>
      </c>
      <c r="L427">
        <v>10</v>
      </c>
    </row>
    <row r="428" spans="1:12" hidden="1" x14ac:dyDescent="0.3">
      <c r="A428" s="3">
        <v>45354</v>
      </c>
      <c r="B428" t="s">
        <v>82</v>
      </c>
      <c r="C428" t="s">
        <v>73</v>
      </c>
      <c r="D428">
        <v>8</v>
      </c>
      <c r="E428">
        <v>8</v>
      </c>
      <c r="F428">
        <v>3</v>
      </c>
      <c r="G428">
        <v>5</v>
      </c>
      <c r="H428">
        <v>2</v>
      </c>
      <c r="I428">
        <v>6</v>
      </c>
      <c r="J428">
        <v>2.5</v>
      </c>
      <c r="K428">
        <v>2</v>
      </c>
      <c r="L428">
        <v>5</v>
      </c>
    </row>
    <row r="429" spans="1:12" hidden="1" x14ac:dyDescent="0.3">
      <c r="A429" s="3">
        <v>45354</v>
      </c>
      <c r="B429" t="s">
        <v>10</v>
      </c>
      <c r="C429" t="s">
        <v>18</v>
      </c>
      <c r="D429">
        <v>7</v>
      </c>
      <c r="E429">
        <v>10</v>
      </c>
      <c r="F429">
        <v>7</v>
      </c>
      <c r="G429">
        <v>2</v>
      </c>
      <c r="H429">
        <v>1</v>
      </c>
      <c r="I429">
        <v>7</v>
      </c>
      <c r="J429">
        <v>5.5</v>
      </c>
      <c r="K429">
        <v>4.5</v>
      </c>
      <c r="L429">
        <v>7</v>
      </c>
    </row>
    <row r="430" spans="1:12" hidden="1" x14ac:dyDescent="0.3">
      <c r="A430" s="3">
        <v>45354</v>
      </c>
      <c r="B430" t="s">
        <v>59</v>
      </c>
      <c r="C430" t="s">
        <v>93</v>
      </c>
      <c r="D430">
        <v>6</v>
      </c>
      <c r="E430">
        <v>10</v>
      </c>
      <c r="F430">
        <v>4</v>
      </c>
      <c r="G430">
        <v>7</v>
      </c>
      <c r="H430">
        <v>2</v>
      </c>
      <c r="I430">
        <v>3</v>
      </c>
      <c r="J430">
        <v>4</v>
      </c>
      <c r="K430">
        <v>3.5</v>
      </c>
      <c r="L430">
        <v>10</v>
      </c>
    </row>
    <row r="431" spans="1:12" hidden="1" x14ac:dyDescent="0.3">
      <c r="A431" s="3">
        <v>45354</v>
      </c>
      <c r="B431" t="s">
        <v>71</v>
      </c>
      <c r="C431" t="s">
        <v>47</v>
      </c>
      <c r="D431">
        <v>3</v>
      </c>
      <c r="E431">
        <v>6</v>
      </c>
      <c r="F431">
        <v>2</v>
      </c>
      <c r="G431">
        <v>3</v>
      </c>
      <c r="H431">
        <v>1</v>
      </c>
      <c r="I431">
        <v>3</v>
      </c>
      <c r="J431">
        <v>4</v>
      </c>
      <c r="K431">
        <v>3</v>
      </c>
      <c r="L431">
        <v>7</v>
      </c>
    </row>
    <row r="432" spans="1:12" hidden="1" x14ac:dyDescent="0.3">
      <c r="A432" s="3">
        <v>45354</v>
      </c>
      <c r="B432" t="s">
        <v>67</v>
      </c>
      <c r="C432" t="s">
        <v>46</v>
      </c>
      <c r="D432">
        <v>3</v>
      </c>
      <c r="E432">
        <v>8</v>
      </c>
      <c r="F432">
        <v>6</v>
      </c>
      <c r="G432">
        <v>1</v>
      </c>
      <c r="H432">
        <v>2</v>
      </c>
      <c r="I432">
        <v>2</v>
      </c>
      <c r="J432">
        <v>3.5</v>
      </c>
      <c r="K432">
        <v>3</v>
      </c>
      <c r="L432">
        <v>8</v>
      </c>
    </row>
    <row r="433" spans="1:12" hidden="1" x14ac:dyDescent="0.3">
      <c r="A433" s="3">
        <v>45354</v>
      </c>
      <c r="B433" t="s">
        <v>66</v>
      </c>
      <c r="C433" t="s">
        <v>45</v>
      </c>
      <c r="D433">
        <v>3</v>
      </c>
      <c r="E433">
        <v>8</v>
      </c>
      <c r="F433">
        <v>5</v>
      </c>
      <c r="G433">
        <v>3</v>
      </c>
      <c r="H433">
        <v>1</v>
      </c>
      <c r="I433">
        <v>2</v>
      </c>
      <c r="J433">
        <v>3.5</v>
      </c>
      <c r="K433">
        <v>3</v>
      </c>
      <c r="L433">
        <v>8</v>
      </c>
    </row>
    <row r="434" spans="1:12" hidden="1" x14ac:dyDescent="0.3">
      <c r="A434" s="3">
        <v>45354</v>
      </c>
      <c r="B434" t="s">
        <v>41</v>
      </c>
      <c r="C434" t="s">
        <v>86</v>
      </c>
      <c r="D434">
        <v>10</v>
      </c>
      <c r="E434">
        <v>15</v>
      </c>
      <c r="F434">
        <v>10</v>
      </c>
      <c r="G434">
        <v>9</v>
      </c>
      <c r="H434">
        <v>4</v>
      </c>
      <c r="I434">
        <v>2</v>
      </c>
      <c r="J434">
        <v>3</v>
      </c>
      <c r="K434">
        <v>2.5</v>
      </c>
      <c r="L434">
        <v>14</v>
      </c>
    </row>
    <row r="435" spans="1:12" hidden="1" x14ac:dyDescent="0.3">
      <c r="A435" s="3">
        <v>45354</v>
      </c>
      <c r="B435" t="s">
        <v>70</v>
      </c>
      <c r="C435" t="s">
        <v>99</v>
      </c>
      <c r="D435">
        <v>3</v>
      </c>
      <c r="E435">
        <v>6</v>
      </c>
      <c r="F435">
        <v>4</v>
      </c>
      <c r="G435">
        <v>1</v>
      </c>
      <c r="H435">
        <v>1</v>
      </c>
      <c r="I435">
        <v>3</v>
      </c>
      <c r="J435">
        <v>4</v>
      </c>
      <c r="K435">
        <v>3</v>
      </c>
      <c r="L435">
        <v>7</v>
      </c>
    </row>
    <row r="436" spans="1:12" hidden="1" x14ac:dyDescent="0.3">
      <c r="A436" s="3">
        <v>45355</v>
      </c>
      <c r="B436" t="s">
        <v>36</v>
      </c>
      <c r="C436" t="s">
        <v>33</v>
      </c>
      <c r="D436">
        <v>4</v>
      </c>
      <c r="E436">
        <v>12</v>
      </c>
      <c r="F436">
        <v>7</v>
      </c>
      <c r="G436">
        <v>4</v>
      </c>
      <c r="H436">
        <v>1</v>
      </c>
      <c r="I436">
        <v>4</v>
      </c>
      <c r="J436">
        <v>3.5</v>
      </c>
      <c r="K436">
        <v>3</v>
      </c>
      <c r="L436">
        <v>14</v>
      </c>
    </row>
    <row r="437" spans="1:12" hidden="1" x14ac:dyDescent="0.3">
      <c r="A437" s="3">
        <v>45355</v>
      </c>
      <c r="B437" t="s">
        <v>81</v>
      </c>
      <c r="C437" t="s">
        <v>50</v>
      </c>
      <c r="D437">
        <v>3</v>
      </c>
      <c r="E437">
        <v>8</v>
      </c>
      <c r="F437">
        <v>4</v>
      </c>
      <c r="G437">
        <v>2</v>
      </c>
      <c r="H437">
        <v>2</v>
      </c>
      <c r="I437">
        <v>3</v>
      </c>
      <c r="J437">
        <v>2.5</v>
      </c>
      <c r="K437">
        <v>2</v>
      </c>
      <c r="L437">
        <v>5</v>
      </c>
    </row>
    <row r="438" spans="1:12" hidden="1" x14ac:dyDescent="0.3">
      <c r="A438" s="3">
        <v>45355</v>
      </c>
      <c r="B438" t="s">
        <v>39</v>
      </c>
      <c r="C438" t="s">
        <v>32</v>
      </c>
      <c r="D438">
        <v>15</v>
      </c>
      <c r="E438">
        <v>12</v>
      </c>
      <c r="F438">
        <v>6</v>
      </c>
      <c r="G438">
        <v>6</v>
      </c>
      <c r="H438">
        <v>5</v>
      </c>
      <c r="I438">
        <v>10</v>
      </c>
      <c r="J438">
        <v>3.5</v>
      </c>
      <c r="K438">
        <v>3</v>
      </c>
      <c r="L438">
        <v>14</v>
      </c>
    </row>
    <row r="439" spans="1:12" hidden="1" x14ac:dyDescent="0.3">
      <c r="A439" s="3">
        <v>45355</v>
      </c>
      <c r="B439" t="s">
        <v>66</v>
      </c>
      <c r="C439" t="s">
        <v>45</v>
      </c>
      <c r="D439">
        <v>2</v>
      </c>
      <c r="E439">
        <v>8</v>
      </c>
      <c r="F439">
        <v>4</v>
      </c>
      <c r="G439">
        <v>4</v>
      </c>
      <c r="H439">
        <v>0</v>
      </c>
      <c r="I439">
        <v>2</v>
      </c>
      <c r="J439">
        <v>3.5</v>
      </c>
      <c r="K439">
        <v>3</v>
      </c>
      <c r="L439">
        <v>8</v>
      </c>
    </row>
    <row r="440" spans="1:12" hidden="1" x14ac:dyDescent="0.3">
      <c r="A440" s="3">
        <v>45355</v>
      </c>
      <c r="B440" t="s">
        <v>58</v>
      </c>
      <c r="C440" t="s">
        <v>76</v>
      </c>
      <c r="D440">
        <v>2</v>
      </c>
      <c r="E440">
        <v>15</v>
      </c>
      <c r="F440">
        <v>5</v>
      </c>
      <c r="G440">
        <v>6</v>
      </c>
      <c r="H440">
        <v>2</v>
      </c>
      <c r="I440">
        <v>4</v>
      </c>
      <c r="J440">
        <v>6</v>
      </c>
      <c r="K440">
        <v>5.5</v>
      </c>
      <c r="L440">
        <v>20</v>
      </c>
    </row>
    <row r="441" spans="1:12" hidden="1" x14ac:dyDescent="0.3">
      <c r="A441" s="3">
        <v>45355</v>
      </c>
      <c r="B441" t="s">
        <v>21</v>
      </c>
      <c r="C441" t="s">
        <v>27</v>
      </c>
      <c r="D441">
        <v>2</v>
      </c>
      <c r="E441">
        <v>8</v>
      </c>
      <c r="F441">
        <v>3</v>
      </c>
      <c r="G441">
        <v>2</v>
      </c>
      <c r="H441">
        <v>1</v>
      </c>
      <c r="I441">
        <v>4</v>
      </c>
      <c r="J441">
        <v>4</v>
      </c>
      <c r="K441">
        <v>3</v>
      </c>
      <c r="L441">
        <v>14</v>
      </c>
    </row>
    <row r="442" spans="1:12" hidden="1" x14ac:dyDescent="0.3">
      <c r="A442" s="3">
        <v>45355</v>
      </c>
      <c r="B442" t="s">
        <v>24</v>
      </c>
      <c r="C442" t="s">
        <v>29</v>
      </c>
      <c r="D442">
        <v>4</v>
      </c>
      <c r="E442">
        <v>8</v>
      </c>
      <c r="F442">
        <v>5</v>
      </c>
      <c r="G442">
        <v>4</v>
      </c>
      <c r="H442">
        <v>0</v>
      </c>
      <c r="I442">
        <v>3</v>
      </c>
      <c r="J442">
        <v>7.5</v>
      </c>
      <c r="K442">
        <v>5.5</v>
      </c>
      <c r="L442">
        <v>7</v>
      </c>
    </row>
    <row r="443" spans="1:12" hidden="1" x14ac:dyDescent="0.3">
      <c r="A443" s="3">
        <v>45355</v>
      </c>
      <c r="B443" t="s">
        <v>22</v>
      </c>
      <c r="C443" t="s">
        <v>26</v>
      </c>
      <c r="D443">
        <v>10</v>
      </c>
      <c r="E443">
        <v>12</v>
      </c>
      <c r="F443">
        <v>10</v>
      </c>
      <c r="G443">
        <v>3</v>
      </c>
      <c r="H443">
        <v>3</v>
      </c>
      <c r="I443">
        <v>6</v>
      </c>
      <c r="J443">
        <v>3.5</v>
      </c>
      <c r="K443">
        <v>3</v>
      </c>
      <c r="L443">
        <v>14</v>
      </c>
    </row>
    <row r="444" spans="1:12" hidden="1" x14ac:dyDescent="0.3">
      <c r="A444" s="3">
        <v>45355</v>
      </c>
      <c r="B444" t="s">
        <v>10</v>
      </c>
      <c r="C444" t="s">
        <v>18</v>
      </c>
      <c r="D444">
        <v>7</v>
      </c>
      <c r="E444">
        <v>10</v>
      </c>
      <c r="F444">
        <v>4</v>
      </c>
      <c r="G444">
        <v>5</v>
      </c>
      <c r="H444">
        <v>4</v>
      </c>
      <c r="I444">
        <v>4</v>
      </c>
      <c r="J444">
        <v>5.5</v>
      </c>
      <c r="K444">
        <v>4.5</v>
      </c>
      <c r="L444">
        <v>7</v>
      </c>
    </row>
    <row r="445" spans="1:12" hidden="1" x14ac:dyDescent="0.3">
      <c r="A445" s="3">
        <v>45356</v>
      </c>
      <c r="B445" t="s">
        <v>71</v>
      </c>
      <c r="C445" t="s">
        <v>47</v>
      </c>
      <c r="D445">
        <v>3</v>
      </c>
      <c r="E445">
        <v>6</v>
      </c>
      <c r="F445">
        <v>5</v>
      </c>
      <c r="G445">
        <v>1</v>
      </c>
      <c r="H445">
        <v>1</v>
      </c>
      <c r="I445">
        <v>2</v>
      </c>
      <c r="J445">
        <v>4</v>
      </c>
      <c r="K445">
        <v>3</v>
      </c>
      <c r="L445">
        <v>7</v>
      </c>
    </row>
    <row r="446" spans="1:12" hidden="1" x14ac:dyDescent="0.3">
      <c r="A446" s="3">
        <v>45356</v>
      </c>
      <c r="B446" t="s">
        <v>90</v>
      </c>
      <c r="C446" t="s">
        <v>87</v>
      </c>
      <c r="D446">
        <v>3</v>
      </c>
      <c r="E446">
        <v>12</v>
      </c>
      <c r="F446">
        <v>3</v>
      </c>
      <c r="G446">
        <v>4</v>
      </c>
      <c r="H446">
        <v>3</v>
      </c>
      <c r="I446">
        <v>5</v>
      </c>
      <c r="J446">
        <v>4.5</v>
      </c>
      <c r="K446">
        <v>4</v>
      </c>
      <c r="L446">
        <v>14</v>
      </c>
    </row>
    <row r="447" spans="1:12" hidden="1" x14ac:dyDescent="0.3">
      <c r="A447" s="3">
        <v>45356</v>
      </c>
      <c r="B447" t="s">
        <v>24</v>
      </c>
      <c r="C447" t="s">
        <v>29</v>
      </c>
      <c r="D447">
        <v>3</v>
      </c>
      <c r="E447">
        <v>8</v>
      </c>
      <c r="F447">
        <v>5</v>
      </c>
      <c r="G447">
        <v>3</v>
      </c>
      <c r="H447">
        <v>1</v>
      </c>
      <c r="I447">
        <v>2</v>
      </c>
      <c r="J447">
        <v>7.5</v>
      </c>
      <c r="K447">
        <v>5.5</v>
      </c>
      <c r="L447">
        <v>7</v>
      </c>
    </row>
    <row r="448" spans="1:12" hidden="1" x14ac:dyDescent="0.3">
      <c r="A448" s="3">
        <v>45356</v>
      </c>
      <c r="B448" t="s">
        <v>84</v>
      </c>
      <c r="C448" t="s">
        <v>101</v>
      </c>
      <c r="D448">
        <v>2</v>
      </c>
      <c r="E448">
        <v>8</v>
      </c>
      <c r="F448">
        <v>5</v>
      </c>
      <c r="G448">
        <v>0</v>
      </c>
      <c r="H448">
        <v>1</v>
      </c>
      <c r="I448">
        <v>4</v>
      </c>
      <c r="J448">
        <v>3.5</v>
      </c>
      <c r="K448">
        <v>3</v>
      </c>
      <c r="L448">
        <v>8</v>
      </c>
    </row>
    <row r="449" spans="1:12" hidden="1" x14ac:dyDescent="0.3">
      <c r="A449" s="3">
        <v>45356</v>
      </c>
      <c r="B449" t="s">
        <v>82</v>
      </c>
      <c r="C449" t="s">
        <v>73</v>
      </c>
      <c r="D449">
        <v>6</v>
      </c>
      <c r="E449">
        <v>8</v>
      </c>
      <c r="F449">
        <v>0</v>
      </c>
      <c r="G449">
        <v>6</v>
      </c>
      <c r="H449">
        <v>4</v>
      </c>
      <c r="I449">
        <v>4</v>
      </c>
      <c r="J449">
        <v>2.5</v>
      </c>
      <c r="K449">
        <v>2</v>
      </c>
      <c r="L449">
        <v>5</v>
      </c>
    </row>
    <row r="450" spans="1:12" hidden="1" x14ac:dyDescent="0.3">
      <c r="A450" s="3">
        <v>45356</v>
      </c>
      <c r="B450" t="s">
        <v>69</v>
      </c>
      <c r="C450" t="s">
        <v>98</v>
      </c>
      <c r="D450">
        <v>4</v>
      </c>
      <c r="E450">
        <v>6</v>
      </c>
      <c r="F450">
        <v>4</v>
      </c>
      <c r="G450">
        <v>1</v>
      </c>
      <c r="H450">
        <v>0</v>
      </c>
      <c r="I450">
        <v>5</v>
      </c>
      <c r="J450">
        <v>4</v>
      </c>
      <c r="K450">
        <v>3</v>
      </c>
      <c r="L450">
        <v>7</v>
      </c>
    </row>
    <row r="451" spans="1:12" hidden="1" x14ac:dyDescent="0.3">
      <c r="A451" s="3">
        <v>45356</v>
      </c>
      <c r="B451" t="s">
        <v>84</v>
      </c>
      <c r="C451" t="s">
        <v>101</v>
      </c>
      <c r="D451">
        <v>4</v>
      </c>
      <c r="E451">
        <v>8</v>
      </c>
      <c r="F451">
        <v>6</v>
      </c>
      <c r="G451">
        <v>3</v>
      </c>
      <c r="H451">
        <v>0</v>
      </c>
      <c r="I451">
        <v>3</v>
      </c>
      <c r="J451">
        <v>3.5</v>
      </c>
      <c r="K451">
        <v>3</v>
      </c>
      <c r="L451">
        <v>8</v>
      </c>
    </row>
    <row r="452" spans="1:12" hidden="1" x14ac:dyDescent="0.3">
      <c r="A452" s="3">
        <v>45357</v>
      </c>
      <c r="B452" t="s">
        <v>20</v>
      </c>
      <c r="C452" t="s">
        <v>25</v>
      </c>
      <c r="D452">
        <v>6</v>
      </c>
      <c r="E452">
        <v>10</v>
      </c>
      <c r="F452">
        <v>9</v>
      </c>
      <c r="G452">
        <v>2</v>
      </c>
      <c r="H452">
        <v>3</v>
      </c>
      <c r="I452">
        <v>2</v>
      </c>
      <c r="J452">
        <v>4.5</v>
      </c>
      <c r="K452">
        <v>4</v>
      </c>
      <c r="L452">
        <v>10</v>
      </c>
    </row>
    <row r="453" spans="1:12" hidden="1" x14ac:dyDescent="0.3">
      <c r="A453" s="3">
        <v>45357</v>
      </c>
      <c r="B453" t="s">
        <v>78</v>
      </c>
      <c r="C453" t="s">
        <v>74</v>
      </c>
      <c r="D453">
        <v>0</v>
      </c>
      <c r="E453">
        <v>6</v>
      </c>
      <c r="F453">
        <v>0</v>
      </c>
      <c r="G453">
        <v>4</v>
      </c>
      <c r="H453">
        <v>0</v>
      </c>
      <c r="I453">
        <v>2</v>
      </c>
      <c r="J453">
        <v>4</v>
      </c>
      <c r="K453">
        <v>3</v>
      </c>
      <c r="L453">
        <v>7</v>
      </c>
    </row>
    <row r="454" spans="1:12" hidden="1" x14ac:dyDescent="0.3">
      <c r="A454" s="3">
        <v>45357</v>
      </c>
      <c r="B454" t="s">
        <v>83</v>
      </c>
      <c r="C454" t="s">
        <v>100</v>
      </c>
      <c r="D454">
        <v>4</v>
      </c>
      <c r="E454">
        <v>10</v>
      </c>
      <c r="F454">
        <v>4</v>
      </c>
      <c r="G454">
        <v>5</v>
      </c>
      <c r="H454">
        <v>3</v>
      </c>
      <c r="I454">
        <v>2</v>
      </c>
      <c r="J454">
        <v>4.5</v>
      </c>
      <c r="K454">
        <v>4</v>
      </c>
      <c r="L454">
        <v>10</v>
      </c>
    </row>
    <row r="455" spans="1:12" hidden="1" x14ac:dyDescent="0.3">
      <c r="A455" s="3">
        <v>45357</v>
      </c>
      <c r="B455" t="s">
        <v>58</v>
      </c>
      <c r="C455" t="s">
        <v>76</v>
      </c>
      <c r="D455">
        <v>4</v>
      </c>
      <c r="E455">
        <v>15</v>
      </c>
      <c r="F455">
        <v>10</v>
      </c>
      <c r="G455">
        <v>3</v>
      </c>
      <c r="H455">
        <v>2</v>
      </c>
      <c r="I455">
        <v>4</v>
      </c>
      <c r="J455">
        <v>6</v>
      </c>
      <c r="K455">
        <v>5.5</v>
      </c>
      <c r="L455">
        <v>20</v>
      </c>
    </row>
    <row r="456" spans="1:12" hidden="1" x14ac:dyDescent="0.3">
      <c r="A456" s="3">
        <v>45357</v>
      </c>
      <c r="B456" t="s">
        <v>41</v>
      </c>
      <c r="C456" t="s">
        <v>86</v>
      </c>
      <c r="D456">
        <v>2</v>
      </c>
      <c r="E456">
        <v>15</v>
      </c>
      <c r="F456">
        <v>4</v>
      </c>
      <c r="G456">
        <v>5</v>
      </c>
      <c r="H456">
        <v>5</v>
      </c>
      <c r="I456">
        <v>3</v>
      </c>
      <c r="J456">
        <v>3</v>
      </c>
      <c r="K456">
        <v>2.5</v>
      </c>
      <c r="L456">
        <v>14</v>
      </c>
    </row>
    <row r="457" spans="1:12" hidden="1" x14ac:dyDescent="0.3">
      <c r="A457" s="3">
        <v>45357</v>
      </c>
      <c r="B457" t="s">
        <v>66</v>
      </c>
      <c r="C457" t="s">
        <v>45</v>
      </c>
      <c r="D457">
        <v>2</v>
      </c>
      <c r="E457">
        <v>8</v>
      </c>
      <c r="F457">
        <v>6</v>
      </c>
      <c r="G457">
        <v>0</v>
      </c>
      <c r="H457">
        <v>0</v>
      </c>
      <c r="I457">
        <v>4</v>
      </c>
      <c r="J457">
        <v>3.5</v>
      </c>
      <c r="K457">
        <v>3</v>
      </c>
      <c r="L457">
        <v>8</v>
      </c>
    </row>
    <row r="458" spans="1:12" hidden="1" x14ac:dyDescent="0.3">
      <c r="A458" s="3">
        <v>45357</v>
      </c>
      <c r="B458" t="s">
        <v>56</v>
      </c>
      <c r="C458" t="s">
        <v>54</v>
      </c>
      <c r="D458">
        <v>6</v>
      </c>
      <c r="E458">
        <v>8</v>
      </c>
      <c r="F458">
        <v>3</v>
      </c>
      <c r="G458">
        <v>2</v>
      </c>
      <c r="H458">
        <v>1</v>
      </c>
      <c r="I458">
        <v>8</v>
      </c>
      <c r="J458">
        <v>6</v>
      </c>
      <c r="K458">
        <v>5.5</v>
      </c>
      <c r="L458">
        <v>20</v>
      </c>
    </row>
    <row r="459" spans="1:12" hidden="1" x14ac:dyDescent="0.3">
      <c r="A459" s="3">
        <v>45357</v>
      </c>
      <c r="B459" t="s">
        <v>90</v>
      </c>
      <c r="C459" t="s">
        <v>87</v>
      </c>
      <c r="D459">
        <v>5</v>
      </c>
      <c r="E459">
        <v>12</v>
      </c>
      <c r="F459">
        <v>1</v>
      </c>
      <c r="G459">
        <v>5</v>
      </c>
      <c r="H459">
        <v>0</v>
      </c>
      <c r="I459">
        <v>11</v>
      </c>
      <c r="J459">
        <v>4.5</v>
      </c>
      <c r="K459">
        <v>4</v>
      </c>
      <c r="L459">
        <v>14</v>
      </c>
    </row>
    <row r="460" spans="1:12" hidden="1" x14ac:dyDescent="0.3">
      <c r="A460" s="3">
        <v>45358</v>
      </c>
      <c r="B460" t="s">
        <v>21</v>
      </c>
      <c r="C460" t="s">
        <v>27</v>
      </c>
      <c r="D460">
        <v>4</v>
      </c>
      <c r="E460">
        <v>8</v>
      </c>
      <c r="F460">
        <v>5</v>
      </c>
      <c r="G460">
        <v>0</v>
      </c>
      <c r="H460">
        <v>2</v>
      </c>
      <c r="I460">
        <v>5</v>
      </c>
      <c r="J460">
        <v>4</v>
      </c>
      <c r="K460">
        <v>3</v>
      </c>
      <c r="L460">
        <v>14</v>
      </c>
    </row>
    <row r="461" spans="1:12" hidden="1" x14ac:dyDescent="0.3">
      <c r="A461" s="3">
        <v>45358</v>
      </c>
      <c r="B461" t="s">
        <v>22</v>
      </c>
      <c r="C461" t="s">
        <v>26</v>
      </c>
      <c r="D461">
        <v>6</v>
      </c>
      <c r="E461">
        <v>12</v>
      </c>
      <c r="F461">
        <v>11</v>
      </c>
      <c r="G461">
        <v>3</v>
      </c>
      <c r="H461">
        <v>0</v>
      </c>
      <c r="I461">
        <v>4</v>
      </c>
      <c r="J461">
        <v>3.5</v>
      </c>
      <c r="K461">
        <v>3</v>
      </c>
      <c r="L461">
        <v>14</v>
      </c>
    </row>
    <row r="462" spans="1:12" hidden="1" x14ac:dyDescent="0.3">
      <c r="A462" s="3">
        <v>45358</v>
      </c>
      <c r="B462" t="s">
        <v>90</v>
      </c>
      <c r="C462" t="s">
        <v>87</v>
      </c>
      <c r="D462">
        <v>11</v>
      </c>
      <c r="E462">
        <v>12</v>
      </c>
      <c r="F462">
        <v>3</v>
      </c>
      <c r="G462">
        <v>1</v>
      </c>
      <c r="H462">
        <v>2</v>
      </c>
      <c r="I462">
        <v>17</v>
      </c>
      <c r="J462">
        <v>4.5</v>
      </c>
      <c r="K462">
        <v>4</v>
      </c>
      <c r="L462">
        <v>14</v>
      </c>
    </row>
    <row r="463" spans="1:12" hidden="1" x14ac:dyDescent="0.3">
      <c r="A463" s="3">
        <v>45358</v>
      </c>
      <c r="B463" t="s">
        <v>80</v>
      </c>
      <c r="C463" t="s">
        <v>49</v>
      </c>
      <c r="D463">
        <v>11</v>
      </c>
      <c r="E463">
        <v>8</v>
      </c>
      <c r="F463">
        <v>7</v>
      </c>
      <c r="G463">
        <v>7</v>
      </c>
      <c r="H463">
        <v>2</v>
      </c>
      <c r="I463">
        <v>3</v>
      </c>
      <c r="J463">
        <v>2.5</v>
      </c>
      <c r="K463">
        <v>2</v>
      </c>
      <c r="L463">
        <v>5</v>
      </c>
    </row>
    <row r="464" spans="1:12" hidden="1" x14ac:dyDescent="0.3">
      <c r="A464" s="3">
        <v>45358</v>
      </c>
      <c r="B464" t="s">
        <v>61</v>
      </c>
      <c r="C464" t="s">
        <v>95</v>
      </c>
      <c r="D464">
        <v>4</v>
      </c>
      <c r="E464">
        <v>10</v>
      </c>
      <c r="F464">
        <v>7</v>
      </c>
      <c r="G464">
        <v>0</v>
      </c>
      <c r="H464">
        <v>0</v>
      </c>
      <c r="I464">
        <v>7</v>
      </c>
      <c r="J464">
        <v>4</v>
      </c>
      <c r="K464">
        <v>3.5</v>
      </c>
      <c r="L464">
        <v>10</v>
      </c>
    </row>
    <row r="465" spans="1:12" hidden="1" x14ac:dyDescent="0.3">
      <c r="A465" s="3">
        <v>45358</v>
      </c>
      <c r="B465" t="s">
        <v>21</v>
      </c>
      <c r="C465" t="s">
        <v>27</v>
      </c>
      <c r="D465">
        <v>5</v>
      </c>
      <c r="E465">
        <v>8</v>
      </c>
      <c r="F465">
        <v>4</v>
      </c>
      <c r="G465">
        <v>4</v>
      </c>
      <c r="H465">
        <v>0</v>
      </c>
      <c r="I465">
        <v>5</v>
      </c>
      <c r="J465">
        <v>4</v>
      </c>
      <c r="K465">
        <v>3</v>
      </c>
      <c r="L465">
        <v>14</v>
      </c>
    </row>
    <row r="466" spans="1:12" hidden="1" x14ac:dyDescent="0.3">
      <c r="A466" s="3">
        <v>45358</v>
      </c>
      <c r="B466" t="s">
        <v>55</v>
      </c>
      <c r="C466" t="s">
        <v>53</v>
      </c>
      <c r="D466">
        <v>1</v>
      </c>
      <c r="E466">
        <v>4</v>
      </c>
      <c r="F466">
        <v>2</v>
      </c>
      <c r="G466">
        <v>2</v>
      </c>
      <c r="H466">
        <v>1</v>
      </c>
      <c r="I466">
        <v>0</v>
      </c>
      <c r="J466">
        <v>8.5</v>
      </c>
      <c r="K466">
        <v>6</v>
      </c>
      <c r="L466">
        <v>7</v>
      </c>
    </row>
    <row r="467" spans="1:12" hidden="1" x14ac:dyDescent="0.3">
      <c r="A467" s="3">
        <v>45358</v>
      </c>
      <c r="B467" t="s">
        <v>56</v>
      </c>
      <c r="C467" t="s">
        <v>54</v>
      </c>
      <c r="D467">
        <v>8</v>
      </c>
      <c r="E467">
        <v>8</v>
      </c>
      <c r="F467">
        <v>8</v>
      </c>
      <c r="G467">
        <v>0</v>
      </c>
      <c r="H467">
        <v>5</v>
      </c>
      <c r="I467">
        <v>3</v>
      </c>
      <c r="J467">
        <v>6</v>
      </c>
      <c r="K467">
        <v>5.5</v>
      </c>
      <c r="L467">
        <v>20</v>
      </c>
    </row>
    <row r="468" spans="1:12" hidden="1" x14ac:dyDescent="0.3">
      <c r="A468" s="3">
        <v>45358</v>
      </c>
      <c r="B468" t="s">
        <v>90</v>
      </c>
      <c r="C468" t="s">
        <v>87</v>
      </c>
      <c r="D468">
        <v>17</v>
      </c>
      <c r="E468">
        <v>12</v>
      </c>
      <c r="F468">
        <v>4</v>
      </c>
      <c r="G468">
        <v>12</v>
      </c>
      <c r="H468">
        <v>1</v>
      </c>
      <c r="I468">
        <v>12</v>
      </c>
      <c r="J468">
        <v>4.5</v>
      </c>
      <c r="K468">
        <v>4</v>
      </c>
      <c r="L468">
        <v>14</v>
      </c>
    </row>
    <row r="469" spans="1:12" hidden="1" x14ac:dyDescent="0.3">
      <c r="A469" s="3">
        <v>45358</v>
      </c>
      <c r="B469" t="s">
        <v>79</v>
      </c>
      <c r="C469" t="s">
        <v>104</v>
      </c>
      <c r="D469">
        <v>3</v>
      </c>
      <c r="E469">
        <v>8</v>
      </c>
      <c r="F469">
        <v>7</v>
      </c>
      <c r="G469">
        <v>1</v>
      </c>
      <c r="H469">
        <v>2</v>
      </c>
      <c r="I469">
        <v>1</v>
      </c>
      <c r="J469">
        <v>2.5</v>
      </c>
      <c r="K469">
        <v>2</v>
      </c>
      <c r="L469">
        <v>5</v>
      </c>
    </row>
    <row r="470" spans="1:12" hidden="1" x14ac:dyDescent="0.3">
      <c r="A470" s="3">
        <v>45358</v>
      </c>
      <c r="B470" t="s">
        <v>66</v>
      </c>
      <c r="C470" t="s">
        <v>45</v>
      </c>
      <c r="D470">
        <v>4</v>
      </c>
      <c r="E470">
        <v>8</v>
      </c>
      <c r="F470">
        <v>6</v>
      </c>
      <c r="G470">
        <v>2</v>
      </c>
      <c r="H470">
        <v>2</v>
      </c>
      <c r="I470">
        <v>2</v>
      </c>
      <c r="J470">
        <v>3.5</v>
      </c>
      <c r="K470">
        <v>3</v>
      </c>
      <c r="L470">
        <v>8</v>
      </c>
    </row>
    <row r="471" spans="1:12" hidden="1" x14ac:dyDescent="0.3">
      <c r="A471" s="3">
        <v>45359</v>
      </c>
      <c r="B471" t="s">
        <v>22</v>
      </c>
      <c r="C471" t="s">
        <v>26</v>
      </c>
      <c r="D471">
        <v>4</v>
      </c>
      <c r="E471">
        <v>12</v>
      </c>
      <c r="F471">
        <v>6</v>
      </c>
      <c r="G471">
        <v>2</v>
      </c>
      <c r="H471">
        <v>3</v>
      </c>
      <c r="I471">
        <v>5</v>
      </c>
      <c r="J471">
        <v>3.5</v>
      </c>
      <c r="K471">
        <v>3</v>
      </c>
      <c r="L471">
        <v>14</v>
      </c>
    </row>
    <row r="472" spans="1:12" hidden="1" x14ac:dyDescent="0.3">
      <c r="A472" s="3">
        <v>45359</v>
      </c>
      <c r="B472" t="s">
        <v>68</v>
      </c>
      <c r="C472" t="s">
        <v>43</v>
      </c>
      <c r="D472">
        <v>16</v>
      </c>
      <c r="E472">
        <v>15</v>
      </c>
      <c r="F472">
        <v>6</v>
      </c>
      <c r="G472">
        <v>3</v>
      </c>
      <c r="H472">
        <v>4</v>
      </c>
      <c r="I472">
        <v>18</v>
      </c>
      <c r="J472">
        <v>4</v>
      </c>
      <c r="K472">
        <v>3</v>
      </c>
      <c r="L472">
        <v>14</v>
      </c>
    </row>
    <row r="473" spans="1:12" hidden="1" x14ac:dyDescent="0.3">
      <c r="A473" s="3">
        <v>45359</v>
      </c>
      <c r="B473" t="s">
        <v>10</v>
      </c>
      <c r="C473" t="s">
        <v>18</v>
      </c>
      <c r="D473">
        <v>4</v>
      </c>
      <c r="E473">
        <v>10</v>
      </c>
      <c r="F473">
        <v>2</v>
      </c>
      <c r="G473">
        <v>3</v>
      </c>
      <c r="H473">
        <v>4</v>
      </c>
      <c r="I473">
        <v>5</v>
      </c>
      <c r="J473">
        <v>5.5</v>
      </c>
      <c r="K473">
        <v>4.5</v>
      </c>
      <c r="L473">
        <v>7</v>
      </c>
    </row>
    <row r="474" spans="1:12" x14ac:dyDescent="0.3">
      <c r="A474" s="3">
        <v>45359</v>
      </c>
      <c r="B474" t="s">
        <v>34</v>
      </c>
      <c r="C474" t="s">
        <v>30</v>
      </c>
      <c r="D474">
        <v>2</v>
      </c>
      <c r="E474">
        <v>6</v>
      </c>
      <c r="F474">
        <v>1</v>
      </c>
      <c r="G474">
        <v>1</v>
      </c>
      <c r="H474">
        <v>3</v>
      </c>
      <c r="I474">
        <v>3</v>
      </c>
      <c r="J474">
        <v>3.5</v>
      </c>
      <c r="K474">
        <v>3</v>
      </c>
      <c r="L474">
        <v>10</v>
      </c>
    </row>
    <row r="475" spans="1:12" hidden="1" x14ac:dyDescent="0.3">
      <c r="A475" s="3">
        <v>45359</v>
      </c>
      <c r="B475" t="s">
        <v>58</v>
      </c>
      <c r="C475" t="s">
        <v>76</v>
      </c>
      <c r="D475">
        <v>4</v>
      </c>
      <c r="E475">
        <v>15</v>
      </c>
      <c r="F475">
        <v>3</v>
      </c>
      <c r="G475">
        <v>5</v>
      </c>
      <c r="H475">
        <v>5</v>
      </c>
      <c r="I475">
        <v>6</v>
      </c>
      <c r="J475">
        <v>6</v>
      </c>
      <c r="K475">
        <v>5.5</v>
      </c>
      <c r="L475">
        <v>20</v>
      </c>
    </row>
    <row r="476" spans="1:12" x14ac:dyDescent="0.3">
      <c r="A476" s="3">
        <v>45359</v>
      </c>
      <c r="B476" t="s">
        <v>34</v>
      </c>
      <c r="C476" t="s">
        <v>30</v>
      </c>
      <c r="D476">
        <v>3</v>
      </c>
      <c r="E476">
        <v>6</v>
      </c>
      <c r="F476">
        <v>0</v>
      </c>
      <c r="G476">
        <v>1</v>
      </c>
      <c r="H476">
        <v>5</v>
      </c>
      <c r="I476">
        <v>3</v>
      </c>
      <c r="J476">
        <v>3.5</v>
      </c>
      <c r="K476">
        <v>3</v>
      </c>
      <c r="L476">
        <v>10</v>
      </c>
    </row>
    <row r="477" spans="1:12" hidden="1" x14ac:dyDescent="0.3">
      <c r="A477" s="3">
        <v>45359</v>
      </c>
      <c r="B477" t="s">
        <v>36</v>
      </c>
      <c r="C477" t="s">
        <v>33</v>
      </c>
      <c r="D477">
        <v>4</v>
      </c>
      <c r="E477">
        <v>12</v>
      </c>
      <c r="F477">
        <v>8</v>
      </c>
      <c r="G477">
        <v>1</v>
      </c>
      <c r="H477">
        <v>0</v>
      </c>
      <c r="I477">
        <v>7</v>
      </c>
      <c r="J477">
        <v>3.5</v>
      </c>
      <c r="K477">
        <v>3</v>
      </c>
      <c r="L477">
        <v>14</v>
      </c>
    </row>
    <row r="478" spans="1:12" hidden="1" x14ac:dyDescent="0.3">
      <c r="A478" s="3">
        <v>45360</v>
      </c>
      <c r="B478" t="s">
        <v>84</v>
      </c>
      <c r="C478" t="s">
        <v>101</v>
      </c>
      <c r="D478">
        <v>3</v>
      </c>
      <c r="E478">
        <v>8</v>
      </c>
      <c r="F478">
        <v>5</v>
      </c>
      <c r="G478">
        <v>3</v>
      </c>
      <c r="H478">
        <v>2</v>
      </c>
      <c r="I478">
        <v>1</v>
      </c>
      <c r="J478">
        <v>3.5</v>
      </c>
      <c r="K478">
        <v>3</v>
      </c>
      <c r="L478">
        <v>8</v>
      </c>
    </row>
    <row r="479" spans="1:12" hidden="1" x14ac:dyDescent="0.3">
      <c r="A479" s="3">
        <v>45360</v>
      </c>
      <c r="B479" t="s">
        <v>81</v>
      </c>
      <c r="C479" t="s">
        <v>50</v>
      </c>
      <c r="D479">
        <v>3</v>
      </c>
      <c r="E479">
        <v>8</v>
      </c>
      <c r="F479">
        <v>6</v>
      </c>
      <c r="G479">
        <v>0</v>
      </c>
      <c r="H479">
        <v>1</v>
      </c>
      <c r="I479">
        <v>4</v>
      </c>
      <c r="J479">
        <v>2.5</v>
      </c>
      <c r="K479">
        <v>2</v>
      </c>
      <c r="L479">
        <v>5</v>
      </c>
    </row>
    <row r="480" spans="1:12" hidden="1" x14ac:dyDescent="0.3">
      <c r="A480" s="3">
        <v>45360</v>
      </c>
      <c r="B480" t="s">
        <v>83</v>
      </c>
      <c r="C480" t="s">
        <v>100</v>
      </c>
      <c r="D480">
        <v>2</v>
      </c>
      <c r="E480">
        <v>10</v>
      </c>
      <c r="F480">
        <v>5</v>
      </c>
      <c r="G480">
        <v>1</v>
      </c>
      <c r="H480">
        <v>3</v>
      </c>
      <c r="I480">
        <v>3</v>
      </c>
      <c r="J480">
        <v>4.5</v>
      </c>
      <c r="K480">
        <v>4</v>
      </c>
      <c r="L480">
        <v>10</v>
      </c>
    </row>
    <row r="481" spans="1:12" hidden="1" x14ac:dyDescent="0.3">
      <c r="A481" s="3">
        <v>45360</v>
      </c>
      <c r="B481" t="s">
        <v>57</v>
      </c>
      <c r="C481" t="s">
        <v>75</v>
      </c>
      <c r="D481">
        <v>2</v>
      </c>
      <c r="E481">
        <v>8</v>
      </c>
      <c r="F481">
        <v>2</v>
      </c>
      <c r="G481">
        <v>1</v>
      </c>
      <c r="H481">
        <v>3</v>
      </c>
      <c r="I481">
        <v>4</v>
      </c>
      <c r="J481">
        <v>6</v>
      </c>
      <c r="K481">
        <v>5.5</v>
      </c>
      <c r="L481">
        <v>20</v>
      </c>
    </row>
    <row r="482" spans="1:12" hidden="1" x14ac:dyDescent="0.3">
      <c r="A482" s="3">
        <v>45361</v>
      </c>
      <c r="B482" t="s">
        <v>64</v>
      </c>
      <c r="C482" t="s">
        <v>42</v>
      </c>
      <c r="D482">
        <v>1</v>
      </c>
      <c r="E482">
        <v>8</v>
      </c>
      <c r="F482">
        <v>1</v>
      </c>
      <c r="G482">
        <v>3</v>
      </c>
      <c r="H482">
        <v>3</v>
      </c>
      <c r="I482">
        <v>2</v>
      </c>
      <c r="J482">
        <v>3.5</v>
      </c>
      <c r="K482">
        <v>3</v>
      </c>
      <c r="L482">
        <v>8</v>
      </c>
    </row>
    <row r="483" spans="1:12" hidden="1" x14ac:dyDescent="0.3">
      <c r="A483" s="3">
        <v>45361</v>
      </c>
      <c r="B483" t="s">
        <v>92</v>
      </c>
      <c r="C483" t="s">
        <v>91</v>
      </c>
      <c r="D483">
        <v>4</v>
      </c>
      <c r="E483">
        <v>6</v>
      </c>
      <c r="F483">
        <v>4</v>
      </c>
      <c r="G483">
        <v>1</v>
      </c>
      <c r="H483">
        <v>3</v>
      </c>
      <c r="I483">
        <v>2</v>
      </c>
      <c r="J483">
        <v>4.5</v>
      </c>
      <c r="K483">
        <v>4</v>
      </c>
      <c r="L483">
        <v>14</v>
      </c>
    </row>
    <row r="484" spans="1:12" hidden="1" x14ac:dyDescent="0.3">
      <c r="A484" s="3">
        <v>45361</v>
      </c>
      <c r="B484" t="s">
        <v>81</v>
      </c>
      <c r="C484" t="s">
        <v>50</v>
      </c>
      <c r="D484">
        <v>4</v>
      </c>
      <c r="E484">
        <v>8</v>
      </c>
      <c r="F484">
        <v>5</v>
      </c>
      <c r="G484">
        <v>4</v>
      </c>
      <c r="H484">
        <v>0</v>
      </c>
      <c r="I484">
        <v>3</v>
      </c>
      <c r="J484">
        <v>2.5</v>
      </c>
      <c r="K484">
        <v>2</v>
      </c>
      <c r="L484">
        <v>5</v>
      </c>
    </row>
    <row r="485" spans="1:12" hidden="1" x14ac:dyDescent="0.3">
      <c r="A485" s="3">
        <v>45361</v>
      </c>
      <c r="B485" t="s">
        <v>35</v>
      </c>
      <c r="C485" t="s">
        <v>31</v>
      </c>
      <c r="D485">
        <v>1</v>
      </c>
      <c r="E485">
        <v>8</v>
      </c>
      <c r="F485">
        <v>1</v>
      </c>
      <c r="G485">
        <v>1</v>
      </c>
      <c r="H485">
        <v>3</v>
      </c>
      <c r="I485">
        <v>4</v>
      </c>
      <c r="J485">
        <v>3.5</v>
      </c>
      <c r="K485">
        <v>3</v>
      </c>
      <c r="L485">
        <v>14</v>
      </c>
    </row>
    <row r="486" spans="1:12" hidden="1" x14ac:dyDescent="0.3">
      <c r="A486" s="3">
        <v>45361</v>
      </c>
      <c r="B486" t="s">
        <v>80</v>
      </c>
      <c r="C486" t="s">
        <v>49</v>
      </c>
      <c r="D486">
        <v>3</v>
      </c>
      <c r="E486">
        <v>8</v>
      </c>
      <c r="F486">
        <v>6</v>
      </c>
      <c r="G486">
        <v>1</v>
      </c>
      <c r="H486">
        <v>1</v>
      </c>
      <c r="I486">
        <v>3</v>
      </c>
      <c r="J486">
        <v>2.5</v>
      </c>
      <c r="K486">
        <v>2</v>
      </c>
      <c r="L486">
        <v>5</v>
      </c>
    </row>
    <row r="487" spans="1:12" hidden="1" x14ac:dyDescent="0.3">
      <c r="A487" s="3">
        <v>45361</v>
      </c>
      <c r="B487" t="s">
        <v>41</v>
      </c>
      <c r="C487" t="s">
        <v>86</v>
      </c>
      <c r="D487">
        <v>3</v>
      </c>
      <c r="E487">
        <v>15</v>
      </c>
      <c r="F487">
        <v>4</v>
      </c>
      <c r="G487">
        <v>3</v>
      </c>
      <c r="H487">
        <v>4</v>
      </c>
      <c r="I487">
        <v>7</v>
      </c>
      <c r="J487">
        <v>3</v>
      </c>
      <c r="K487">
        <v>2.5</v>
      </c>
      <c r="L487">
        <v>14</v>
      </c>
    </row>
    <row r="488" spans="1:12" hidden="1" x14ac:dyDescent="0.3">
      <c r="A488" s="3">
        <v>45361</v>
      </c>
      <c r="B488" t="s">
        <v>61</v>
      </c>
      <c r="C488" t="s">
        <v>95</v>
      </c>
      <c r="D488">
        <v>7</v>
      </c>
      <c r="E488">
        <v>10</v>
      </c>
      <c r="F488">
        <v>8</v>
      </c>
      <c r="G488">
        <v>1</v>
      </c>
      <c r="H488">
        <v>4</v>
      </c>
      <c r="I488">
        <v>4</v>
      </c>
      <c r="J488">
        <v>4</v>
      </c>
      <c r="K488">
        <v>3.5</v>
      </c>
      <c r="L488">
        <v>10</v>
      </c>
    </row>
    <row r="489" spans="1:12" hidden="1" x14ac:dyDescent="0.3">
      <c r="A489" s="3">
        <v>45361</v>
      </c>
      <c r="B489" t="s">
        <v>20</v>
      </c>
      <c r="C489" t="s">
        <v>25</v>
      </c>
      <c r="D489">
        <v>2</v>
      </c>
      <c r="E489">
        <v>10</v>
      </c>
      <c r="F489">
        <v>2</v>
      </c>
      <c r="G489">
        <v>5</v>
      </c>
      <c r="H489">
        <v>0</v>
      </c>
      <c r="I489">
        <v>5</v>
      </c>
      <c r="J489">
        <v>4.5</v>
      </c>
      <c r="K489">
        <v>4</v>
      </c>
      <c r="L489">
        <v>10</v>
      </c>
    </row>
    <row r="490" spans="1:12" hidden="1" x14ac:dyDescent="0.3">
      <c r="A490" s="3">
        <v>45361</v>
      </c>
      <c r="B490" t="s">
        <v>69</v>
      </c>
      <c r="C490" t="s">
        <v>98</v>
      </c>
      <c r="D490">
        <v>5</v>
      </c>
      <c r="E490">
        <v>6</v>
      </c>
      <c r="F490">
        <v>6</v>
      </c>
      <c r="G490">
        <v>0</v>
      </c>
      <c r="H490">
        <v>2</v>
      </c>
      <c r="I490">
        <v>3</v>
      </c>
      <c r="J490">
        <v>4</v>
      </c>
      <c r="K490">
        <v>3</v>
      </c>
      <c r="L490">
        <v>7</v>
      </c>
    </row>
    <row r="491" spans="1:12" hidden="1" x14ac:dyDescent="0.3">
      <c r="A491" s="3">
        <v>45361</v>
      </c>
      <c r="B491" t="s">
        <v>58</v>
      </c>
      <c r="C491" t="s">
        <v>76</v>
      </c>
      <c r="D491">
        <v>6</v>
      </c>
      <c r="E491">
        <v>15</v>
      </c>
      <c r="F491">
        <v>11</v>
      </c>
      <c r="G491">
        <v>6</v>
      </c>
      <c r="H491">
        <v>2</v>
      </c>
      <c r="I491">
        <v>2</v>
      </c>
      <c r="J491">
        <v>6</v>
      </c>
      <c r="K491">
        <v>5.5</v>
      </c>
      <c r="L491">
        <v>20</v>
      </c>
    </row>
    <row r="492" spans="1:12" hidden="1" x14ac:dyDescent="0.3">
      <c r="A492" s="3">
        <v>45361</v>
      </c>
      <c r="B492" t="s">
        <v>39</v>
      </c>
      <c r="C492" t="s">
        <v>32</v>
      </c>
      <c r="D492">
        <v>10</v>
      </c>
      <c r="E492">
        <v>12</v>
      </c>
      <c r="F492">
        <v>11</v>
      </c>
      <c r="G492">
        <v>7</v>
      </c>
      <c r="H492">
        <v>0</v>
      </c>
      <c r="I492">
        <v>4</v>
      </c>
      <c r="J492">
        <v>3.5</v>
      </c>
      <c r="K492">
        <v>3</v>
      </c>
      <c r="L492">
        <v>14</v>
      </c>
    </row>
    <row r="493" spans="1:12" hidden="1" x14ac:dyDescent="0.3">
      <c r="A493" s="3">
        <v>45362</v>
      </c>
      <c r="B493" t="s">
        <v>20</v>
      </c>
      <c r="C493" t="s">
        <v>25</v>
      </c>
      <c r="D493">
        <v>5</v>
      </c>
      <c r="E493">
        <v>10</v>
      </c>
      <c r="F493">
        <v>4</v>
      </c>
      <c r="G493">
        <v>6</v>
      </c>
      <c r="H493">
        <v>1</v>
      </c>
      <c r="I493">
        <v>4</v>
      </c>
      <c r="J493">
        <v>4.5</v>
      </c>
      <c r="K493">
        <v>4</v>
      </c>
      <c r="L493">
        <v>10</v>
      </c>
    </row>
    <row r="494" spans="1:12" hidden="1" x14ac:dyDescent="0.3">
      <c r="A494" s="3">
        <v>45362</v>
      </c>
      <c r="B494" t="s">
        <v>39</v>
      </c>
      <c r="C494" t="s">
        <v>32</v>
      </c>
      <c r="D494">
        <v>4</v>
      </c>
      <c r="E494">
        <v>12</v>
      </c>
      <c r="F494">
        <v>5</v>
      </c>
      <c r="G494">
        <v>4</v>
      </c>
      <c r="H494">
        <v>4</v>
      </c>
      <c r="I494">
        <v>3</v>
      </c>
      <c r="J494">
        <v>3.5</v>
      </c>
      <c r="K494">
        <v>3</v>
      </c>
      <c r="L494">
        <v>14</v>
      </c>
    </row>
    <row r="495" spans="1:12" hidden="1" x14ac:dyDescent="0.3">
      <c r="A495" s="3">
        <v>45362</v>
      </c>
      <c r="B495" t="s">
        <v>82</v>
      </c>
      <c r="C495" t="s">
        <v>73</v>
      </c>
      <c r="D495">
        <v>4</v>
      </c>
      <c r="E495">
        <v>8</v>
      </c>
      <c r="F495">
        <v>5</v>
      </c>
      <c r="G495">
        <v>0</v>
      </c>
      <c r="H495">
        <v>1</v>
      </c>
      <c r="I495">
        <v>6</v>
      </c>
      <c r="J495">
        <v>2.5</v>
      </c>
      <c r="K495">
        <v>2</v>
      </c>
      <c r="L495">
        <v>5</v>
      </c>
    </row>
    <row r="496" spans="1:12" hidden="1" x14ac:dyDescent="0.3">
      <c r="A496" s="3">
        <v>45362</v>
      </c>
      <c r="B496" t="s">
        <v>71</v>
      </c>
      <c r="C496" t="s">
        <v>47</v>
      </c>
      <c r="D496">
        <v>2</v>
      </c>
      <c r="E496">
        <v>6</v>
      </c>
      <c r="F496">
        <v>4</v>
      </c>
      <c r="G496">
        <v>1</v>
      </c>
      <c r="H496">
        <v>1</v>
      </c>
      <c r="I496">
        <v>2</v>
      </c>
      <c r="J496">
        <v>4</v>
      </c>
      <c r="K496">
        <v>3</v>
      </c>
      <c r="L496">
        <v>7</v>
      </c>
    </row>
    <row r="497" spans="1:12" hidden="1" x14ac:dyDescent="0.3">
      <c r="A497" s="3">
        <v>45362</v>
      </c>
      <c r="B497" t="s">
        <v>55</v>
      </c>
      <c r="C497" t="s">
        <v>53</v>
      </c>
      <c r="D497">
        <v>0</v>
      </c>
      <c r="E497">
        <v>4</v>
      </c>
      <c r="F497">
        <v>2</v>
      </c>
      <c r="G497">
        <v>0</v>
      </c>
      <c r="H497">
        <v>0</v>
      </c>
      <c r="I497">
        <v>2</v>
      </c>
      <c r="J497">
        <v>8.5</v>
      </c>
      <c r="K497">
        <v>6</v>
      </c>
      <c r="L497">
        <v>7</v>
      </c>
    </row>
    <row r="498" spans="1:12" hidden="1" x14ac:dyDescent="0.3">
      <c r="A498" s="3">
        <v>45363</v>
      </c>
      <c r="B498" t="s">
        <v>68</v>
      </c>
      <c r="C498" t="s">
        <v>43</v>
      </c>
      <c r="D498">
        <v>12</v>
      </c>
      <c r="E498">
        <v>15</v>
      </c>
      <c r="F498">
        <v>13</v>
      </c>
      <c r="G498">
        <v>7</v>
      </c>
      <c r="H498">
        <v>1</v>
      </c>
      <c r="I498">
        <v>6</v>
      </c>
      <c r="J498">
        <v>4</v>
      </c>
      <c r="K498">
        <v>3</v>
      </c>
      <c r="L498">
        <v>14</v>
      </c>
    </row>
    <row r="499" spans="1:12" hidden="1" x14ac:dyDescent="0.3">
      <c r="A499" s="3">
        <v>45363</v>
      </c>
      <c r="B499" t="s">
        <v>69</v>
      </c>
      <c r="C499" t="s">
        <v>98</v>
      </c>
      <c r="D499">
        <v>3</v>
      </c>
      <c r="E499">
        <v>6</v>
      </c>
      <c r="F499">
        <v>2</v>
      </c>
      <c r="G499">
        <v>0</v>
      </c>
      <c r="H499">
        <v>4</v>
      </c>
      <c r="I499">
        <v>3</v>
      </c>
      <c r="J499">
        <v>4</v>
      </c>
      <c r="K499">
        <v>3</v>
      </c>
      <c r="L499">
        <v>7</v>
      </c>
    </row>
    <row r="500" spans="1:12" hidden="1" x14ac:dyDescent="0.3">
      <c r="A500" s="3">
        <v>45363</v>
      </c>
      <c r="B500" t="s">
        <v>39</v>
      </c>
      <c r="C500" t="s">
        <v>32</v>
      </c>
      <c r="D500">
        <v>3</v>
      </c>
      <c r="E500">
        <v>12</v>
      </c>
      <c r="F500">
        <v>3</v>
      </c>
      <c r="G500">
        <v>5</v>
      </c>
      <c r="H500">
        <v>0</v>
      </c>
      <c r="I500">
        <v>7</v>
      </c>
      <c r="J500">
        <v>3.5</v>
      </c>
      <c r="K500">
        <v>3</v>
      </c>
      <c r="L500">
        <v>14</v>
      </c>
    </row>
    <row r="501" spans="1:12" hidden="1" x14ac:dyDescent="0.3">
      <c r="A501" s="3">
        <v>45363</v>
      </c>
      <c r="B501" t="s">
        <v>22</v>
      </c>
      <c r="C501" t="s">
        <v>26</v>
      </c>
      <c r="D501">
        <v>5</v>
      </c>
      <c r="E501">
        <v>12</v>
      </c>
      <c r="F501">
        <v>4</v>
      </c>
      <c r="G501">
        <v>6</v>
      </c>
      <c r="H501">
        <v>2</v>
      </c>
      <c r="I501">
        <v>5</v>
      </c>
      <c r="J501">
        <v>3.5</v>
      </c>
      <c r="K501">
        <v>3</v>
      </c>
      <c r="L501">
        <v>14</v>
      </c>
    </row>
    <row r="502" spans="1:12" hidden="1" x14ac:dyDescent="0.3">
      <c r="A502" s="3">
        <v>45363</v>
      </c>
      <c r="B502" t="s">
        <v>19</v>
      </c>
      <c r="C502" t="s">
        <v>17</v>
      </c>
      <c r="D502">
        <v>2</v>
      </c>
      <c r="E502">
        <v>10</v>
      </c>
      <c r="F502">
        <v>2</v>
      </c>
      <c r="G502">
        <v>5</v>
      </c>
      <c r="H502">
        <v>3</v>
      </c>
      <c r="I502">
        <v>2</v>
      </c>
      <c r="J502">
        <v>4.5</v>
      </c>
      <c r="K502">
        <v>4</v>
      </c>
      <c r="L502">
        <v>10</v>
      </c>
    </row>
    <row r="503" spans="1:12" hidden="1" x14ac:dyDescent="0.3">
      <c r="A503" s="3">
        <v>45363</v>
      </c>
      <c r="B503" t="s">
        <v>36</v>
      </c>
      <c r="C503" t="s">
        <v>33</v>
      </c>
      <c r="D503">
        <v>7</v>
      </c>
      <c r="E503">
        <v>12</v>
      </c>
      <c r="F503">
        <v>7</v>
      </c>
      <c r="G503">
        <v>4</v>
      </c>
      <c r="H503">
        <v>4</v>
      </c>
      <c r="I503">
        <v>4</v>
      </c>
      <c r="J503">
        <v>3.5</v>
      </c>
      <c r="K503">
        <v>3</v>
      </c>
      <c r="L503">
        <v>14</v>
      </c>
    </row>
    <row r="504" spans="1:12" hidden="1" x14ac:dyDescent="0.3">
      <c r="A504" s="3">
        <v>45363</v>
      </c>
      <c r="B504" t="s">
        <v>61</v>
      </c>
      <c r="C504" t="s">
        <v>95</v>
      </c>
      <c r="D504">
        <v>4</v>
      </c>
      <c r="E504">
        <v>10</v>
      </c>
      <c r="F504">
        <v>2</v>
      </c>
      <c r="G504">
        <v>5</v>
      </c>
      <c r="H504">
        <v>2</v>
      </c>
      <c r="I504">
        <v>5</v>
      </c>
      <c r="J504">
        <v>4</v>
      </c>
      <c r="K504">
        <v>3.5</v>
      </c>
      <c r="L504">
        <v>10</v>
      </c>
    </row>
    <row r="505" spans="1:12" hidden="1" x14ac:dyDescent="0.3">
      <c r="A505" s="3">
        <v>45363</v>
      </c>
      <c r="B505" t="s">
        <v>60</v>
      </c>
      <c r="C505" t="s">
        <v>94</v>
      </c>
      <c r="D505">
        <v>4</v>
      </c>
      <c r="E505">
        <v>10</v>
      </c>
      <c r="F505">
        <v>4</v>
      </c>
      <c r="G505">
        <v>5</v>
      </c>
      <c r="H505">
        <v>2</v>
      </c>
      <c r="I505">
        <v>3</v>
      </c>
      <c r="J505">
        <v>4</v>
      </c>
      <c r="K505">
        <v>3.5</v>
      </c>
      <c r="L505">
        <v>10</v>
      </c>
    </row>
    <row r="506" spans="1:12" hidden="1" x14ac:dyDescent="0.3">
      <c r="A506" s="3">
        <v>45364</v>
      </c>
      <c r="B506" t="s">
        <v>22</v>
      </c>
      <c r="C506" t="s">
        <v>26</v>
      </c>
      <c r="D506">
        <v>5</v>
      </c>
      <c r="E506">
        <v>12</v>
      </c>
      <c r="F506">
        <v>6</v>
      </c>
      <c r="G506">
        <v>1</v>
      </c>
      <c r="H506">
        <v>6</v>
      </c>
      <c r="I506">
        <v>4</v>
      </c>
      <c r="J506">
        <v>3.5</v>
      </c>
      <c r="K506">
        <v>3</v>
      </c>
      <c r="L506">
        <v>14</v>
      </c>
    </row>
    <row r="507" spans="1:12" hidden="1" x14ac:dyDescent="0.3">
      <c r="A507" s="3">
        <v>45364</v>
      </c>
      <c r="B507" t="s">
        <v>60</v>
      </c>
      <c r="C507" t="s">
        <v>94</v>
      </c>
      <c r="D507">
        <v>3</v>
      </c>
      <c r="E507">
        <v>10</v>
      </c>
      <c r="F507">
        <v>0</v>
      </c>
      <c r="G507">
        <v>5</v>
      </c>
      <c r="H507">
        <v>5</v>
      </c>
      <c r="I507">
        <v>3</v>
      </c>
      <c r="J507">
        <v>4</v>
      </c>
      <c r="K507">
        <v>3.5</v>
      </c>
      <c r="L507">
        <v>10</v>
      </c>
    </row>
    <row r="508" spans="1:12" hidden="1" x14ac:dyDescent="0.3">
      <c r="A508" s="3">
        <v>45364</v>
      </c>
      <c r="B508" t="s">
        <v>19</v>
      </c>
      <c r="C508" t="s">
        <v>17</v>
      </c>
      <c r="D508">
        <v>2</v>
      </c>
      <c r="E508">
        <v>10</v>
      </c>
      <c r="F508">
        <v>4</v>
      </c>
      <c r="G508">
        <v>1</v>
      </c>
      <c r="H508">
        <v>3</v>
      </c>
      <c r="I508">
        <v>4</v>
      </c>
      <c r="J508">
        <v>4.5</v>
      </c>
      <c r="K508">
        <v>4</v>
      </c>
      <c r="L508">
        <v>10</v>
      </c>
    </row>
    <row r="509" spans="1:12" hidden="1" x14ac:dyDescent="0.3">
      <c r="A509" s="3">
        <v>45364</v>
      </c>
      <c r="B509" t="s">
        <v>81</v>
      </c>
      <c r="C509" t="s">
        <v>50</v>
      </c>
      <c r="D509">
        <v>3</v>
      </c>
      <c r="E509">
        <v>8</v>
      </c>
      <c r="F509">
        <v>0</v>
      </c>
      <c r="G509">
        <v>0</v>
      </c>
      <c r="H509">
        <v>7</v>
      </c>
      <c r="I509">
        <v>4</v>
      </c>
      <c r="J509">
        <v>2.5</v>
      </c>
      <c r="K509">
        <v>2</v>
      </c>
      <c r="L509">
        <v>5</v>
      </c>
    </row>
    <row r="510" spans="1:12" hidden="1" x14ac:dyDescent="0.3">
      <c r="A510" s="3">
        <v>45364</v>
      </c>
      <c r="B510" t="s">
        <v>90</v>
      </c>
      <c r="C510" t="s">
        <v>87</v>
      </c>
      <c r="D510">
        <v>12</v>
      </c>
      <c r="E510">
        <v>12</v>
      </c>
      <c r="F510">
        <v>14</v>
      </c>
      <c r="G510">
        <v>6</v>
      </c>
      <c r="H510">
        <v>2</v>
      </c>
      <c r="I510">
        <v>2</v>
      </c>
      <c r="J510">
        <v>4.5</v>
      </c>
      <c r="K510">
        <v>4</v>
      </c>
      <c r="L510">
        <v>14</v>
      </c>
    </row>
    <row r="511" spans="1:12" hidden="1" x14ac:dyDescent="0.3">
      <c r="A511" s="3">
        <v>45364</v>
      </c>
      <c r="B511" t="s">
        <v>79</v>
      </c>
      <c r="C511" t="s">
        <v>104</v>
      </c>
      <c r="D511">
        <v>1</v>
      </c>
      <c r="E511">
        <v>8</v>
      </c>
      <c r="F511">
        <v>4</v>
      </c>
      <c r="G511">
        <v>3</v>
      </c>
      <c r="H511">
        <v>0</v>
      </c>
      <c r="I511">
        <v>2</v>
      </c>
      <c r="J511">
        <v>2.5</v>
      </c>
      <c r="K511">
        <v>2</v>
      </c>
      <c r="L511">
        <v>5</v>
      </c>
    </row>
    <row r="512" spans="1:12" hidden="1" x14ac:dyDescent="0.3">
      <c r="A512" s="3">
        <v>45364</v>
      </c>
      <c r="B512" t="s">
        <v>88</v>
      </c>
      <c r="C512" t="s">
        <v>102</v>
      </c>
      <c r="D512">
        <v>3</v>
      </c>
      <c r="E512">
        <v>8</v>
      </c>
      <c r="F512">
        <v>1</v>
      </c>
      <c r="G512">
        <v>2</v>
      </c>
      <c r="H512">
        <v>3</v>
      </c>
      <c r="I512">
        <v>5</v>
      </c>
      <c r="J512">
        <v>3.5</v>
      </c>
      <c r="K512">
        <v>3</v>
      </c>
      <c r="L512">
        <v>8</v>
      </c>
    </row>
    <row r="513" spans="1:12" hidden="1" x14ac:dyDescent="0.3">
      <c r="A513" s="3">
        <v>45364</v>
      </c>
      <c r="B513" t="s">
        <v>84</v>
      </c>
      <c r="C513" t="s">
        <v>101</v>
      </c>
      <c r="D513">
        <v>1</v>
      </c>
      <c r="E513">
        <v>8</v>
      </c>
      <c r="F513">
        <v>5</v>
      </c>
      <c r="G513">
        <v>1</v>
      </c>
      <c r="H513">
        <v>0</v>
      </c>
      <c r="I513">
        <v>3</v>
      </c>
      <c r="J513">
        <v>3.5</v>
      </c>
      <c r="K513">
        <v>3</v>
      </c>
      <c r="L513">
        <v>8</v>
      </c>
    </row>
    <row r="514" spans="1:12" hidden="1" x14ac:dyDescent="0.3">
      <c r="A514" s="3">
        <v>45365</v>
      </c>
      <c r="B514" t="s">
        <v>92</v>
      </c>
      <c r="C514" t="s">
        <v>91</v>
      </c>
      <c r="D514">
        <v>2</v>
      </c>
      <c r="E514">
        <v>6</v>
      </c>
      <c r="F514">
        <v>4</v>
      </c>
      <c r="G514">
        <v>2</v>
      </c>
      <c r="H514">
        <v>1</v>
      </c>
      <c r="I514">
        <v>1</v>
      </c>
      <c r="J514">
        <v>4.5</v>
      </c>
      <c r="K514">
        <v>4</v>
      </c>
      <c r="L514">
        <v>14</v>
      </c>
    </row>
    <row r="515" spans="1:12" hidden="1" x14ac:dyDescent="0.3">
      <c r="A515" s="3">
        <v>45365</v>
      </c>
      <c r="B515" t="s">
        <v>65</v>
      </c>
      <c r="C515" t="s">
        <v>44</v>
      </c>
      <c r="D515">
        <v>5</v>
      </c>
      <c r="E515">
        <v>10</v>
      </c>
      <c r="F515">
        <v>9</v>
      </c>
      <c r="G515">
        <v>1</v>
      </c>
      <c r="H515">
        <v>0</v>
      </c>
      <c r="I515">
        <v>5</v>
      </c>
      <c r="J515">
        <v>3.5</v>
      </c>
      <c r="K515">
        <v>3</v>
      </c>
      <c r="L515">
        <v>8</v>
      </c>
    </row>
    <row r="516" spans="1:12" hidden="1" x14ac:dyDescent="0.3">
      <c r="A516" s="3">
        <v>45365</v>
      </c>
      <c r="B516" t="s">
        <v>38</v>
      </c>
      <c r="C516" t="s">
        <v>52</v>
      </c>
      <c r="D516">
        <v>4</v>
      </c>
      <c r="E516">
        <v>12</v>
      </c>
      <c r="F516">
        <v>10</v>
      </c>
      <c r="G516">
        <v>3</v>
      </c>
      <c r="H516">
        <v>0</v>
      </c>
      <c r="I516">
        <v>3</v>
      </c>
      <c r="J516">
        <v>3.5</v>
      </c>
      <c r="K516">
        <v>3</v>
      </c>
      <c r="L516">
        <v>14</v>
      </c>
    </row>
    <row r="517" spans="1:12" hidden="1" x14ac:dyDescent="0.3">
      <c r="A517" s="3">
        <v>45365</v>
      </c>
      <c r="B517" t="s">
        <v>16</v>
      </c>
      <c r="C517" t="s">
        <v>77</v>
      </c>
      <c r="D517">
        <v>7</v>
      </c>
      <c r="E517">
        <v>10</v>
      </c>
      <c r="F517">
        <v>5</v>
      </c>
      <c r="G517">
        <v>5</v>
      </c>
      <c r="H517">
        <v>4</v>
      </c>
      <c r="I517">
        <v>3</v>
      </c>
      <c r="J517">
        <v>5.5</v>
      </c>
      <c r="K517">
        <v>4.5</v>
      </c>
      <c r="L517">
        <v>7</v>
      </c>
    </row>
    <row r="518" spans="1:12" hidden="1" x14ac:dyDescent="0.3">
      <c r="A518" s="3">
        <v>45365</v>
      </c>
      <c r="B518" t="s">
        <v>92</v>
      </c>
      <c r="C518" t="s">
        <v>91</v>
      </c>
      <c r="D518">
        <v>1</v>
      </c>
      <c r="E518">
        <v>6</v>
      </c>
      <c r="F518">
        <v>3</v>
      </c>
      <c r="G518">
        <v>2</v>
      </c>
      <c r="H518">
        <v>1</v>
      </c>
      <c r="I518">
        <v>1</v>
      </c>
      <c r="J518">
        <v>4.5</v>
      </c>
      <c r="K518">
        <v>4</v>
      </c>
      <c r="L518">
        <v>14</v>
      </c>
    </row>
    <row r="519" spans="1:12" hidden="1" x14ac:dyDescent="0.3">
      <c r="A519" s="3">
        <v>45365</v>
      </c>
      <c r="B519" t="s">
        <v>66</v>
      </c>
      <c r="C519" t="s">
        <v>45</v>
      </c>
      <c r="D519">
        <v>2</v>
      </c>
      <c r="E519">
        <v>8</v>
      </c>
      <c r="F519">
        <v>3</v>
      </c>
      <c r="G519">
        <v>2</v>
      </c>
      <c r="H519">
        <v>1</v>
      </c>
      <c r="I519">
        <v>4</v>
      </c>
      <c r="J519">
        <v>3.5</v>
      </c>
      <c r="K519">
        <v>3</v>
      </c>
      <c r="L519">
        <v>8</v>
      </c>
    </row>
    <row r="520" spans="1:12" hidden="1" x14ac:dyDescent="0.3">
      <c r="A520" s="3">
        <v>45365</v>
      </c>
      <c r="B520" t="s">
        <v>59</v>
      </c>
      <c r="C520" t="s">
        <v>93</v>
      </c>
      <c r="D520">
        <v>3</v>
      </c>
      <c r="E520">
        <v>10</v>
      </c>
      <c r="F520">
        <v>5</v>
      </c>
      <c r="G520">
        <v>4</v>
      </c>
      <c r="H520">
        <v>1</v>
      </c>
      <c r="I520">
        <v>3</v>
      </c>
      <c r="J520">
        <v>4</v>
      </c>
      <c r="K520">
        <v>3.5</v>
      </c>
      <c r="L520">
        <v>10</v>
      </c>
    </row>
    <row r="521" spans="1:12" hidden="1" x14ac:dyDescent="0.3">
      <c r="A521" s="3">
        <v>45366</v>
      </c>
      <c r="B521" t="s">
        <v>63</v>
      </c>
      <c r="C521" t="s">
        <v>97</v>
      </c>
      <c r="D521">
        <v>9</v>
      </c>
      <c r="E521">
        <v>10</v>
      </c>
      <c r="F521">
        <v>11</v>
      </c>
      <c r="G521">
        <v>5</v>
      </c>
      <c r="H521">
        <v>1</v>
      </c>
      <c r="I521">
        <v>2</v>
      </c>
      <c r="J521">
        <v>4</v>
      </c>
      <c r="K521">
        <v>3.5</v>
      </c>
      <c r="L521">
        <v>10</v>
      </c>
    </row>
    <row r="522" spans="1:12" hidden="1" x14ac:dyDescent="0.3">
      <c r="A522" s="3">
        <v>45366</v>
      </c>
      <c r="B522" t="s">
        <v>57</v>
      </c>
      <c r="C522" t="s">
        <v>75</v>
      </c>
      <c r="D522">
        <v>4</v>
      </c>
      <c r="E522">
        <v>8</v>
      </c>
      <c r="F522">
        <v>5</v>
      </c>
      <c r="G522">
        <v>1</v>
      </c>
      <c r="H522">
        <v>0</v>
      </c>
      <c r="I522">
        <v>6</v>
      </c>
      <c r="J522">
        <v>6</v>
      </c>
      <c r="K522">
        <v>5.5</v>
      </c>
      <c r="L522">
        <v>20</v>
      </c>
    </row>
    <row r="523" spans="1:12" hidden="1" x14ac:dyDescent="0.3">
      <c r="A523" s="3">
        <v>45366</v>
      </c>
      <c r="B523" t="s">
        <v>20</v>
      </c>
      <c r="C523" t="s">
        <v>25</v>
      </c>
      <c r="D523">
        <v>4</v>
      </c>
      <c r="E523">
        <v>10</v>
      </c>
      <c r="F523">
        <v>7</v>
      </c>
      <c r="G523">
        <v>2</v>
      </c>
      <c r="H523">
        <v>1</v>
      </c>
      <c r="I523">
        <v>4</v>
      </c>
      <c r="J523">
        <v>4.5</v>
      </c>
      <c r="K523">
        <v>4</v>
      </c>
      <c r="L523">
        <v>10</v>
      </c>
    </row>
    <row r="524" spans="1:12" hidden="1" x14ac:dyDescent="0.3">
      <c r="A524" s="3">
        <v>45366</v>
      </c>
      <c r="B524" t="s">
        <v>89</v>
      </c>
      <c r="C524" t="s">
        <v>103</v>
      </c>
      <c r="D524">
        <v>3</v>
      </c>
      <c r="E524">
        <v>8</v>
      </c>
      <c r="F524">
        <v>6</v>
      </c>
      <c r="G524">
        <v>0</v>
      </c>
      <c r="H524">
        <v>0</v>
      </c>
      <c r="I524">
        <v>5</v>
      </c>
      <c r="J524">
        <v>3.5</v>
      </c>
      <c r="K524">
        <v>3</v>
      </c>
      <c r="L524">
        <v>8</v>
      </c>
    </row>
    <row r="525" spans="1:12" hidden="1" x14ac:dyDescent="0.3">
      <c r="A525" s="3">
        <v>45366</v>
      </c>
      <c r="B525" t="s">
        <v>92</v>
      </c>
      <c r="C525" t="s">
        <v>91</v>
      </c>
      <c r="D525">
        <v>1</v>
      </c>
      <c r="E525">
        <v>6</v>
      </c>
      <c r="F525">
        <v>4</v>
      </c>
      <c r="G525">
        <v>2</v>
      </c>
      <c r="H525">
        <v>1</v>
      </c>
      <c r="I525">
        <v>0</v>
      </c>
      <c r="J525">
        <v>4.5</v>
      </c>
      <c r="K525">
        <v>4</v>
      </c>
      <c r="L525">
        <v>14</v>
      </c>
    </row>
    <row r="526" spans="1:12" hidden="1" x14ac:dyDescent="0.3">
      <c r="A526" s="3">
        <v>45367</v>
      </c>
      <c r="B526" t="s">
        <v>20</v>
      </c>
      <c r="C526" t="s">
        <v>25</v>
      </c>
      <c r="D526">
        <v>4</v>
      </c>
      <c r="E526">
        <v>10</v>
      </c>
      <c r="F526">
        <v>4</v>
      </c>
      <c r="G526">
        <v>5</v>
      </c>
      <c r="H526">
        <v>1</v>
      </c>
      <c r="I526">
        <v>4</v>
      </c>
      <c r="J526">
        <v>4.5</v>
      </c>
      <c r="K526">
        <v>4</v>
      </c>
      <c r="L526">
        <v>10</v>
      </c>
    </row>
    <row r="527" spans="1:12" hidden="1" x14ac:dyDescent="0.3">
      <c r="A527" s="3">
        <v>45367</v>
      </c>
      <c r="B527" t="s">
        <v>58</v>
      </c>
      <c r="C527" t="s">
        <v>76</v>
      </c>
      <c r="D527">
        <v>2</v>
      </c>
      <c r="E527">
        <v>15</v>
      </c>
      <c r="F527">
        <v>9</v>
      </c>
      <c r="G527">
        <v>3</v>
      </c>
      <c r="H527">
        <v>3</v>
      </c>
      <c r="I527">
        <v>2</v>
      </c>
      <c r="J527">
        <v>6</v>
      </c>
      <c r="K527">
        <v>5.5</v>
      </c>
      <c r="L527">
        <v>20</v>
      </c>
    </row>
    <row r="528" spans="1:12" hidden="1" x14ac:dyDescent="0.3">
      <c r="A528" s="3">
        <v>45367</v>
      </c>
      <c r="B528" t="s">
        <v>83</v>
      </c>
      <c r="C528" t="s">
        <v>100</v>
      </c>
      <c r="D528">
        <v>3</v>
      </c>
      <c r="E528">
        <v>10</v>
      </c>
      <c r="F528">
        <v>1</v>
      </c>
      <c r="G528">
        <v>5</v>
      </c>
      <c r="H528">
        <v>4</v>
      </c>
      <c r="I528">
        <v>3</v>
      </c>
      <c r="J528">
        <v>4.5</v>
      </c>
      <c r="K528">
        <v>4</v>
      </c>
      <c r="L528">
        <v>10</v>
      </c>
    </row>
    <row r="529" spans="1:12" hidden="1" x14ac:dyDescent="0.3">
      <c r="A529" s="3">
        <v>45367</v>
      </c>
      <c r="B529" t="s">
        <v>41</v>
      </c>
      <c r="C529" t="s">
        <v>86</v>
      </c>
      <c r="D529">
        <v>7</v>
      </c>
      <c r="E529">
        <v>15</v>
      </c>
      <c r="F529">
        <v>9</v>
      </c>
      <c r="G529">
        <v>6</v>
      </c>
      <c r="H529">
        <v>4</v>
      </c>
      <c r="I529">
        <v>3</v>
      </c>
      <c r="J529">
        <v>3</v>
      </c>
      <c r="K529">
        <v>2.5</v>
      </c>
      <c r="L529">
        <v>14</v>
      </c>
    </row>
    <row r="530" spans="1:12" hidden="1" x14ac:dyDescent="0.3">
      <c r="A530" s="3">
        <v>45367</v>
      </c>
      <c r="B530" t="s">
        <v>56</v>
      </c>
      <c r="C530" t="s">
        <v>54</v>
      </c>
      <c r="D530">
        <v>3</v>
      </c>
      <c r="E530">
        <v>8</v>
      </c>
      <c r="F530">
        <v>2</v>
      </c>
      <c r="G530">
        <v>5</v>
      </c>
      <c r="H530">
        <v>0</v>
      </c>
      <c r="I530">
        <v>4</v>
      </c>
      <c r="J530">
        <v>6</v>
      </c>
      <c r="K530">
        <v>5.5</v>
      </c>
      <c r="L530">
        <v>20</v>
      </c>
    </row>
    <row r="531" spans="1:12" hidden="1" x14ac:dyDescent="0.3">
      <c r="A531" s="3">
        <v>45367</v>
      </c>
      <c r="B531" t="s">
        <v>39</v>
      </c>
      <c r="C531" t="s">
        <v>32</v>
      </c>
      <c r="D531">
        <v>7</v>
      </c>
      <c r="E531">
        <v>12</v>
      </c>
      <c r="F531">
        <v>6</v>
      </c>
      <c r="G531">
        <v>7</v>
      </c>
      <c r="H531">
        <v>1</v>
      </c>
      <c r="I531">
        <v>5</v>
      </c>
      <c r="J531">
        <v>3.5</v>
      </c>
      <c r="K531">
        <v>3</v>
      </c>
      <c r="L531">
        <v>14</v>
      </c>
    </row>
    <row r="532" spans="1:12" hidden="1" x14ac:dyDescent="0.3">
      <c r="A532" s="3">
        <v>45367</v>
      </c>
      <c r="B532" t="s">
        <v>82</v>
      </c>
      <c r="C532" t="s">
        <v>73</v>
      </c>
      <c r="D532">
        <v>6</v>
      </c>
      <c r="E532">
        <v>8</v>
      </c>
      <c r="F532">
        <v>8</v>
      </c>
      <c r="G532">
        <v>3</v>
      </c>
      <c r="H532">
        <v>1</v>
      </c>
      <c r="I532">
        <v>2</v>
      </c>
      <c r="J532">
        <v>2.5</v>
      </c>
      <c r="K532">
        <v>2</v>
      </c>
      <c r="L532">
        <v>5</v>
      </c>
    </row>
    <row r="533" spans="1:12" hidden="1" x14ac:dyDescent="0.3">
      <c r="A533" s="3">
        <v>45368</v>
      </c>
      <c r="B533" t="s">
        <v>60</v>
      </c>
      <c r="C533" t="s">
        <v>94</v>
      </c>
      <c r="D533">
        <v>3</v>
      </c>
      <c r="E533">
        <v>10</v>
      </c>
      <c r="F533">
        <v>7</v>
      </c>
      <c r="G533">
        <v>3</v>
      </c>
      <c r="H533">
        <v>2</v>
      </c>
      <c r="I533">
        <v>1</v>
      </c>
      <c r="J533">
        <v>4</v>
      </c>
      <c r="K533">
        <v>3.5</v>
      </c>
      <c r="L533">
        <v>10</v>
      </c>
    </row>
    <row r="534" spans="1:12" hidden="1" x14ac:dyDescent="0.3">
      <c r="A534" s="3">
        <v>45368</v>
      </c>
      <c r="B534" t="s">
        <v>38</v>
      </c>
      <c r="C534" t="s">
        <v>52</v>
      </c>
      <c r="D534">
        <v>3</v>
      </c>
      <c r="E534">
        <v>12</v>
      </c>
      <c r="F534">
        <v>5</v>
      </c>
      <c r="G534">
        <v>0</v>
      </c>
      <c r="H534">
        <v>6</v>
      </c>
      <c r="I534">
        <v>4</v>
      </c>
      <c r="J534">
        <v>3.5</v>
      </c>
      <c r="K534">
        <v>3</v>
      </c>
      <c r="L534">
        <v>14</v>
      </c>
    </row>
    <row r="535" spans="1:12" hidden="1" x14ac:dyDescent="0.3">
      <c r="A535" s="3">
        <v>45368</v>
      </c>
      <c r="B535" t="s">
        <v>57</v>
      </c>
      <c r="C535" t="s">
        <v>75</v>
      </c>
      <c r="D535">
        <v>6</v>
      </c>
      <c r="E535">
        <v>8</v>
      </c>
      <c r="F535">
        <v>5</v>
      </c>
      <c r="G535">
        <v>3</v>
      </c>
      <c r="H535">
        <v>4</v>
      </c>
      <c r="I535">
        <v>2</v>
      </c>
      <c r="J535">
        <v>6</v>
      </c>
      <c r="K535">
        <v>5.5</v>
      </c>
      <c r="L535">
        <v>20</v>
      </c>
    </row>
    <row r="536" spans="1:12" hidden="1" x14ac:dyDescent="0.3">
      <c r="A536" s="3">
        <v>45368</v>
      </c>
      <c r="B536" t="s">
        <v>80</v>
      </c>
      <c r="C536" t="s">
        <v>49</v>
      </c>
      <c r="D536">
        <v>3</v>
      </c>
      <c r="E536">
        <v>8</v>
      </c>
      <c r="F536">
        <v>0</v>
      </c>
      <c r="G536">
        <v>1</v>
      </c>
      <c r="H536">
        <v>0</v>
      </c>
      <c r="I536">
        <v>10</v>
      </c>
      <c r="J536">
        <v>2.5</v>
      </c>
      <c r="K536">
        <v>2</v>
      </c>
      <c r="L536">
        <v>5</v>
      </c>
    </row>
    <row r="537" spans="1:12" hidden="1" x14ac:dyDescent="0.3">
      <c r="A537" s="3">
        <v>45368</v>
      </c>
      <c r="B537" t="s">
        <v>79</v>
      </c>
      <c r="C537" t="s">
        <v>104</v>
      </c>
      <c r="D537">
        <v>2</v>
      </c>
      <c r="E537">
        <v>8</v>
      </c>
      <c r="F537">
        <v>5</v>
      </c>
      <c r="G537">
        <v>1</v>
      </c>
      <c r="H537">
        <v>0</v>
      </c>
      <c r="I537">
        <v>4</v>
      </c>
      <c r="J537">
        <v>2.5</v>
      </c>
      <c r="K537">
        <v>2</v>
      </c>
      <c r="L537">
        <v>5</v>
      </c>
    </row>
    <row r="538" spans="1:12" hidden="1" x14ac:dyDescent="0.3">
      <c r="A538" s="3">
        <v>45368</v>
      </c>
      <c r="B538" t="s">
        <v>16</v>
      </c>
      <c r="C538" t="s">
        <v>77</v>
      </c>
      <c r="D538">
        <v>3</v>
      </c>
      <c r="E538">
        <v>10</v>
      </c>
      <c r="F538">
        <v>6</v>
      </c>
      <c r="G538">
        <v>0</v>
      </c>
      <c r="H538">
        <v>3</v>
      </c>
      <c r="I538">
        <v>4</v>
      </c>
      <c r="J538">
        <v>5.5</v>
      </c>
      <c r="K538">
        <v>4.5</v>
      </c>
      <c r="L538">
        <v>7</v>
      </c>
    </row>
    <row r="539" spans="1:12" hidden="1" x14ac:dyDescent="0.3">
      <c r="A539" s="3">
        <v>45368</v>
      </c>
      <c r="B539" t="s">
        <v>66</v>
      </c>
      <c r="C539" t="s">
        <v>45</v>
      </c>
      <c r="D539">
        <v>4</v>
      </c>
      <c r="E539">
        <v>8</v>
      </c>
      <c r="F539">
        <v>4</v>
      </c>
      <c r="G539">
        <v>0</v>
      </c>
      <c r="H539">
        <v>4</v>
      </c>
      <c r="I539">
        <v>4</v>
      </c>
      <c r="J539">
        <v>3.5</v>
      </c>
      <c r="K539">
        <v>3</v>
      </c>
      <c r="L539">
        <v>8</v>
      </c>
    </row>
    <row r="540" spans="1:12" x14ac:dyDescent="0.3">
      <c r="A540" s="3">
        <v>45369</v>
      </c>
      <c r="B540" t="s">
        <v>34</v>
      </c>
      <c r="C540" t="s">
        <v>30</v>
      </c>
      <c r="D540">
        <v>3</v>
      </c>
      <c r="E540">
        <v>6</v>
      </c>
      <c r="F540">
        <v>1</v>
      </c>
      <c r="G540">
        <v>2</v>
      </c>
      <c r="H540">
        <v>1</v>
      </c>
      <c r="I540">
        <v>5</v>
      </c>
      <c r="J540">
        <v>3.5</v>
      </c>
      <c r="K540">
        <v>3</v>
      </c>
      <c r="L540">
        <v>10</v>
      </c>
    </row>
    <row r="541" spans="1:12" hidden="1" x14ac:dyDescent="0.3">
      <c r="A541" s="3">
        <v>45369</v>
      </c>
      <c r="B541" t="s">
        <v>38</v>
      </c>
      <c r="C541" t="s">
        <v>52</v>
      </c>
      <c r="D541">
        <v>4</v>
      </c>
      <c r="E541">
        <v>12</v>
      </c>
      <c r="F541">
        <v>6</v>
      </c>
      <c r="G541">
        <v>5</v>
      </c>
      <c r="H541">
        <v>2</v>
      </c>
      <c r="I541">
        <v>3</v>
      </c>
      <c r="J541">
        <v>3.5</v>
      </c>
      <c r="K541">
        <v>3</v>
      </c>
      <c r="L541">
        <v>14</v>
      </c>
    </row>
    <row r="542" spans="1:12" hidden="1" x14ac:dyDescent="0.3">
      <c r="A542" s="3">
        <v>45369</v>
      </c>
      <c r="B542" t="s">
        <v>80</v>
      </c>
      <c r="C542" t="s">
        <v>49</v>
      </c>
      <c r="D542">
        <v>10</v>
      </c>
      <c r="E542">
        <v>8</v>
      </c>
      <c r="F542">
        <v>4</v>
      </c>
      <c r="G542">
        <v>8</v>
      </c>
      <c r="H542">
        <v>1</v>
      </c>
      <c r="I542">
        <v>5</v>
      </c>
      <c r="J542">
        <v>2.5</v>
      </c>
      <c r="K542">
        <v>2</v>
      </c>
      <c r="L542">
        <v>5</v>
      </c>
    </row>
    <row r="543" spans="1:12" hidden="1" x14ac:dyDescent="0.3">
      <c r="A543" s="3">
        <v>45369</v>
      </c>
      <c r="B543" t="s">
        <v>40</v>
      </c>
      <c r="C543" t="s">
        <v>85</v>
      </c>
      <c r="D543">
        <v>10</v>
      </c>
      <c r="E543">
        <v>15</v>
      </c>
      <c r="F543">
        <v>10</v>
      </c>
      <c r="G543">
        <v>0</v>
      </c>
      <c r="H543">
        <v>2</v>
      </c>
      <c r="I543">
        <v>13</v>
      </c>
      <c r="J543">
        <v>3</v>
      </c>
      <c r="K543">
        <v>2.5</v>
      </c>
      <c r="L543">
        <v>14</v>
      </c>
    </row>
    <row r="544" spans="1:12" hidden="1" x14ac:dyDescent="0.3">
      <c r="A544" s="3">
        <v>45369</v>
      </c>
      <c r="B544" t="s">
        <v>24</v>
      </c>
      <c r="C544" t="s">
        <v>29</v>
      </c>
      <c r="D544">
        <v>2</v>
      </c>
      <c r="E544">
        <v>8</v>
      </c>
      <c r="F544">
        <v>0</v>
      </c>
      <c r="G544">
        <v>1</v>
      </c>
      <c r="H544">
        <v>1</v>
      </c>
      <c r="I544">
        <v>8</v>
      </c>
      <c r="J544">
        <v>7.5</v>
      </c>
      <c r="K544">
        <v>5.5</v>
      </c>
      <c r="L544">
        <v>7</v>
      </c>
    </row>
    <row r="545" spans="1:12" hidden="1" x14ac:dyDescent="0.3">
      <c r="A545" s="3">
        <v>45369</v>
      </c>
      <c r="B545" t="s">
        <v>66</v>
      </c>
      <c r="C545" t="s">
        <v>45</v>
      </c>
      <c r="D545">
        <v>4</v>
      </c>
      <c r="E545">
        <v>8</v>
      </c>
      <c r="F545">
        <v>5</v>
      </c>
      <c r="G545">
        <v>4</v>
      </c>
      <c r="H545">
        <v>1</v>
      </c>
      <c r="I545">
        <v>2</v>
      </c>
      <c r="J545">
        <v>3.5</v>
      </c>
      <c r="K545">
        <v>3</v>
      </c>
      <c r="L545">
        <v>8</v>
      </c>
    </row>
    <row r="546" spans="1:12" hidden="1" x14ac:dyDescent="0.3">
      <c r="A546" s="3">
        <v>45369</v>
      </c>
      <c r="B546" t="s">
        <v>16</v>
      </c>
      <c r="C546" t="s">
        <v>77</v>
      </c>
      <c r="D546">
        <v>4</v>
      </c>
      <c r="E546">
        <v>10</v>
      </c>
      <c r="F546">
        <v>8</v>
      </c>
      <c r="G546">
        <v>3</v>
      </c>
      <c r="H546">
        <v>0</v>
      </c>
      <c r="I546">
        <v>3</v>
      </c>
      <c r="J546">
        <v>5.5</v>
      </c>
      <c r="K546">
        <v>4.5</v>
      </c>
      <c r="L546">
        <v>7</v>
      </c>
    </row>
    <row r="547" spans="1:12" hidden="1" x14ac:dyDescent="0.3">
      <c r="A547" s="3">
        <v>45369</v>
      </c>
      <c r="B547" t="s">
        <v>71</v>
      </c>
      <c r="C547" t="s">
        <v>47</v>
      </c>
      <c r="D547">
        <v>2</v>
      </c>
      <c r="E547">
        <v>6</v>
      </c>
      <c r="F547">
        <v>0</v>
      </c>
      <c r="G547">
        <v>2</v>
      </c>
      <c r="H547">
        <v>3</v>
      </c>
      <c r="I547">
        <v>3</v>
      </c>
      <c r="J547">
        <v>4</v>
      </c>
      <c r="K547">
        <v>3</v>
      </c>
      <c r="L547">
        <v>7</v>
      </c>
    </row>
    <row r="548" spans="1:12" hidden="1" x14ac:dyDescent="0.3">
      <c r="A548" s="3">
        <v>45370</v>
      </c>
      <c r="B548" t="s">
        <v>20</v>
      </c>
      <c r="C548" t="s">
        <v>25</v>
      </c>
      <c r="D548">
        <v>4</v>
      </c>
      <c r="E548">
        <v>10</v>
      </c>
      <c r="F548">
        <v>2</v>
      </c>
      <c r="G548">
        <v>6</v>
      </c>
      <c r="H548">
        <v>0</v>
      </c>
      <c r="I548">
        <v>6</v>
      </c>
      <c r="J548">
        <v>4.5</v>
      </c>
      <c r="K548">
        <v>4</v>
      </c>
      <c r="L548">
        <v>10</v>
      </c>
    </row>
    <row r="549" spans="1:12" hidden="1" x14ac:dyDescent="0.3">
      <c r="A549" s="3">
        <v>45370</v>
      </c>
      <c r="B549" t="s">
        <v>58</v>
      </c>
      <c r="C549" t="s">
        <v>76</v>
      </c>
      <c r="D549">
        <v>2</v>
      </c>
      <c r="E549">
        <v>15</v>
      </c>
      <c r="F549">
        <v>3</v>
      </c>
      <c r="G549">
        <v>8</v>
      </c>
      <c r="H549">
        <v>4</v>
      </c>
      <c r="I549">
        <v>2</v>
      </c>
      <c r="J549">
        <v>6</v>
      </c>
      <c r="K549">
        <v>5.5</v>
      </c>
      <c r="L549">
        <v>20</v>
      </c>
    </row>
    <row r="550" spans="1:12" hidden="1" x14ac:dyDescent="0.3">
      <c r="A550" s="3">
        <v>45370</v>
      </c>
      <c r="B550" t="s">
        <v>71</v>
      </c>
      <c r="C550" t="s">
        <v>47</v>
      </c>
      <c r="D550">
        <v>3</v>
      </c>
      <c r="E550">
        <v>6</v>
      </c>
      <c r="F550">
        <v>4</v>
      </c>
      <c r="G550">
        <v>0</v>
      </c>
      <c r="H550">
        <v>3</v>
      </c>
      <c r="I550">
        <v>2</v>
      </c>
      <c r="J550">
        <v>4</v>
      </c>
      <c r="K550">
        <v>3</v>
      </c>
      <c r="L550">
        <v>7</v>
      </c>
    </row>
    <row r="551" spans="1:12" hidden="1" x14ac:dyDescent="0.3">
      <c r="A551" s="3">
        <v>45370</v>
      </c>
      <c r="B551" t="s">
        <v>79</v>
      </c>
      <c r="C551" t="s">
        <v>104</v>
      </c>
      <c r="D551">
        <v>4</v>
      </c>
      <c r="E551">
        <v>8</v>
      </c>
      <c r="F551">
        <v>5</v>
      </c>
      <c r="G551">
        <v>2</v>
      </c>
      <c r="H551">
        <v>2</v>
      </c>
      <c r="I551">
        <v>3</v>
      </c>
      <c r="J551">
        <v>2.5</v>
      </c>
      <c r="K551">
        <v>2</v>
      </c>
      <c r="L551">
        <v>5</v>
      </c>
    </row>
    <row r="552" spans="1:12" hidden="1" x14ac:dyDescent="0.3">
      <c r="A552" s="3">
        <v>45370</v>
      </c>
      <c r="B552" t="s">
        <v>92</v>
      </c>
      <c r="C552" t="s">
        <v>91</v>
      </c>
      <c r="D552">
        <v>0</v>
      </c>
      <c r="E552">
        <v>6</v>
      </c>
      <c r="F552">
        <v>4</v>
      </c>
      <c r="G552">
        <v>0</v>
      </c>
      <c r="H552">
        <v>0</v>
      </c>
      <c r="I552">
        <v>2</v>
      </c>
      <c r="J552">
        <v>4.5</v>
      </c>
      <c r="K552">
        <v>4</v>
      </c>
      <c r="L552">
        <v>14</v>
      </c>
    </row>
    <row r="553" spans="1:12" x14ac:dyDescent="0.3">
      <c r="A553" s="3">
        <v>45371</v>
      </c>
      <c r="B553" t="s">
        <v>34</v>
      </c>
      <c r="C553" t="s">
        <v>30</v>
      </c>
      <c r="D553">
        <v>5</v>
      </c>
      <c r="E553">
        <v>6</v>
      </c>
      <c r="F553">
        <v>2</v>
      </c>
      <c r="G553">
        <v>2</v>
      </c>
      <c r="H553">
        <v>1</v>
      </c>
      <c r="I553">
        <v>6</v>
      </c>
      <c r="J553">
        <v>3.5</v>
      </c>
      <c r="K553">
        <v>3</v>
      </c>
      <c r="L553">
        <v>10</v>
      </c>
    </row>
    <row r="554" spans="1:12" hidden="1" x14ac:dyDescent="0.3">
      <c r="A554" s="3">
        <v>45371</v>
      </c>
      <c r="B554" t="s">
        <v>60</v>
      </c>
      <c r="C554" t="s">
        <v>94</v>
      </c>
      <c r="D554">
        <v>1</v>
      </c>
      <c r="E554">
        <v>10</v>
      </c>
      <c r="F554">
        <v>6</v>
      </c>
      <c r="G554">
        <v>0</v>
      </c>
      <c r="H554">
        <v>3</v>
      </c>
      <c r="I554">
        <v>2</v>
      </c>
      <c r="J554">
        <v>4</v>
      </c>
      <c r="K554">
        <v>3.5</v>
      </c>
      <c r="L554">
        <v>10</v>
      </c>
    </row>
    <row r="555" spans="1:12" hidden="1" x14ac:dyDescent="0.3">
      <c r="A555" s="3">
        <v>45371</v>
      </c>
      <c r="B555" t="s">
        <v>67</v>
      </c>
      <c r="C555" t="s">
        <v>46</v>
      </c>
      <c r="D555">
        <v>2</v>
      </c>
      <c r="E555">
        <v>8</v>
      </c>
      <c r="F555">
        <v>4</v>
      </c>
      <c r="G555">
        <v>1</v>
      </c>
      <c r="H555">
        <v>0</v>
      </c>
      <c r="I555">
        <v>5</v>
      </c>
      <c r="J555">
        <v>3.5</v>
      </c>
      <c r="K555">
        <v>3</v>
      </c>
      <c r="L555">
        <v>8</v>
      </c>
    </row>
    <row r="556" spans="1:12" hidden="1" x14ac:dyDescent="0.3">
      <c r="A556" s="3">
        <v>45371</v>
      </c>
      <c r="B556" t="s">
        <v>10</v>
      </c>
      <c r="C556" t="s">
        <v>18</v>
      </c>
      <c r="D556">
        <v>5</v>
      </c>
      <c r="E556">
        <v>10</v>
      </c>
      <c r="F556">
        <v>2</v>
      </c>
      <c r="G556">
        <v>4</v>
      </c>
      <c r="H556">
        <v>5</v>
      </c>
      <c r="I556">
        <v>4</v>
      </c>
      <c r="J556">
        <v>5.5</v>
      </c>
      <c r="K556">
        <v>4.5</v>
      </c>
      <c r="L556">
        <v>7</v>
      </c>
    </row>
    <row r="557" spans="1:12" x14ac:dyDescent="0.3">
      <c r="A557" s="3">
        <v>45372</v>
      </c>
      <c r="B557" t="s">
        <v>34</v>
      </c>
      <c r="C557" t="s">
        <v>30</v>
      </c>
      <c r="D557">
        <v>6</v>
      </c>
      <c r="E557">
        <v>6</v>
      </c>
      <c r="F557">
        <v>4</v>
      </c>
      <c r="G557">
        <v>0</v>
      </c>
      <c r="H557">
        <v>4</v>
      </c>
      <c r="I557">
        <v>4</v>
      </c>
      <c r="J557">
        <v>3.5</v>
      </c>
      <c r="K557">
        <v>3</v>
      </c>
      <c r="L557">
        <v>10</v>
      </c>
    </row>
    <row r="558" spans="1:12" hidden="1" x14ac:dyDescent="0.3">
      <c r="A558" s="3">
        <v>45372</v>
      </c>
      <c r="B558" t="s">
        <v>16</v>
      </c>
      <c r="C558" t="s">
        <v>77</v>
      </c>
      <c r="D558">
        <v>3</v>
      </c>
      <c r="E558">
        <v>10</v>
      </c>
      <c r="F558">
        <v>7</v>
      </c>
      <c r="G558">
        <v>0</v>
      </c>
      <c r="H558">
        <v>2</v>
      </c>
      <c r="I558">
        <v>4</v>
      </c>
      <c r="J558">
        <v>5.5</v>
      </c>
      <c r="K558">
        <v>4.5</v>
      </c>
      <c r="L558">
        <v>7</v>
      </c>
    </row>
    <row r="559" spans="1:12" hidden="1" x14ac:dyDescent="0.3">
      <c r="A559" s="3">
        <v>45372</v>
      </c>
      <c r="B559" t="s">
        <v>66</v>
      </c>
      <c r="C559" t="s">
        <v>45</v>
      </c>
      <c r="D559">
        <v>2</v>
      </c>
      <c r="E559">
        <v>8</v>
      </c>
      <c r="F559">
        <v>2</v>
      </c>
      <c r="G559">
        <v>4</v>
      </c>
      <c r="H559">
        <v>1</v>
      </c>
      <c r="I559">
        <v>3</v>
      </c>
      <c r="J559">
        <v>3.5</v>
      </c>
      <c r="K559">
        <v>3</v>
      </c>
      <c r="L559">
        <v>8</v>
      </c>
    </row>
    <row r="560" spans="1:12" hidden="1" x14ac:dyDescent="0.3">
      <c r="A560" s="3">
        <v>45373</v>
      </c>
      <c r="B560" t="s">
        <v>67</v>
      </c>
      <c r="C560" t="s">
        <v>46</v>
      </c>
      <c r="D560">
        <v>5</v>
      </c>
      <c r="E560">
        <v>8</v>
      </c>
      <c r="F560">
        <v>6</v>
      </c>
      <c r="G560">
        <v>3</v>
      </c>
      <c r="H560">
        <v>0</v>
      </c>
      <c r="I560">
        <v>4</v>
      </c>
      <c r="J560">
        <v>3.5</v>
      </c>
      <c r="K560">
        <v>3</v>
      </c>
      <c r="L560">
        <v>8</v>
      </c>
    </row>
    <row r="561" spans="1:12" hidden="1" x14ac:dyDescent="0.3">
      <c r="A561" s="3">
        <v>45373</v>
      </c>
      <c r="B561" t="s">
        <v>21</v>
      </c>
      <c r="C561" t="s">
        <v>27</v>
      </c>
      <c r="D561">
        <v>5</v>
      </c>
      <c r="E561">
        <v>8</v>
      </c>
      <c r="F561">
        <v>4</v>
      </c>
      <c r="G561">
        <v>2</v>
      </c>
      <c r="H561">
        <v>0</v>
      </c>
      <c r="I561">
        <v>7</v>
      </c>
      <c r="J561">
        <v>4</v>
      </c>
      <c r="K561">
        <v>3</v>
      </c>
      <c r="L561">
        <v>14</v>
      </c>
    </row>
    <row r="562" spans="1:12" hidden="1" x14ac:dyDescent="0.3">
      <c r="A562" s="3">
        <v>45373</v>
      </c>
      <c r="B562" t="s">
        <v>69</v>
      </c>
      <c r="C562" t="s">
        <v>98</v>
      </c>
      <c r="D562">
        <v>3</v>
      </c>
      <c r="E562">
        <v>6</v>
      </c>
      <c r="F562">
        <v>5</v>
      </c>
      <c r="G562">
        <v>2</v>
      </c>
      <c r="H562">
        <v>0</v>
      </c>
      <c r="I562">
        <v>2</v>
      </c>
      <c r="J562">
        <v>4</v>
      </c>
      <c r="K562">
        <v>3</v>
      </c>
      <c r="L562">
        <v>7</v>
      </c>
    </row>
    <row r="563" spans="1:12" x14ac:dyDescent="0.3">
      <c r="A563" s="3">
        <v>45373</v>
      </c>
      <c r="B563" t="s">
        <v>34</v>
      </c>
      <c r="C563" t="s">
        <v>30</v>
      </c>
      <c r="D563">
        <v>4</v>
      </c>
      <c r="E563">
        <v>6</v>
      </c>
      <c r="F563">
        <v>6</v>
      </c>
      <c r="G563">
        <v>2</v>
      </c>
      <c r="H563">
        <v>0</v>
      </c>
      <c r="I563">
        <v>2</v>
      </c>
      <c r="J563">
        <v>3.5</v>
      </c>
      <c r="K563">
        <v>3</v>
      </c>
      <c r="L563">
        <v>10</v>
      </c>
    </row>
    <row r="564" spans="1:12" hidden="1" x14ac:dyDescent="0.3">
      <c r="A564" s="3">
        <v>45373</v>
      </c>
      <c r="B564" t="s">
        <v>41</v>
      </c>
      <c r="C564" t="s">
        <v>86</v>
      </c>
      <c r="D564">
        <v>3</v>
      </c>
      <c r="E564">
        <v>15</v>
      </c>
      <c r="F564">
        <v>4</v>
      </c>
      <c r="G564">
        <v>6</v>
      </c>
      <c r="H564">
        <v>2</v>
      </c>
      <c r="I564">
        <v>6</v>
      </c>
      <c r="J564">
        <v>3</v>
      </c>
      <c r="K564">
        <v>2.5</v>
      </c>
      <c r="L564">
        <v>14</v>
      </c>
    </row>
    <row r="565" spans="1:12" hidden="1" x14ac:dyDescent="0.3">
      <c r="A565" s="3">
        <v>45373</v>
      </c>
      <c r="B565" t="s">
        <v>37</v>
      </c>
      <c r="C565" t="s">
        <v>51</v>
      </c>
      <c r="D565">
        <v>6</v>
      </c>
      <c r="E565">
        <v>12</v>
      </c>
      <c r="F565">
        <v>5</v>
      </c>
      <c r="G565">
        <v>6</v>
      </c>
      <c r="H565">
        <v>4</v>
      </c>
      <c r="I565">
        <v>3</v>
      </c>
      <c r="J565">
        <v>3.5</v>
      </c>
      <c r="K565">
        <v>3</v>
      </c>
      <c r="L565">
        <v>14</v>
      </c>
    </row>
    <row r="566" spans="1:12" hidden="1" x14ac:dyDescent="0.3">
      <c r="A566" s="3">
        <v>45373</v>
      </c>
      <c r="B566" t="s">
        <v>20</v>
      </c>
      <c r="C566" t="s">
        <v>25</v>
      </c>
      <c r="D566">
        <v>6</v>
      </c>
      <c r="E566">
        <v>10</v>
      </c>
      <c r="F566">
        <v>8</v>
      </c>
      <c r="G566">
        <v>5</v>
      </c>
      <c r="H566">
        <v>2</v>
      </c>
      <c r="I566">
        <v>1</v>
      </c>
      <c r="J566">
        <v>4.5</v>
      </c>
      <c r="K566">
        <v>4</v>
      </c>
      <c r="L566">
        <v>10</v>
      </c>
    </row>
    <row r="567" spans="1:12" hidden="1" x14ac:dyDescent="0.3">
      <c r="A567" s="3">
        <v>45373</v>
      </c>
      <c r="B567" t="s">
        <v>72</v>
      </c>
      <c r="C567" t="s">
        <v>48</v>
      </c>
      <c r="D567">
        <v>6</v>
      </c>
      <c r="E567">
        <v>6</v>
      </c>
      <c r="F567">
        <v>2</v>
      </c>
      <c r="G567">
        <v>2</v>
      </c>
      <c r="H567">
        <v>2</v>
      </c>
      <c r="I567">
        <v>6</v>
      </c>
      <c r="J567">
        <v>4</v>
      </c>
      <c r="K567">
        <v>3</v>
      </c>
      <c r="L567">
        <v>7</v>
      </c>
    </row>
    <row r="568" spans="1:12" hidden="1" x14ac:dyDescent="0.3">
      <c r="A568" s="3">
        <v>45373</v>
      </c>
      <c r="B568" t="s">
        <v>68</v>
      </c>
      <c r="C568" t="s">
        <v>43</v>
      </c>
      <c r="D568">
        <v>2</v>
      </c>
      <c r="E568">
        <v>15</v>
      </c>
      <c r="F568">
        <v>8</v>
      </c>
      <c r="G568">
        <v>2</v>
      </c>
      <c r="H568">
        <v>3</v>
      </c>
      <c r="I568">
        <v>4</v>
      </c>
      <c r="J568">
        <v>4</v>
      </c>
      <c r="K568">
        <v>3</v>
      </c>
      <c r="L568">
        <v>14</v>
      </c>
    </row>
    <row r="569" spans="1:12" hidden="1" x14ac:dyDescent="0.3">
      <c r="A569" s="3">
        <v>45374</v>
      </c>
      <c r="B569" t="s">
        <v>65</v>
      </c>
      <c r="C569" t="s">
        <v>44</v>
      </c>
      <c r="D569">
        <v>5</v>
      </c>
      <c r="E569">
        <v>10</v>
      </c>
      <c r="F569">
        <v>2</v>
      </c>
      <c r="G569">
        <v>2</v>
      </c>
      <c r="H569">
        <v>5</v>
      </c>
      <c r="I569">
        <v>6</v>
      </c>
      <c r="J569">
        <v>3.5</v>
      </c>
      <c r="K569">
        <v>3</v>
      </c>
      <c r="L569">
        <v>8</v>
      </c>
    </row>
    <row r="570" spans="1:12" hidden="1" x14ac:dyDescent="0.3">
      <c r="A570" s="3">
        <v>45374</v>
      </c>
      <c r="B570" t="s">
        <v>67</v>
      </c>
      <c r="C570" t="s">
        <v>46</v>
      </c>
      <c r="D570">
        <v>4</v>
      </c>
      <c r="E570">
        <v>8</v>
      </c>
      <c r="F570">
        <v>7</v>
      </c>
      <c r="G570">
        <v>3</v>
      </c>
      <c r="H570">
        <v>1</v>
      </c>
      <c r="I570">
        <v>1</v>
      </c>
      <c r="J570">
        <v>3.5</v>
      </c>
      <c r="K570">
        <v>3</v>
      </c>
      <c r="L570">
        <v>8</v>
      </c>
    </row>
    <row r="571" spans="1:12" hidden="1" x14ac:dyDescent="0.3">
      <c r="A571" s="3">
        <v>45374</v>
      </c>
      <c r="B571" t="s">
        <v>90</v>
      </c>
      <c r="C571" t="s">
        <v>87</v>
      </c>
      <c r="D571">
        <v>2</v>
      </c>
      <c r="E571">
        <v>12</v>
      </c>
      <c r="F571">
        <v>7</v>
      </c>
      <c r="G571">
        <v>3</v>
      </c>
      <c r="H571">
        <v>0</v>
      </c>
      <c r="I571">
        <v>4</v>
      </c>
      <c r="J571">
        <v>4.5</v>
      </c>
      <c r="K571">
        <v>4</v>
      </c>
      <c r="L571">
        <v>14</v>
      </c>
    </row>
    <row r="572" spans="1:12" hidden="1" x14ac:dyDescent="0.3">
      <c r="A572" s="3">
        <v>45374</v>
      </c>
      <c r="B572" t="s">
        <v>58</v>
      </c>
      <c r="C572" t="s">
        <v>76</v>
      </c>
      <c r="D572">
        <v>2</v>
      </c>
      <c r="E572">
        <v>15</v>
      </c>
      <c r="F572">
        <v>1</v>
      </c>
      <c r="G572">
        <v>10</v>
      </c>
      <c r="H572">
        <v>4</v>
      </c>
      <c r="I572">
        <v>2</v>
      </c>
      <c r="J572">
        <v>6</v>
      </c>
      <c r="K572">
        <v>5.5</v>
      </c>
      <c r="L572">
        <v>20</v>
      </c>
    </row>
    <row r="573" spans="1:12" hidden="1" x14ac:dyDescent="0.3">
      <c r="A573" s="3">
        <v>45374</v>
      </c>
      <c r="B573" t="s">
        <v>56</v>
      </c>
      <c r="C573" t="s">
        <v>54</v>
      </c>
      <c r="D573">
        <v>4</v>
      </c>
      <c r="E573">
        <v>8</v>
      </c>
      <c r="F573">
        <v>2</v>
      </c>
      <c r="G573">
        <v>6</v>
      </c>
      <c r="H573">
        <v>0</v>
      </c>
      <c r="I573">
        <v>4</v>
      </c>
      <c r="J573">
        <v>6</v>
      </c>
      <c r="K573">
        <v>5.5</v>
      </c>
      <c r="L573">
        <v>20</v>
      </c>
    </row>
    <row r="574" spans="1:12" hidden="1" x14ac:dyDescent="0.3">
      <c r="A574" s="3">
        <v>45375</v>
      </c>
      <c r="B574" t="s">
        <v>58</v>
      </c>
      <c r="C574" t="s">
        <v>76</v>
      </c>
      <c r="D574">
        <v>2</v>
      </c>
      <c r="E574">
        <v>15</v>
      </c>
      <c r="F574">
        <v>8</v>
      </c>
      <c r="G574">
        <v>5</v>
      </c>
      <c r="H574">
        <v>1</v>
      </c>
      <c r="I574">
        <v>3</v>
      </c>
      <c r="J574">
        <v>6</v>
      </c>
      <c r="K574">
        <v>5.5</v>
      </c>
      <c r="L574">
        <v>20</v>
      </c>
    </row>
    <row r="575" spans="1:12" hidden="1" x14ac:dyDescent="0.3">
      <c r="A575" s="3">
        <v>45375</v>
      </c>
      <c r="B575" t="s">
        <v>23</v>
      </c>
      <c r="C575" t="s">
        <v>28</v>
      </c>
      <c r="D575">
        <v>3</v>
      </c>
      <c r="E575">
        <v>9</v>
      </c>
      <c r="F575">
        <v>6</v>
      </c>
      <c r="G575">
        <v>0</v>
      </c>
      <c r="H575">
        <v>2</v>
      </c>
      <c r="I575">
        <v>4</v>
      </c>
      <c r="J575">
        <v>6.5</v>
      </c>
      <c r="K575">
        <v>5.5</v>
      </c>
      <c r="L575">
        <v>9</v>
      </c>
    </row>
    <row r="576" spans="1:12" hidden="1" x14ac:dyDescent="0.3">
      <c r="A576" s="3">
        <v>45375</v>
      </c>
      <c r="B576" t="s">
        <v>92</v>
      </c>
      <c r="C576" t="s">
        <v>91</v>
      </c>
      <c r="D576">
        <v>2</v>
      </c>
      <c r="E576">
        <v>6</v>
      </c>
      <c r="F576">
        <v>3</v>
      </c>
      <c r="G576">
        <v>3</v>
      </c>
      <c r="H576">
        <v>1</v>
      </c>
      <c r="I576">
        <v>1</v>
      </c>
      <c r="J576">
        <v>4.5</v>
      </c>
      <c r="K576">
        <v>4</v>
      </c>
      <c r="L576">
        <v>14</v>
      </c>
    </row>
    <row r="577" spans="1:12" hidden="1" x14ac:dyDescent="0.3">
      <c r="A577" s="3">
        <v>45375</v>
      </c>
      <c r="B577" t="s">
        <v>57</v>
      </c>
      <c r="C577" t="s">
        <v>75</v>
      </c>
      <c r="D577">
        <v>2</v>
      </c>
      <c r="E577">
        <v>8</v>
      </c>
      <c r="F577">
        <v>2</v>
      </c>
      <c r="G577">
        <v>5</v>
      </c>
      <c r="H577">
        <v>2</v>
      </c>
      <c r="I577">
        <v>1</v>
      </c>
      <c r="J577">
        <v>6</v>
      </c>
      <c r="K577">
        <v>5.5</v>
      </c>
      <c r="L577">
        <v>20</v>
      </c>
    </row>
    <row r="578" spans="1:12" hidden="1" x14ac:dyDescent="0.3">
      <c r="A578" s="3">
        <v>45375</v>
      </c>
      <c r="B578" t="s">
        <v>22</v>
      </c>
      <c r="C578" t="s">
        <v>26</v>
      </c>
      <c r="D578">
        <v>4</v>
      </c>
      <c r="E578">
        <v>12</v>
      </c>
      <c r="F578">
        <v>5</v>
      </c>
      <c r="G578">
        <v>2</v>
      </c>
      <c r="H578">
        <v>2</v>
      </c>
      <c r="I578">
        <v>7</v>
      </c>
      <c r="J578">
        <v>3.5</v>
      </c>
      <c r="K578">
        <v>3</v>
      </c>
      <c r="L578">
        <v>14</v>
      </c>
    </row>
    <row r="579" spans="1:12" hidden="1" x14ac:dyDescent="0.3">
      <c r="A579" s="3">
        <v>45375</v>
      </c>
      <c r="B579" t="s">
        <v>66</v>
      </c>
      <c r="C579" t="s">
        <v>45</v>
      </c>
      <c r="D579">
        <v>3</v>
      </c>
      <c r="E579">
        <v>8</v>
      </c>
      <c r="F579">
        <v>5</v>
      </c>
      <c r="G579">
        <v>4</v>
      </c>
      <c r="H579">
        <v>0</v>
      </c>
      <c r="I579">
        <v>2</v>
      </c>
      <c r="J579">
        <v>3.5</v>
      </c>
      <c r="K579">
        <v>3</v>
      </c>
      <c r="L579">
        <v>8</v>
      </c>
    </row>
    <row r="580" spans="1:12" hidden="1" x14ac:dyDescent="0.3">
      <c r="A580" s="3">
        <v>45375</v>
      </c>
      <c r="B580" t="s">
        <v>38</v>
      </c>
      <c r="C580" t="s">
        <v>52</v>
      </c>
      <c r="D580">
        <v>3</v>
      </c>
      <c r="E580">
        <v>12</v>
      </c>
      <c r="F580">
        <v>1</v>
      </c>
      <c r="G580">
        <v>0</v>
      </c>
      <c r="H580">
        <v>3</v>
      </c>
      <c r="I580">
        <v>11</v>
      </c>
      <c r="J580">
        <v>3.5</v>
      </c>
      <c r="K580">
        <v>3</v>
      </c>
      <c r="L580">
        <v>14</v>
      </c>
    </row>
    <row r="581" spans="1:12" hidden="1" x14ac:dyDescent="0.3">
      <c r="A581" s="3">
        <v>45376</v>
      </c>
      <c r="B581" t="s">
        <v>92</v>
      </c>
      <c r="C581" t="s">
        <v>91</v>
      </c>
      <c r="D581">
        <v>1</v>
      </c>
      <c r="E581">
        <v>6</v>
      </c>
      <c r="F581">
        <v>0</v>
      </c>
      <c r="G581">
        <v>2</v>
      </c>
      <c r="H581">
        <v>2</v>
      </c>
      <c r="I581">
        <v>3</v>
      </c>
      <c r="J581">
        <v>4.5</v>
      </c>
      <c r="K581">
        <v>4</v>
      </c>
      <c r="L581">
        <v>14</v>
      </c>
    </row>
    <row r="582" spans="1:12" hidden="1" x14ac:dyDescent="0.3">
      <c r="A582" s="3">
        <v>45376</v>
      </c>
      <c r="B582" t="s">
        <v>23</v>
      </c>
      <c r="C582" t="s">
        <v>28</v>
      </c>
      <c r="D582">
        <v>4</v>
      </c>
      <c r="E582">
        <v>9</v>
      </c>
      <c r="F582">
        <v>3</v>
      </c>
      <c r="G582">
        <v>1</v>
      </c>
      <c r="H582">
        <v>5</v>
      </c>
      <c r="I582">
        <v>4</v>
      </c>
      <c r="J582">
        <v>6.5</v>
      </c>
      <c r="K582">
        <v>5.5</v>
      </c>
      <c r="L582">
        <v>9</v>
      </c>
    </row>
    <row r="583" spans="1:12" hidden="1" x14ac:dyDescent="0.3">
      <c r="A583" s="3">
        <v>45376</v>
      </c>
      <c r="B583" t="s">
        <v>83</v>
      </c>
      <c r="C583" t="s">
        <v>100</v>
      </c>
      <c r="D583">
        <v>3</v>
      </c>
      <c r="E583">
        <v>10</v>
      </c>
      <c r="F583">
        <v>7</v>
      </c>
      <c r="G583">
        <v>1</v>
      </c>
      <c r="H583">
        <v>1</v>
      </c>
      <c r="I583">
        <v>4</v>
      </c>
      <c r="J583">
        <v>4.5</v>
      </c>
      <c r="K583">
        <v>4</v>
      </c>
      <c r="L583">
        <v>10</v>
      </c>
    </row>
    <row r="584" spans="1:12" hidden="1" x14ac:dyDescent="0.3">
      <c r="A584" s="3">
        <v>45376</v>
      </c>
      <c r="B584" t="s">
        <v>35</v>
      </c>
      <c r="C584" t="s">
        <v>31</v>
      </c>
      <c r="D584">
        <v>4</v>
      </c>
      <c r="E584">
        <v>8</v>
      </c>
      <c r="F584">
        <v>6</v>
      </c>
      <c r="G584">
        <v>4</v>
      </c>
      <c r="H584">
        <v>1</v>
      </c>
      <c r="I584">
        <v>1</v>
      </c>
      <c r="J584">
        <v>3.5</v>
      </c>
      <c r="K584">
        <v>3</v>
      </c>
      <c r="L584">
        <v>14</v>
      </c>
    </row>
    <row r="585" spans="1:12" hidden="1" x14ac:dyDescent="0.3">
      <c r="A585" s="3">
        <v>45376</v>
      </c>
      <c r="B585" t="s">
        <v>67</v>
      </c>
      <c r="C585" t="s">
        <v>46</v>
      </c>
      <c r="D585">
        <v>1</v>
      </c>
      <c r="E585">
        <v>8</v>
      </c>
      <c r="F585">
        <v>1</v>
      </c>
      <c r="G585">
        <v>2</v>
      </c>
      <c r="H585">
        <v>3</v>
      </c>
      <c r="I585">
        <v>3</v>
      </c>
      <c r="J585">
        <v>3.5</v>
      </c>
      <c r="K585">
        <v>3</v>
      </c>
      <c r="L585">
        <v>8</v>
      </c>
    </row>
    <row r="586" spans="1:12" hidden="1" x14ac:dyDescent="0.3">
      <c r="A586" s="3">
        <v>45376</v>
      </c>
      <c r="B586" t="s">
        <v>58</v>
      </c>
      <c r="C586" t="s">
        <v>76</v>
      </c>
      <c r="D586">
        <v>3</v>
      </c>
      <c r="E586">
        <v>15</v>
      </c>
      <c r="F586">
        <v>11</v>
      </c>
      <c r="G586">
        <v>2</v>
      </c>
      <c r="H586">
        <v>0</v>
      </c>
      <c r="I586">
        <v>5</v>
      </c>
      <c r="J586">
        <v>6</v>
      </c>
      <c r="K586">
        <v>5.5</v>
      </c>
      <c r="L586">
        <v>20</v>
      </c>
    </row>
    <row r="587" spans="1:12" hidden="1" x14ac:dyDescent="0.3">
      <c r="A587" s="3">
        <v>45376</v>
      </c>
      <c r="B587" t="s">
        <v>20</v>
      </c>
      <c r="C587" t="s">
        <v>25</v>
      </c>
      <c r="D587">
        <v>1</v>
      </c>
      <c r="E587">
        <v>10</v>
      </c>
      <c r="F587">
        <v>6</v>
      </c>
      <c r="G587">
        <v>3</v>
      </c>
      <c r="H587">
        <v>0</v>
      </c>
      <c r="I587">
        <v>2</v>
      </c>
      <c r="J587">
        <v>4.5</v>
      </c>
      <c r="K587">
        <v>4</v>
      </c>
      <c r="L587">
        <v>10</v>
      </c>
    </row>
    <row r="588" spans="1:12" hidden="1" x14ac:dyDescent="0.3">
      <c r="A588" s="3">
        <v>45376</v>
      </c>
      <c r="B588" t="s">
        <v>22</v>
      </c>
      <c r="C588" t="s">
        <v>26</v>
      </c>
      <c r="D588">
        <v>7</v>
      </c>
      <c r="E588">
        <v>12</v>
      </c>
      <c r="F588">
        <v>1</v>
      </c>
      <c r="G588">
        <v>9</v>
      </c>
      <c r="H588">
        <v>5</v>
      </c>
      <c r="I588">
        <v>4</v>
      </c>
      <c r="J588">
        <v>3.5</v>
      </c>
      <c r="K588">
        <v>3</v>
      </c>
      <c r="L588">
        <v>14</v>
      </c>
    </row>
    <row r="589" spans="1:12" hidden="1" x14ac:dyDescent="0.3">
      <c r="A589" s="3">
        <v>45377</v>
      </c>
      <c r="B589" t="s">
        <v>57</v>
      </c>
      <c r="C589" t="s">
        <v>75</v>
      </c>
      <c r="D589">
        <v>1</v>
      </c>
      <c r="E589">
        <v>8</v>
      </c>
      <c r="F589">
        <v>2</v>
      </c>
      <c r="G589">
        <v>2</v>
      </c>
      <c r="H589">
        <v>1</v>
      </c>
      <c r="I589">
        <v>4</v>
      </c>
      <c r="J589">
        <v>6</v>
      </c>
      <c r="K589">
        <v>5.5</v>
      </c>
      <c r="L589">
        <v>20</v>
      </c>
    </row>
    <row r="590" spans="1:12" hidden="1" x14ac:dyDescent="0.3">
      <c r="A590" s="3">
        <v>45377</v>
      </c>
      <c r="B590" t="s">
        <v>82</v>
      </c>
      <c r="C590" t="s">
        <v>73</v>
      </c>
      <c r="D590">
        <v>2</v>
      </c>
      <c r="E590">
        <v>8</v>
      </c>
      <c r="F590">
        <v>2</v>
      </c>
      <c r="G590">
        <v>3</v>
      </c>
      <c r="H590">
        <v>0</v>
      </c>
      <c r="I590">
        <v>5</v>
      </c>
      <c r="J590">
        <v>2.5</v>
      </c>
      <c r="K590">
        <v>2</v>
      </c>
      <c r="L590">
        <v>5</v>
      </c>
    </row>
    <row r="591" spans="1:12" hidden="1" x14ac:dyDescent="0.3">
      <c r="A591" s="3">
        <v>45377</v>
      </c>
      <c r="B591" t="s">
        <v>72</v>
      </c>
      <c r="C591" t="s">
        <v>48</v>
      </c>
      <c r="D591">
        <v>6</v>
      </c>
      <c r="E591">
        <v>6</v>
      </c>
      <c r="F591">
        <v>6</v>
      </c>
      <c r="G591">
        <v>1</v>
      </c>
      <c r="H591">
        <v>3</v>
      </c>
      <c r="I591">
        <v>2</v>
      </c>
      <c r="J591">
        <v>4</v>
      </c>
      <c r="K591">
        <v>3</v>
      </c>
      <c r="L591">
        <v>7</v>
      </c>
    </row>
    <row r="592" spans="1:12" hidden="1" x14ac:dyDescent="0.3">
      <c r="A592" s="3">
        <v>45377</v>
      </c>
      <c r="B592" t="s">
        <v>60</v>
      </c>
      <c r="C592" t="s">
        <v>94</v>
      </c>
      <c r="D592">
        <v>2</v>
      </c>
      <c r="E592">
        <v>10</v>
      </c>
      <c r="F592">
        <v>2</v>
      </c>
      <c r="G592">
        <v>1</v>
      </c>
      <c r="H592">
        <v>4</v>
      </c>
      <c r="I592">
        <v>5</v>
      </c>
      <c r="J592">
        <v>4</v>
      </c>
      <c r="K592">
        <v>3.5</v>
      </c>
      <c r="L592">
        <v>10</v>
      </c>
    </row>
    <row r="593" spans="1:12" hidden="1" x14ac:dyDescent="0.3">
      <c r="A593" s="3">
        <v>45378</v>
      </c>
      <c r="B593" t="s">
        <v>60</v>
      </c>
      <c r="C593" t="s">
        <v>94</v>
      </c>
      <c r="D593">
        <v>5</v>
      </c>
      <c r="E593">
        <v>10</v>
      </c>
      <c r="F593">
        <v>8</v>
      </c>
      <c r="G593">
        <v>3</v>
      </c>
      <c r="H593">
        <v>2</v>
      </c>
      <c r="I593">
        <v>2</v>
      </c>
      <c r="J593">
        <v>4</v>
      </c>
      <c r="K593">
        <v>3.5</v>
      </c>
      <c r="L593">
        <v>10</v>
      </c>
    </row>
    <row r="594" spans="1:12" hidden="1" x14ac:dyDescent="0.3">
      <c r="A594" s="3">
        <v>45378</v>
      </c>
      <c r="B594" t="s">
        <v>89</v>
      </c>
      <c r="C594" t="s">
        <v>103</v>
      </c>
      <c r="D594">
        <v>5</v>
      </c>
      <c r="E594">
        <v>8</v>
      </c>
      <c r="F594">
        <v>1</v>
      </c>
      <c r="G594">
        <v>4</v>
      </c>
      <c r="H594">
        <v>3</v>
      </c>
      <c r="I594">
        <v>5</v>
      </c>
      <c r="J594">
        <v>3.5</v>
      </c>
      <c r="K594">
        <v>3</v>
      </c>
      <c r="L594">
        <v>8</v>
      </c>
    </row>
    <row r="595" spans="1:12" hidden="1" x14ac:dyDescent="0.3">
      <c r="A595" s="3">
        <v>45378</v>
      </c>
      <c r="B595" t="s">
        <v>61</v>
      </c>
      <c r="C595" t="s">
        <v>95</v>
      </c>
      <c r="D595">
        <v>5</v>
      </c>
      <c r="E595">
        <v>10</v>
      </c>
      <c r="F595">
        <v>2</v>
      </c>
      <c r="G595">
        <v>6</v>
      </c>
      <c r="H595">
        <v>0</v>
      </c>
      <c r="I595">
        <v>7</v>
      </c>
      <c r="J595">
        <v>4</v>
      </c>
      <c r="K595">
        <v>3.5</v>
      </c>
      <c r="L595">
        <v>10</v>
      </c>
    </row>
    <row r="596" spans="1:12" hidden="1" x14ac:dyDescent="0.3">
      <c r="A596" s="3">
        <v>45379</v>
      </c>
      <c r="B596" t="s">
        <v>71</v>
      </c>
      <c r="C596" t="s">
        <v>47</v>
      </c>
      <c r="D596">
        <v>2</v>
      </c>
      <c r="E596">
        <v>6</v>
      </c>
      <c r="F596">
        <v>5</v>
      </c>
      <c r="G596">
        <v>2</v>
      </c>
      <c r="H596">
        <v>1</v>
      </c>
      <c r="I596">
        <v>0</v>
      </c>
      <c r="J596">
        <v>4</v>
      </c>
      <c r="K596">
        <v>3</v>
      </c>
      <c r="L596">
        <v>7</v>
      </c>
    </row>
    <row r="597" spans="1:12" hidden="1" x14ac:dyDescent="0.3">
      <c r="A597" s="3">
        <v>45379</v>
      </c>
      <c r="B597" t="s">
        <v>57</v>
      </c>
      <c r="C597" t="s">
        <v>75</v>
      </c>
      <c r="D597">
        <v>4</v>
      </c>
      <c r="E597">
        <v>8</v>
      </c>
      <c r="F597">
        <v>5</v>
      </c>
      <c r="G597">
        <v>2</v>
      </c>
      <c r="H597">
        <v>3</v>
      </c>
      <c r="I597">
        <v>2</v>
      </c>
      <c r="J597">
        <v>6</v>
      </c>
      <c r="K597">
        <v>5.5</v>
      </c>
      <c r="L597">
        <v>20</v>
      </c>
    </row>
    <row r="598" spans="1:12" hidden="1" x14ac:dyDescent="0.3">
      <c r="A598" s="3">
        <v>45379</v>
      </c>
      <c r="B598" t="s">
        <v>70</v>
      </c>
      <c r="C598" t="s">
        <v>99</v>
      </c>
      <c r="D598">
        <v>3</v>
      </c>
      <c r="E598">
        <v>6</v>
      </c>
      <c r="F598">
        <v>2</v>
      </c>
      <c r="G598">
        <v>4</v>
      </c>
      <c r="H598">
        <v>0</v>
      </c>
      <c r="I598">
        <v>3</v>
      </c>
      <c r="J598">
        <v>4</v>
      </c>
      <c r="K598">
        <v>3</v>
      </c>
      <c r="L598">
        <v>7</v>
      </c>
    </row>
    <row r="599" spans="1:12" hidden="1" x14ac:dyDescent="0.3">
      <c r="A599" s="3">
        <v>45379</v>
      </c>
      <c r="B599" t="s">
        <v>10</v>
      </c>
      <c r="C599" t="s">
        <v>18</v>
      </c>
      <c r="D599">
        <v>4</v>
      </c>
      <c r="E599">
        <v>10</v>
      </c>
      <c r="F599">
        <v>6</v>
      </c>
      <c r="G599">
        <v>0</v>
      </c>
      <c r="H599">
        <v>4</v>
      </c>
      <c r="I599">
        <v>4</v>
      </c>
      <c r="J599">
        <v>5.5</v>
      </c>
      <c r="K599">
        <v>4.5</v>
      </c>
      <c r="L599">
        <v>7</v>
      </c>
    </row>
    <row r="600" spans="1:12" x14ac:dyDescent="0.3">
      <c r="A600" s="3">
        <v>45380</v>
      </c>
      <c r="B600" t="s">
        <v>34</v>
      </c>
      <c r="C600" t="s">
        <v>30</v>
      </c>
      <c r="D600">
        <v>2</v>
      </c>
      <c r="E600">
        <v>6</v>
      </c>
      <c r="F600">
        <v>0</v>
      </c>
      <c r="G600">
        <v>1</v>
      </c>
      <c r="H600">
        <v>2</v>
      </c>
      <c r="I600">
        <v>5</v>
      </c>
      <c r="J600">
        <v>3.5</v>
      </c>
      <c r="K600">
        <v>3</v>
      </c>
      <c r="L600">
        <v>10</v>
      </c>
    </row>
    <row r="601" spans="1:12" hidden="1" x14ac:dyDescent="0.3">
      <c r="A601" s="3">
        <v>45380</v>
      </c>
      <c r="B601" t="s">
        <v>68</v>
      </c>
      <c r="C601" t="s">
        <v>43</v>
      </c>
      <c r="D601">
        <v>4</v>
      </c>
      <c r="E601">
        <v>15</v>
      </c>
      <c r="F601">
        <v>4</v>
      </c>
      <c r="G601">
        <v>4</v>
      </c>
      <c r="H601">
        <v>0</v>
      </c>
      <c r="I601">
        <v>11</v>
      </c>
      <c r="J601">
        <v>4</v>
      </c>
      <c r="K601">
        <v>3</v>
      </c>
      <c r="L601">
        <v>14</v>
      </c>
    </row>
    <row r="602" spans="1:12" hidden="1" x14ac:dyDescent="0.3">
      <c r="A602" s="3">
        <v>45380</v>
      </c>
      <c r="B602" t="s">
        <v>70</v>
      </c>
      <c r="C602" t="s">
        <v>99</v>
      </c>
      <c r="D602">
        <v>3</v>
      </c>
      <c r="E602">
        <v>6</v>
      </c>
      <c r="F602">
        <v>2</v>
      </c>
      <c r="G602">
        <v>3</v>
      </c>
      <c r="H602">
        <v>1</v>
      </c>
      <c r="I602">
        <v>3</v>
      </c>
      <c r="J602">
        <v>4</v>
      </c>
      <c r="K602">
        <v>3</v>
      </c>
      <c r="L602">
        <v>7</v>
      </c>
    </row>
    <row r="603" spans="1:12" x14ac:dyDescent="0.3">
      <c r="A603" s="3">
        <v>45380</v>
      </c>
      <c r="B603" t="s">
        <v>34</v>
      </c>
      <c r="C603" t="s">
        <v>30</v>
      </c>
      <c r="D603">
        <v>5</v>
      </c>
      <c r="E603">
        <v>6</v>
      </c>
      <c r="F603">
        <v>0</v>
      </c>
      <c r="G603">
        <v>3</v>
      </c>
      <c r="H603">
        <v>0</v>
      </c>
      <c r="I603">
        <v>8</v>
      </c>
      <c r="J603">
        <v>3.5</v>
      </c>
      <c r="K603">
        <v>3</v>
      </c>
      <c r="L603">
        <v>10</v>
      </c>
    </row>
    <row r="604" spans="1:12" hidden="1" x14ac:dyDescent="0.3">
      <c r="A604" s="3">
        <v>45380</v>
      </c>
      <c r="B604" t="s">
        <v>64</v>
      </c>
      <c r="C604" t="s">
        <v>42</v>
      </c>
      <c r="D604">
        <v>2</v>
      </c>
      <c r="E604">
        <v>8</v>
      </c>
      <c r="F604">
        <v>6</v>
      </c>
      <c r="G604">
        <v>0</v>
      </c>
      <c r="H604">
        <v>0</v>
      </c>
      <c r="I604">
        <v>4</v>
      </c>
      <c r="J604">
        <v>3.5</v>
      </c>
      <c r="K604">
        <v>3</v>
      </c>
      <c r="L604">
        <v>8</v>
      </c>
    </row>
    <row r="605" spans="1:12" hidden="1" x14ac:dyDescent="0.3">
      <c r="A605" s="3">
        <v>45380</v>
      </c>
      <c r="B605" t="s">
        <v>10</v>
      </c>
      <c r="C605" t="s">
        <v>18</v>
      </c>
      <c r="D605">
        <v>4</v>
      </c>
      <c r="E605">
        <v>10</v>
      </c>
      <c r="F605">
        <v>5</v>
      </c>
      <c r="G605">
        <v>2</v>
      </c>
      <c r="H605">
        <v>0</v>
      </c>
      <c r="I605">
        <v>7</v>
      </c>
      <c r="J605">
        <v>5.5</v>
      </c>
      <c r="K605">
        <v>4.5</v>
      </c>
      <c r="L605">
        <v>7</v>
      </c>
    </row>
    <row r="606" spans="1:12" hidden="1" x14ac:dyDescent="0.3">
      <c r="A606" s="3">
        <v>45380</v>
      </c>
      <c r="B606" t="s">
        <v>81</v>
      </c>
      <c r="C606" t="s">
        <v>50</v>
      </c>
      <c r="D606">
        <v>4</v>
      </c>
      <c r="E606">
        <v>8</v>
      </c>
      <c r="F606">
        <v>0</v>
      </c>
      <c r="G606">
        <v>6</v>
      </c>
      <c r="H606">
        <v>0</v>
      </c>
      <c r="I606">
        <v>6</v>
      </c>
      <c r="J606">
        <v>2.5</v>
      </c>
      <c r="K606">
        <v>2</v>
      </c>
      <c r="L606">
        <v>5</v>
      </c>
    </row>
    <row r="607" spans="1:12" hidden="1" x14ac:dyDescent="0.3">
      <c r="A607" s="3">
        <v>45380</v>
      </c>
      <c r="B607" t="s">
        <v>66</v>
      </c>
      <c r="C607" t="s">
        <v>45</v>
      </c>
      <c r="D607">
        <v>2</v>
      </c>
      <c r="E607">
        <v>8</v>
      </c>
      <c r="F607">
        <v>6</v>
      </c>
      <c r="G607">
        <v>1</v>
      </c>
      <c r="H607">
        <v>1</v>
      </c>
      <c r="I607">
        <v>2</v>
      </c>
      <c r="J607">
        <v>3.5</v>
      </c>
      <c r="K607">
        <v>3</v>
      </c>
      <c r="L607">
        <v>8</v>
      </c>
    </row>
    <row r="608" spans="1:12" hidden="1" x14ac:dyDescent="0.3">
      <c r="A608" s="3">
        <v>45381</v>
      </c>
      <c r="B608" t="s">
        <v>69</v>
      </c>
      <c r="C608" t="s">
        <v>98</v>
      </c>
      <c r="D608">
        <v>2</v>
      </c>
      <c r="E608">
        <v>6</v>
      </c>
      <c r="F608">
        <v>5</v>
      </c>
      <c r="G608">
        <v>0</v>
      </c>
      <c r="H608">
        <v>0</v>
      </c>
      <c r="I608">
        <v>3</v>
      </c>
      <c r="J608">
        <v>4</v>
      </c>
      <c r="K608">
        <v>3</v>
      </c>
      <c r="L608">
        <v>7</v>
      </c>
    </row>
    <row r="609" spans="1:12" hidden="1" x14ac:dyDescent="0.3">
      <c r="A609" s="3">
        <v>45381</v>
      </c>
      <c r="B609" t="s">
        <v>41</v>
      </c>
      <c r="C609" t="s">
        <v>86</v>
      </c>
      <c r="D609">
        <v>6</v>
      </c>
      <c r="E609">
        <v>15</v>
      </c>
      <c r="F609">
        <v>5</v>
      </c>
      <c r="G609">
        <v>2</v>
      </c>
      <c r="H609">
        <v>5</v>
      </c>
      <c r="I609">
        <v>9</v>
      </c>
      <c r="J609">
        <v>3</v>
      </c>
      <c r="K609">
        <v>2.5</v>
      </c>
      <c r="L609">
        <v>14</v>
      </c>
    </row>
    <row r="610" spans="1:12" x14ac:dyDescent="0.3">
      <c r="A610" s="3">
        <v>45381</v>
      </c>
      <c r="B610" t="s">
        <v>34</v>
      </c>
      <c r="C610" t="s">
        <v>30</v>
      </c>
      <c r="D610">
        <v>8</v>
      </c>
      <c r="E610">
        <v>6</v>
      </c>
      <c r="F610">
        <v>0</v>
      </c>
      <c r="G610">
        <v>7</v>
      </c>
      <c r="H610">
        <v>1</v>
      </c>
      <c r="I610">
        <v>6</v>
      </c>
      <c r="J610">
        <v>3.5</v>
      </c>
      <c r="K610">
        <v>3</v>
      </c>
      <c r="L610">
        <v>10</v>
      </c>
    </row>
    <row r="611" spans="1:12" hidden="1" x14ac:dyDescent="0.3">
      <c r="A611" s="3">
        <v>45381</v>
      </c>
      <c r="B611" t="s">
        <v>82</v>
      </c>
      <c r="C611" t="s">
        <v>73</v>
      </c>
      <c r="D611">
        <v>5</v>
      </c>
      <c r="E611">
        <v>8</v>
      </c>
      <c r="F611">
        <v>2</v>
      </c>
      <c r="G611">
        <v>0</v>
      </c>
      <c r="H611">
        <v>4</v>
      </c>
      <c r="I611">
        <v>7</v>
      </c>
      <c r="J611">
        <v>2.5</v>
      </c>
      <c r="K611">
        <v>2</v>
      </c>
      <c r="L611">
        <v>5</v>
      </c>
    </row>
    <row r="612" spans="1:12" hidden="1" x14ac:dyDescent="0.3">
      <c r="A612" s="3">
        <v>45381</v>
      </c>
      <c r="B612" t="s">
        <v>78</v>
      </c>
      <c r="C612" t="s">
        <v>74</v>
      </c>
      <c r="D612">
        <v>2</v>
      </c>
      <c r="E612">
        <v>6</v>
      </c>
      <c r="F612">
        <v>5</v>
      </c>
      <c r="G612">
        <v>0</v>
      </c>
      <c r="H612">
        <v>2</v>
      </c>
      <c r="I612">
        <v>1</v>
      </c>
      <c r="J612">
        <v>4</v>
      </c>
      <c r="K612">
        <v>3</v>
      </c>
      <c r="L612">
        <v>7</v>
      </c>
    </row>
    <row r="613" spans="1:12" hidden="1" x14ac:dyDescent="0.3">
      <c r="A613" s="3">
        <v>45381</v>
      </c>
      <c r="B613" t="s">
        <v>60</v>
      </c>
      <c r="C613" t="s">
        <v>94</v>
      </c>
      <c r="D613">
        <v>2</v>
      </c>
      <c r="E613">
        <v>10</v>
      </c>
      <c r="F613">
        <v>4</v>
      </c>
      <c r="G613">
        <v>0</v>
      </c>
      <c r="H613">
        <v>0</v>
      </c>
      <c r="I613">
        <v>8</v>
      </c>
      <c r="J613">
        <v>4</v>
      </c>
      <c r="K613">
        <v>3.5</v>
      </c>
      <c r="L613">
        <v>10</v>
      </c>
    </row>
    <row r="614" spans="1:12" hidden="1" x14ac:dyDescent="0.3">
      <c r="A614" s="3">
        <v>45381</v>
      </c>
      <c r="B614" t="s">
        <v>80</v>
      </c>
      <c r="C614" t="s">
        <v>49</v>
      </c>
      <c r="D614">
        <v>5</v>
      </c>
      <c r="E614">
        <v>8</v>
      </c>
      <c r="F614">
        <v>1</v>
      </c>
      <c r="G614">
        <v>5</v>
      </c>
      <c r="H614">
        <v>0</v>
      </c>
      <c r="I614">
        <v>7</v>
      </c>
      <c r="J614">
        <v>2.5</v>
      </c>
      <c r="K614">
        <v>2</v>
      </c>
      <c r="L614">
        <v>5</v>
      </c>
    </row>
    <row r="615" spans="1:12" hidden="1" x14ac:dyDescent="0.3">
      <c r="A615" s="3">
        <v>45381</v>
      </c>
      <c r="B615" t="s">
        <v>39</v>
      </c>
      <c r="C615" t="s">
        <v>32</v>
      </c>
      <c r="D615">
        <v>5</v>
      </c>
      <c r="E615">
        <v>12</v>
      </c>
      <c r="F615">
        <v>6</v>
      </c>
      <c r="G615">
        <v>0</v>
      </c>
      <c r="H615">
        <v>6</v>
      </c>
      <c r="I615">
        <v>5</v>
      </c>
      <c r="J615">
        <v>3.5</v>
      </c>
      <c r="K615">
        <v>3</v>
      </c>
      <c r="L615">
        <v>14</v>
      </c>
    </row>
    <row r="616" spans="1:12" hidden="1" x14ac:dyDescent="0.3">
      <c r="A616" s="3">
        <v>45381</v>
      </c>
      <c r="B616" t="s">
        <v>40</v>
      </c>
      <c r="C616" t="s">
        <v>85</v>
      </c>
      <c r="D616">
        <v>13</v>
      </c>
      <c r="E616">
        <v>15</v>
      </c>
      <c r="F616">
        <v>7</v>
      </c>
      <c r="G616">
        <v>5</v>
      </c>
      <c r="H616">
        <v>9</v>
      </c>
      <c r="I616">
        <v>7</v>
      </c>
      <c r="J616">
        <v>3</v>
      </c>
      <c r="K616">
        <v>2.5</v>
      </c>
      <c r="L616">
        <v>14</v>
      </c>
    </row>
    <row r="617" spans="1:12" hidden="1" x14ac:dyDescent="0.3">
      <c r="A617" s="3">
        <v>45382</v>
      </c>
      <c r="B617" t="s">
        <v>90</v>
      </c>
      <c r="C617" t="s">
        <v>87</v>
      </c>
      <c r="D617">
        <v>4</v>
      </c>
      <c r="E617">
        <v>12</v>
      </c>
      <c r="F617">
        <v>5</v>
      </c>
      <c r="G617">
        <v>5</v>
      </c>
      <c r="H617">
        <v>1</v>
      </c>
      <c r="I617">
        <v>5</v>
      </c>
      <c r="J617">
        <v>4.5</v>
      </c>
      <c r="K617">
        <v>4</v>
      </c>
      <c r="L617">
        <v>14</v>
      </c>
    </row>
    <row r="618" spans="1:12" hidden="1" x14ac:dyDescent="0.3">
      <c r="A618" s="3">
        <v>45382</v>
      </c>
      <c r="B618" t="s">
        <v>81</v>
      </c>
      <c r="C618" t="s">
        <v>50</v>
      </c>
      <c r="D618">
        <v>6</v>
      </c>
      <c r="E618">
        <v>8</v>
      </c>
      <c r="F618">
        <v>5</v>
      </c>
      <c r="G618">
        <v>1</v>
      </c>
      <c r="H618">
        <v>1</v>
      </c>
      <c r="I618">
        <v>7</v>
      </c>
      <c r="J618">
        <v>2.5</v>
      </c>
      <c r="K618">
        <v>2</v>
      </c>
      <c r="L618">
        <v>5</v>
      </c>
    </row>
    <row r="619" spans="1:12" hidden="1" x14ac:dyDescent="0.3">
      <c r="A619" s="3">
        <v>45382</v>
      </c>
      <c r="B619" t="s">
        <v>19</v>
      </c>
      <c r="C619" t="s">
        <v>17</v>
      </c>
      <c r="D619">
        <v>4</v>
      </c>
      <c r="E619">
        <v>10</v>
      </c>
      <c r="F619">
        <v>8</v>
      </c>
      <c r="G619">
        <v>0</v>
      </c>
      <c r="H619">
        <v>3</v>
      </c>
      <c r="I619">
        <v>3</v>
      </c>
      <c r="J619">
        <v>4.5</v>
      </c>
      <c r="K619">
        <v>4</v>
      </c>
      <c r="L619">
        <v>10</v>
      </c>
    </row>
    <row r="620" spans="1:12" hidden="1" x14ac:dyDescent="0.3">
      <c r="A620" s="3">
        <v>45382</v>
      </c>
      <c r="B620" t="s">
        <v>70</v>
      </c>
      <c r="C620" t="s">
        <v>99</v>
      </c>
      <c r="D620">
        <v>3</v>
      </c>
      <c r="E620">
        <v>6</v>
      </c>
      <c r="F620">
        <v>4</v>
      </c>
      <c r="G620">
        <v>2</v>
      </c>
      <c r="H620">
        <v>2</v>
      </c>
      <c r="I620">
        <v>1</v>
      </c>
      <c r="J620">
        <v>4</v>
      </c>
      <c r="K620">
        <v>3</v>
      </c>
      <c r="L620">
        <v>7</v>
      </c>
    </row>
    <row r="621" spans="1:12" hidden="1" x14ac:dyDescent="0.3">
      <c r="A621" s="3">
        <v>45382</v>
      </c>
      <c r="B621" t="s">
        <v>72</v>
      </c>
      <c r="C621" t="s">
        <v>48</v>
      </c>
      <c r="D621">
        <v>2</v>
      </c>
      <c r="E621">
        <v>6</v>
      </c>
      <c r="F621">
        <v>5</v>
      </c>
      <c r="G621">
        <v>0</v>
      </c>
      <c r="H621">
        <v>2</v>
      </c>
      <c r="I621">
        <v>1</v>
      </c>
      <c r="J621">
        <v>4</v>
      </c>
      <c r="K621">
        <v>3</v>
      </c>
      <c r="L621">
        <v>7</v>
      </c>
    </row>
    <row r="622" spans="1:12" hidden="1" x14ac:dyDescent="0.3">
      <c r="A622" s="3">
        <v>45382</v>
      </c>
      <c r="B622" t="s">
        <v>40</v>
      </c>
      <c r="C622" t="s">
        <v>85</v>
      </c>
      <c r="D622">
        <v>7</v>
      </c>
      <c r="E622">
        <v>15</v>
      </c>
      <c r="F622">
        <v>13</v>
      </c>
      <c r="G622">
        <v>2</v>
      </c>
      <c r="H622">
        <v>1</v>
      </c>
      <c r="I622">
        <v>6</v>
      </c>
      <c r="J622">
        <v>3</v>
      </c>
      <c r="K622">
        <v>2.5</v>
      </c>
      <c r="L622">
        <v>14</v>
      </c>
    </row>
    <row r="623" spans="1:12" hidden="1" x14ac:dyDescent="0.3">
      <c r="A623" s="3">
        <v>45383</v>
      </c>
      <c r="B623" t="s">
        <v>72</v>
      </c>
      <c r="C623" t="s">
        <v>48</v>
      </c>
      <c r="D623">
        <v>1</v>
      </c>
      <c r="E623">
        <v>6</v>
      </c>
      <c r="F623">
        <v>1</v>
      </c>
      <c r="G623">
        <v>4</v>
      </c>
      <c r="H623">
        <v>0</v>
      </c>
      <c r="I623">
        <v>2</v>
      </c>
      <c r="J623">
        <v>4</v>
      </c>
      <c r="K623">
        <v>3</v>
      </c>
      <c r="L623">
        <v>7</v>
      </c>
    </row>
    <row r="624" spans="1:12" hidden="1" x14ac:dyDescent="0.3">
      <c r="A624" s="3">
        <v>45383</v>
      </c>
      <c r="B624" t="s">
        <v>19</v>
      </c>
      <c r="C624" t="s">
        <v>17</v>
      </c>
      <c r="D624">
        <v>3</v>
      </c>
      <c r="E624">
        <v>10</v>
      </c>
      <c r="F624">
        <v>3</v>
      </c>
      <c r="G624">
        <v>2</v>
      </c>
      <c r="H624">
        <v>0</v>
      </c>
      <c r="I624">
        <v>8</v>
      </c>
      <c r="J624">
        <v>4.5</v>
      </c>
      <c r="K624">
        <v>4</v>
      </c>
      <c r="L624">
        <v>10</v>
      </c>
    </row>
    <row r="625" spans="1:12" hidden="1" x14ac:dyDescent="0.3">
      <c r="A625" s="3">
        <v>45383</v>
      </c>
      <c r="B625" t="s">
        <v>69</v>
      </c>
      <c r="C625" t="s">
        <v>98</v>
      </c>
      <c r="D625">
        <v>3</v>
      </c>
      <c r="E625">
        <v>6</v>
      </c>
      <c r="F625">
        <v>5</v>
      </c>
      <c r="G625">
        <v>1</v>
      </c>
      <c r="H625">
        <v>2</v>
      </c>
      <c r="I625">
        <v>1</v>
      </c>
      <c r="J625">
        <v>4</v>
      </c>
      <c r="K625">
        <v>3</v>
      </c>
      <c r="L625">
        <v>7</v>
      </c>
    </row>
    <row r="626" spans="1:12" hidden="1" x14ac:dyDescent="0.3">
      <c r="A626" s="3">
        <v>45383</v>
      </c>
      <c r="B626" t="s">
        <v>57</v>
      </c>
      <c r="C626" t="s">
        <v>75</v>
      </c>
      <c r="D626">
        <v>2</v>
      </c>
      <c r="E626">
        <v>8</v>
      </c>
      <c r="F626">
        <v>5</v>
      </c>
      <c r="G626">
        <v>3</v>
      </c>
      <c r="H626">
        <v>1</v>
      </c>
      <c r="I626">
        <v>1</v>
      </c>
      <c r="J626">
        <v>6</v>
      </c>
      <c r="K626">
        <v>5.5</v>
      </c>
      <c r="L626">
        <v>20</v>
      </c>
    </row>
    <row r="627" spans="1:12" hidden="1" x14ac:dyDescent="0.3">
      <c r="A627" s="3">
        <v>45383</v>
      </c>
      <c r="B627" t="s">
        <v>20</v>
      </c>
      <c r="C627" t="s">
        <v>25</v>
      </c>
      <c r="D627">
        <v>2</v>
      </c>
      <c r="E627">
        <v>10</v>
      </c>
      <c r="F627">
        <v>3</v>
      </c>
      <c r="G627">
        <v>0</v>
      </c>
      <c r="H627">
        <v>4</v>
      </c>
      <c r="I627">
        <v>5</v>
      </c>
      <c r="J627">
        <v>4.5</v>
      </c>
      <c r="K627">
        <v>4</v>
      </c>
      <c r="L627">
        <v>10</v>
      </c>
    </row>
    <row r="628" spans="1:12" hidden="1" x14ac:dyDescent="0.3">
      <c r="A628" s="3">
        <v>45384</v>
      </c>
      <c r="B628" t="s">
        <v>55</v>
      </c>
      <c r="C628" t="s">
        <v>53</v>
      </c>
      <c r="D628">
        <v>2</v>
      </c>
      <c r="E628">
        <v>4</v>
      </c>
      <c r="F628">
        <v>1</v>
      </c>
      <c r="G628">
        <v>1</v>
      </c>
      <c r="H628">
        <v>2</v>
      </c>
      <c r="I628">
        <v>2</v>
      </c>
      <c r="J628">
        <v>8.5</v>
      </c>
      <c r="K628">
        <v>6</v>
      </c>
      <c r="L628">
        <v>7</v>
      </c>
    </row>
    <row r="629" spans="1:12" hidden="1" x14ac:dyDescent="0.3">
      <c r="A629" s="3">
        <v>45384</v>
      </c>
      <c r="B629" t="s">
        <v>69</v>
      </c>
      <c r="C629" t="s">
        <v>98</v>
      </c>
      <c r="D629">
        <v>1</v>
      </c>
      <c r="E629">
        <v>6</v>
      </c>
      <c r="F629">
        <v>0</v>
      </c>
      <c r="G629">
        <v>2</v>
      </c>
      <c r="H629">
        <v>0</v>
      </c>
      <c r="I629">
        <v>5</v>
      </c>
      <c r="J629">
        <v>4</v>
      </c>
      <c r="K629">
        <v>3</v>
      </c>
      <c r="L629">
        <v>7</v>
      </c>
    </row>
    <row r="630" spans="1:12" hidden="1" x14ac:dyDescent="0.3">
      <c r="A630" s="3">
        <v>45384</v>
      </c>
      <c r="B630" t="s">
        <v>24</v>
      </c>
      <c r="C630" t="s">
        <v>29</v>
      </c>
      <c r="D630">
        <v>8</v>
      </c>
      <c r="E630">
        <v>8</v>
      </c>
      <c r="F630">
        <v>3</v>
      </c>
      <c r="G630">
        <v>8</v>
      </c>
      <c r="H630">
        <v>1</v>
      </c>
      <c r="I630">
        <v>4</v>
      </c>
      <c r="J630">
        <v>7.5</v>
      </c>
      <c r="K630">
        <v>5.5</v>
      </c>
      <c r="L630">
        <v>7</v>
      </c>
    </row>
    <row r="631" spans="1:12" hidden="1" x14ac:dyDescent="0.3">
      <c r="A631" s="3">
        <v>45384</v>
      </c>
      <c r="B631" t="s">
        <v>41</v>
      </c>
      <c r="C631" t="s">
        <v>86</v>
      </c>
      <c r="D631">
        <v>9</v>
      </c>
      <c r="E631">
        <v>15</v>
      </c>
      <c r="F631">
        <v>14</v>
      </c>
      <c r="G631">
        <v>2</v>
      </c>
      <c r="H631">
        <v>3</v>
      </c>
      <c r="I631">
        <v>5</v>
      </c>
      <c r="J631">
        <v>3</v>
      </c>
      <c r="K631">
        <v>2.5</v>
      </c>
      <c r="L631">
        <v>14</v>
      </c>
    </row>
    <row r="632" spans="1:12" hidden="1" x14ac:dyDescent="0.3">
      <c r="A632" s="3">
        <v>45384</v>
      </c>
      <c r="B632" t="s">
        <v>41</v>
      </c>
      <c r="C632" t="s">
        <v>86</v>
      </c>
      <c r="D632">
        <v>5</v>
      </c>
      <c r="E632">
        <v>15</v>
      </c>
      <c r="F632">
        <v>9</v>
      </c>
      <c r="G632">
        <v>0</v>
      </c>
      <c r="H632">
        <v>6</v>
      </c>
      <c r="I632">
        <v>5</v>
      </c>
      <c r="J632">
        <v>3</v>
      </c>
      <c r="K632">
        <v>2.5</v>
      </c>
      <c r="L632">
        <v>14</v>
      </c>
    </row>
    <row r="633" spans="1:12" hidden="1" x14ac:dyDescent="0.3">
      <c r="A633" s="3">
        <v>45384</v>
      </c>
      <c r="B633" t="s">
        <v>70</v>
      </c>
      <c r="C633" t="s">
        <v>99</v>
      </c>
      <c r="D633">
        <v>1</v>
      </c>
      <c r="E633">
        <v>6</v>
      </c>
      <c r="F633">
        <v>2</v>
      </c>
      <c r="G633">
        <v>3</v>
      </c>
      <c r="H633">
        <v>1</v>
      </c>
      <c r="I633">
        <v>1</v>
      </c>
      <c r="J633">
        <v>4</v>
      </c>
      <c r="K633">
        <v>3</v>
      </c>
      <c r="L633">
        <v>7</v>
      </c>
    </row>
    <row r="634" spans="1:12" hidden="1" x14ac:dyDescent="0.3">
      <c r="A634" s="3">
        <v>45384</v>
      </c>
      <c r="B634" t="s">
        <v>69</v>
      </c>
      <c r="C634" t="s">
        <v>98</v>
      </c>
      <c r="D634">
        <v>5</v>
      </c>
      <c r="E634">
        <v>6</v>
      </c>
      <c r="F634">
        <v>1</v>
      </c>
      <c r="G634">
        <v>6</v>
      </c>
      <c r="H634">
        <v>2</v>
      </c>
      <c r="I634">
        <v>2</v>
      </c>
      <c r="J634">
        <v>4</v>
      </c>
      <c r="K634">
        <v>3</v>
      </c>
      <c r="L634">
        <v>7</v>
      </c>
    </row>
    <row r="635" spans="1:12" hidden="1" x14ac:dyDescent="0.3">
      <c r="A635" s="3">
        <v>45385</v>
      </c>
      <c r="B635" t="s">
        <v>90</v>
      </c>
      <c r="C635" t="s">
        <v>87</v>
      </c>
      <c r="D635">
        <v>5</v>
      </c>
      <c r="E635">
        <v>12</v>
      </c>
      <c r="F635">
        <v>9</v>
      </c>
      <c r="G635">
        <v>1</v>
      </c>
      <c r="H635">
        <v>0</v>
      </c>
      <c r="I635">
        <v>7</v>
      </c>
      <c r="J635">
        <v>4.5</v>
      </c>
      <c r="K635">
        <v>4</v>
      </c>
      <c r="L635">
        <v>14</v>
      </c>
    </row>
    <row r="636" spans="1:12" hidden="1" x14ac:dyDescent="0.3">
      <c r="A636" s="3">
        <v>45385</v>
      </c>
      <c r="B636" t="s">
        <v>71</v>
      </c>
      <c r="C636" t="s">
        <v>47</v>
      </c>
      <c r="D636">
        <v>0</v>
      </c>
      <c r="E636">
        <v>6</v>
      </c>
      <c r="F636">
        <v>1</v>
      </c>
      <c r="G636">
        <v>3</v>
      </c>
      <c r="H636">
        <v>0</v>
      </c>
      <c r="I636">
        <v>2</v>
      </c>
      <c r="J636">
        <v>4</v>
      </c>
      <c r="K636">
        <v>3</v>
      </c>
      <c r="L636">
        <v>7</v>
      </c>
    </row>
    <row r="637" spans="1:12" hidden="1" x14ac:dyDescent="0.3">
      <c r="A637" s="3">
        <v>45385</v>
      </c>
      <c r="B637" t="s">
        <v>20</v>
      </c>
      <c r="C637" t="s">
        <v>25</v>
      </c>
      <c r="D637">
        <v>5</v>
      </c>
      <c r="E637">
        <v>10</v>
      </c>
      <c r="F637">
        <v>9</v>
      </c>
      <c r="G637">
        <v>4</v>
      </c>
      <c r="H637">
        <v>0</v>
      </c>
      <c r="I637">
        <v>2</v>
      </c>
      <c r="J637">
        <v>4.5</v>
      </c>
      <c r="K637">
        <v>4</v>
      </c>
      <c r="L637">
        <v>10</v>
      </c>
    </row>
    <row r="638" spans="1:12" hidden="1" x14ac:dyDescent="0.3">
      <c r="A638" s="3">
        <v>45385</v>
      </c>
      <c r="B638" t="s">
        <v>59</v>
      </c>
      <c r="C638" t="s">
        <v>93</v>
      </c>
      <c r="D638">
        <v>3</v>
      </c>
      <c r="E638">
        <v>10</v>
      </c>
      <c r="F638">
        <v>8</v>
      </c>
      <c r="G638">
        <v>3</v>
      </c>
      <c r="H638">
        <v>1</v>
      </c>
      <c r="I638">
        <v>1</v>
      </c>
      <c r="J638">
        <v>4</v>
      </c>
      <c r="K638">
        <v>3.5</v>
      </c>
      <c r="L638">
        <v>10</v>
      </c>
    </row>
    <row r="639" spans="1:12" hidden="1" x14ac:dyDescent="0.3">
      <c r="A639" s="3">
        <v>45385</v>
      </c>
      <c r="B639" t="s">
        <v>89</v>
      </c>
      <c r="C639" t="s">
        <v>103</v>
      </c>
      <c r="D639">
        <v>5</v>
      </c>
      <c r="E639">
        <v>8</v>
      </c>
      <c r="F639">
        <v>0</v>
      </c>
      <c r="G639">
        <v>0</v>
      </c>
      <c r="H639">
        <v>3</v>
      </c>
      <c r="I639">
        <v>10</v>
      </c>
      <c r="J639">
        <v>3.5</v>
      </c>
      <c r="K639">
        <v>3</v>
      </c>
      <c r="L639">
        <v>8</v>
      </c>
    </row>
    <row r="640" spans="1:12" hidden="1" x14ac:dyDescent="0.3">
      <c r="A640" s="3">
        <v>45386</v>
      </c>
      <c r="B640" t="s">
        <v>64</v>
      </c>
      <c r="C640" t="s">
        <v>42</v>
      </c>
      <c r="D640">
        <v>4</v>
      </c>
      <c r="E640">
        <v>8</v>
      </c>
      <c r="F640">
        <v>2</v>
      </c>
      <c r="G640">
        <v>1</v>
      </c>
      <c r="H640">
        <v>2</v>
      </c>
      <c r="I640">
        <v>7</v>
      </c>
      <c r="J640">
        <v>3.5</v>
      </c>
      <c r="K640">
        <v>3</v>
      </c>
      <c r="L640">
        <v>8</v>
      </c>
    </row>
    <row r="641" spans="1:12" hidden="1" x14ac:dyDescent="0.3">
      <c r="A641" s="3">
        <v>45386</v>
      </c>
      <c r="B641" t="s">
        <v>81</v>
      </c>
      <c r="C641" t="s">
        <v>50</v>
      </c>
      <c r="D641">
        <v>7</v>
      </c>
      <c r="E641">
        <v>8</v>
      </c>
      <c r="F641">
        <v>5</v>
      </c>
      <c r="G641">
        <v>5</v>
      </c>
      <c r="H641">
        <v>0</v>
      </c>
      <c r="I641">
        <v>5</v>
      </c>
      <c r="J641">
        <v>2.5</v>
      </c>
      <c r="K641">
        <v>2</v>
      </c>
      <c r="L641">
        <v>5</v>
      </c>
    </row>
    <row r="642" spans="1:12" hidden="1" x14ac:dyDescent="0.3">
      <c r="A642" s="3">
        <v>45386</v>
      </c>
      <c r="B642" t="s">
        <v>71</v>
      </c>
      <c r="C642" t="s">
        <v>47</v>
      </c>
      <c r="D642">
        <v>2</v>
      </c>
      <c r="E642">
        <v>6</v>
      </c>
      <c r="F642">
        <v>5</v>
      </c>
      <c r="G642">
        <v>0</v>
      </c>
      <c r="H642">
        <v>0</v>
      </c>
      <c r="I642">
        <v>3</v>
      </c>
      <c r="J642">
        <v>4</v>
      </c>
      <c r="K642">
        <v>3</v>
      </c>
      <c r="L642">
        <v>7</v>
      </c>
    </row>
    <row r="643" spans="1:12" hidden="1" x14ac:dyDescent="0.3">
      <c r="A643" s="3">
        <v>45386</v>
      </c>
      <c r="B643" t="s">
        <v>23</v>
      </c>
      <c r="C643" t="s">
        <v>28</v>
      </c>
      <c r="D643">
        <v>4</v>
      </c>
      <c r="E643">
        <v>9</v>
      </c>
      <c r="F643">
        <v>0</v>
      </c>
      <c r="G643">
        <v>4</v>
      </c>
      <c r="H643">
        <v>3</v>
      </c>
      <c r="I643">
        <v>6</v>
      </c>
      <c r="J643">
        <v>6.5</v>
      </c>
      <c r="K643">
        <v>5.5</v>
      </c>
      <c r="L643">
        <v>9</v>
      </c>
    </row>
    <row r="644" spans="1:12" hidden="1" x14ac:dyDescent="0.3">
      <c r="A644" s="3">
        <v>45386</v>
      </c>
      <c r="B644" t="s">
        <v>37</v>
      </c>
      <c r="C644" t="s">
        <v>51</v>
      </c>
      <c r="D644">
        <v>3</v>
      </c>
      <c r="E644">
        <v>12</v>
      </c>
      <c r="F644">
        <v>4</v>
      </c>
      <c r="G644">
        <v>6</v>
      </c>
      <c r="H644">
        <v>1</v>
      </c>
      <c r="I644">
        <v>4</v>
      </c>
      <c r="J644">
        <v>3.5</v>
      </c>
      <c r="K644">
        <v>3</v>
      </c>
      <c r="L644">
        <v>14</v>
      </c>
    </row>
    <row r="645" spans="1:12" hidden="1" x14ac:dyDescent="0.3">
      <c r="A645" s="3">
        <v>45386</v>
      </c>
      <c r="B645" t="s">
        <v>60</v>
      </c>
      <c r="C645" t="s">
        <v>94</v>
      </c>
      <c r="D645">
        <v>8</v>
      </c>
      <c r="E645">
        <v>10</v>
      </c>
      <c r="F645">
        <v>7</v>
      </c>
      <c r="G645">
        <v>3</v>
      </c>
      <c r="H645">
        <v>3</v>
      </c>
      <c r="I645">
        <v>5</v>
      </c>
      <c r="J645">
        <v>4</v>
      </c>
      <c r="K645">
        <v>3.5</v>
      </c>
      <c r="L645">
        <v>10</v>
      </c>
    </row>
    <row r="646" spans="1:12" hidden="1" x14ac:dyDescent="0.3">
      <c r="A646" s="3">
        <v>45386</v>
      </c>
      <c r="B646" t="s">
        <v>92</v>
      </c>
      <c r="C646" t="s">
        <v>91</v>
      </c>
      <c r="D646">
        <v>3</v>
      </c>
      <c r="E646">
        <v>6</v>
      </c>
      <c r="F646">
        <v>2</v>
      </c>
      <c r="G646">
        <v>2</v>
      </c>
      <c r="H646">
        <v>3</v>
      </c>
      <c r="I646">
        <v>2</v>
      </c>
      <c r="J646">
        <v>4.5</v>
      </c>
      <c r="K646">
        <v>4</v>
      </c>
      <c r="L646">
        <v>14</v>
      </c>
    </row>
    <row r="647" spans="1:12" hidden="1" x14ac:dyDescent="0.3">
      <c r="A647" s="3">
        <v>45387</v>
      </c>
      <c r="B647" t="s">
        <v>83</v>
      </c>
      <c r="C647" t="s">
        <v>100</v>
      </c>
      <c r="D647">
        <v>4</v>
      </c>
      <c r="E647">
        <v>10</v>
      </c>
      <c r="F647">
        <v>7</v>
      </c>
      <c r="G647">
        <v>1</v>
      </c>
      <c r="H647">
        <v>0</v>
      </c>
      <c r="I647">
        <v>6</v>
      </c>
      <c r="J647">
        <v>4.5</v>
      </c>
      <c r="K647">
        <v>4</v>
      </c>
      <c r="L647">
        <v>10</v>
      </c>
    </row>
    <row r="648" spans="1:12" hidden="1" x14ac:dyDescent="0.3">
      <c r="A648" s="3">
        <v>45387</v>
      </c>
      <c r="B648" t="s">
        <v>90</v>
      </c>
      <c r="C648" t="s">
        <v>87</v>
      </c>
      <c r="D648">
        <v>7</v>
      </c>
      <c r="E648">
        <v>12</v>
      </c>
      <c r="F648">
        <v>8</v>
      </c>
      <c r="G648">
        <v>4</v>
      </c>
      <c r="H648">
        <v>4</v>
      </c>
      <c r="I648">
        <v>3</v>
      </c>
      <c r="J648">
        <v>4.5</v>
      </c>
      <c r="K648">
        <v>4</v>
      </c>
      <c r="L648">
        <v>14</v>
      </c>
    </row>
    <row r="649" spans="1:12" hidden="1" x14ac:dyDescent="0.3">
      <c r="A649" s="3">
        <v>45387</v>
      </c>
      <c r="B649" t="s">
        <v>69</v>
      </c>
      <c r="C649" t="s">
        <v>98</v>
      </c>
      <c r="D649">
        <v>2</v>
      </c>
      <c r="E649">
        <v>6</v>
      </c>
      <c r="F649">
        <v>3</v>
      </c>
      <c r="G649">
        <v>0</v>
      </c>
      <c r="H649">
        <v>0</v>
      </c>
      <c r="I649">
        <v>5</v>
      </c>
      <c r="J649">
        <v>4</v>
      </c>
      <c r="K649">
        <v>3</v>
      </c>
      <c r="L649">
        <v>7</v>
      </c>
    </row>
    <row r="650" spans="1:12" hidden="1" x14ac:dyDescent="0.3">
      <c r="A650" s="3">
        <v>45387</v>
      </c>
      <c r="B650" t="s">
        <v>38</v>
      </c>
      <c r="C650" t="s">
        <v>52</v>
      </c>
      <c r="D650">
        <v>11</v>
      </c>
      <c r="E650">
        <v>12</v>
      </c>
      <c r="F650">
        <v>8</v>
      </c>
      <c r="G650">
        <v>9</v>
      </c>
      <c r="H650">
        <v>2</v>
      </c>
      <c r="I650">
        <v>4</v>
      </c>
      <c r="J650">
        <v>3.5</v>
      </c>
      <c r="K650">
        <v>3</v>
      </c>
      <c r="L650">
        <v>14</v>
      </c>
    </row>
    <row r="651" spans="1:12" hidden="1" x14ac:dyDescent="0.3">
      <c r="A651" s="3">
        <v>45387</v>
      </c>
      <c r="B651" t="s">
        <v>69</v>
      </c>
      <c r="C651" t="s">
        <v>98</v>
      </c>
      <c r="D651">
        <v>5</v>
      </c>
      <c r="E651">
        <v>6</v>
      </c>
      <c r="F651">
        <v>0</v>
      </c>
      <c r="G651">
        <v>5</v>
      </c>
      <c r="H651">
        <v>0</v>
      </c>
      <c r="I651">
        <v>6</v>
      </c>
      <c r="J651">
        <v>4</v>
      </c>
      <c r="K651">
        <v>3</v>
      </c>
      <c r="L651">
        <v>7</v>
      </c>
    </row>
    <row r="652" spans="1:12" hidden="1" x14ac:dyDescent="0.3">
      <c r="A652" s="3">
        <v>45387</v>
      </c>
      <c r="B652" t="s">
        <v>10</v>
      </c>
      <c r="C652" t="s">
        <v>18</v>
      </c>
      <c r="D652">
        <v>7</v>
      </c>
      <c r="E652">
        <v>10</v>
      </c>
      <c r="F652">
        <v>10</v>
      </c>
      <c r="G652">
        <v>2</v>
      </c>
      <c r="H652">
        <v>3</v>
      </c>
      <c r="I652">
        <v>2</v>
      </c>
      <c r="J652">
        <v>5.5</v>
      </c>
      <c r="K652">
        <v>4.5</v>
      </c>
      <c r="L652">
        <v>7</v>
      </c>
    </row>
    <row r="653" spans="1:12" hidden="1" x14ac:dyDescent="0.3">
      <c r="A653" s="3">
        <v>45387</v>
      </c>
      <c r="B653" t="s">
        <v>20</v>
      </c>
      <c r="C653" t="s">
        <v>25</v>
      </c>
      <c r="D653">
        <v>2</v>
      </c>
      <c r="E653">
        <v>10</v>
      </c>
      <c r="F653">
        <v>0</v>
      </c>
      <c r="G653">
        <v>7</v>
      </c>
      <c r="H653">
        <v>1</v>
      </c>
      <c r="I653">
        <v>4</v>
      </c>
      <c r="J653">
        <v>4.5</v>
      </c>
      <c r="K653">
        <v>4</v>
      </c>
      <c r="L653">
        <v>10</v>
      </c>
    </row>
    <row r="654" spans="1:12" hidden="1" x14ac:dyDescent="0.3">
      <c r="A654" s="3">
        <v>45387</v>
      </c>
      <c r="B654" t="s">
        <v>58</v>
      </c>
      <c r="C654" t="s">
        <v>76</v>
      </c>
      <c r="D654">
        <v>5</v>
      </c>
      <c r="E654">
        <v>15</v>
      </c>
      <c r="F654">
        <v>8</v>
      </c>
      <c r="G654">
        <v>2</v>
      </c>
      <c r="H654">
        <v>5</v>
      </c>
      <c r="I654">
        <v>5</v>
      </c>
      <c r="J654">
        <v>6</v>
      </c>
      <c r="K654">
        <v>5.5</v>
      </c>
      <c r="L654">
        <v>20</v>
      </c>
    </row>
    <row r="655" spans="1:12" hidden="1" x14ac:dyDescent="0.3">
      <c r="A655" s="3">
        <v>45387</v>
      </c>
      <c r="B655" t="s">
        <v>37</v>
      </c>
      <c r="C655" t="s">
        <v>51</v>
      </c>
      <c r="D655">
        <v>4</v>
      </c>
      <c r="E655">
        <v>12</v>
      </c>
      <c r="F655">
        <v>10</v>
      </c>
      <c r="G655">
        <v>2</v>
      </c>
      <c r="H655">
        <v>0</v>
      </c>
      <c r="I655">
        <v>4</v>
      </c>
      <c r="J655">
        <v>3.5</v>
      </c>
      <c r="K655">
        <v>3</v>
      </c>
      <c r="L655">
        <v>14</v>
      </c>
    </row>
    <row r="656" spans="1:12" hidden="1" x14ac:dyDescent="0.3">
      <c r="A656" s="3">
        <v>45387</v>
      </c>
      <c r="B656" t="s">
        <v>35</v>
      </c>
      <c r="C656" t="s">
        <v>31</v>
      </c>
      <c r="D656">
        <v>1</v>
      </c>
      <c r="E656">
        <v>8</v>
      </c>
      <c r="F656">
        <v>4</v>
      </c>
      <c r="G656">
        <v>0</v>
      </c>
      <c r="H656">
        <v>3</v>
      </c>
      <c r="I656">
        <v>2</v>
      </c>
      <c r="J656">
        <v>3.5</v>
      </c>
      <c r="K656">
        <v>3</v>
      </c>
      <c r="L656">
        <v>14</v>
      </c>
    </row>
    <row r="657" spans="1:12" hidden="1" x14ac:dyDescent="0.3">
      <c r="A657" s="3">
        <v>45388</v>
      </c>
      <c r="B657" t="s">
        <v>59</v>
      </c>
      <c r="C657" t="s">
        <v>93</v>
      </c>
      <c r="D657">
        <v>1</v>
      </c>
      <c r="E657">
        <v>10</v>
      </c>
      <c r="F657">
        <v>0</v>
      </c>
      <c r="G657">
        <v>1</v>
      </c>
      <c r="H657">
        <v>1</v>
      </c>
      <c r="I657">
        <v>9</v>
      </c>
      <c r="J657">
        <v>4</v>
      </c>
      <c r="K657">
        <v>3.5</v>
      </c>
      <c r="L657">
        <v>10</v>
      </c>
    </row>
    <row r="658" spans="1:12" hidden="1" x14ac:dyDescent="0.3">
      <c r="A658" s="3">
        <v>45388</v>
      </c>
      <c r="B658" t="s">
        <v>63</v>
      </c>
      <c r="C658" t="s">
        <v>97</v>
      </c>
      <c r="D658">
        <v>2</v>
      </c>
      <c r="E658">
        <v>10</v>
      </c>
      <c r="F658">
        <v>2</v>
      </c>
      <c r="G658">
        <v>1</v>
      </c>
      <c r="H658">
        <v>4</v>
      </c>
      <c r="I658">
        <v>5</v>
      </c>
      <c r="J658">
        <v>4</v>
      </c>
      <c r="K658">
        <v>3.5</v>
      </c>
      <c r="L658">
        <v>10</v>
      </c>
    </row>
    <row r="659" spans="1:12" hidden="1" x14ac:dyDescent="0.3">
      <c r="A659" s="3">
        <v>45388</v>
      </c>
      <c r="B659" t="s">
        <v>90</v>
      </c>
      <c r="C659" t="s">
        <v>87</v>
      </c>
      <c r="D659">
        <v>3</v>
      </c>
      <c r="E659">
        <v>12</v>
      </c>
      <c r="F659">
        <v>2</v>
      </c>
      <c r="G659">
        <v>0</v>
      </c>
      <c r="H659">
        <v>8</v>
      </c>
      <c r="I659">
        <v>5</v>
      </c>
      <c r="J659">
        <v>4.5</v>
      </c>
      <c r="K659">
        <v>4</v>
      </c>
      <c r="L659">
        <v>14</v>
      </c>
    </row>
    <row r="660" spans="1:12" hidden="1" x14ac:dyDescent="0.3">
      <c r="A660" s="3">
        <v>45388</v>
      </c>
      <c r="B660" t="s">
        <v>81</v>
      </c>
      <c r="C660" t="s">
        <v>50</v>
      </c>
      <c r="D660">
        <v>5</v>
      </c>
      <c r="E660">
        <v>8</v>
      </c>
      <c r="F660">
        <v>4</v>
      </c>
      <c r="G660">
        <v>3</v>
      </c>
      <c r="H660">
        <v>4</v>
      </c>
      <c r="I660">
        <v>2</v>
      </c>
      <c r="J660">
        <v>2.5</v>
      </c>
      <c r="K660">
        <v>2</v>
      </c>
      <c r="L660">
        <v>5</v>
      </c>
    </row>
    <row r="661" spans="1:12" hidden="1" x14ac:dyDescent="0.3">
      <c r="A661" s="3">
        <v>45389</v>
      </c>
      <c r="B661" t="s">
        <v>23</v>
      </c>
      <c r="C661" t="s">
        <v>28</v>
      </c>
      <c r="D661">
        <v>6</v>
      </c>
      <c r="E661">
        <v>9</v>
      </c>
      <c r="F661">
        <v>8</v>
      </c>
      <c r="G661">
        <v>0</v>
      </c>
      <c r="H661">
        <v>1</v>
      </c>
      <c r="I661">
        <v>6</v>
      </c>
      <c r="J661">
        <v>6.5</v>
      </c>
      <c r="K661">
        <v>5.5</v>
      </c>
      <c r="L661">
        <v>9</v>
      </c>
    </row>
    <row r="662" spans="1:12" hidden="1" x14ac:dyDescent="0.3">
      <c r="A662" s="3">
        <v>45389</v>
      </c>
      <c r="B662" t="s">
        <v>72</v>
      </c>
      <c r="C662" t="s">
        <v>48</v>
      </c>
      <c r="D662">
        <v>2</v>
      </c>
      <c r="E662">
        <v>6</v>
      </c>
      <c r="F662">
        <v>3</v>
      </c>
      <c r="G662">
        <v>0</v>
      </c>
      <c r="H662">
        <v>0</v>
      </c>
      <c r="I662">
        <v>5</v>
      </c>
      <c r="J662">
        <v>4</v>
      </c>
      <c r="K662">
        <v>3</v>
      </c>
      <c r="L662">
        <v>7</v>
      </c>
    </row>
    <row r="663" spans="1:12" hidden="1" x14ac:dyDescent="0.3">
      <c r="A663" s="3">
        <v>45389</v>
      </c>
      <c r="B663" t="s">
        <v>59</v>
      </c>
      <c r="C663" t="s">
        <v>93</v>
      </c>
      <c r="D663">
        <v>9</v>
      </c>
      <c r="E663">
        <v>10</v>
      </c>
      <c r="F663">
        <v>2</v>
      </c>
      <c r="G663">
        <v>8</v>
      </c>
      <c r="H663">
        <v>1</v>
      </c>
      <c r="I663">
        <v>8</v>
      </c>
      <c r="J663">
        <v>4</v>
      </c>
      <c r="K663">
        <v>3.5</v>
      </c>
      <c r="L663">
        <v>10</v>
      </c>
    </row>
    <row r="664" spans="1:12" hidden="1" x14ac:dyDescent="0.3">
      <c r="A664" s="3">
        <v>45389</v>
      </c>
      <c r="B664" t="s">
        <v>81</v>
      </c>
      <c r="C664" t="s">
        <v>50</v>
      </c>
      <c r="D664">
        <v>2</v>
      </c>
      <c r="E664">
        <v>8</v>
      </c>
      <c r="F664">
        <v>0</v>
      </c>
      <c r="G664">
        <v>3</v>
      </c>
      <c r="H664">
        <v>4</v>
      </c>
      <c r="I664">
        <v>3</v>
      </c>
      <c r="J664">
        <v>2.5</v>
      </c>
      <c r="K664">
        <v>2</v>
      </c>
      <c r="L664">
        <v>5</v>
      </c>
    </row>
    <row r="665" spans="1:12" hidden="1" x14ac:dyDescent="0.3">
      <c r="A665" s="3">
        <v>45389</v>
      </c>
      <c r="B665" t="s">
        <v>68</v>
      </c>
      <c r="C665" t="s">
        <v>43</v>
      </c>
      <c r="D665">
        <v>5</v>
      </c>
      <c r="E665">
        <v>15</v>
      </c>
      <c r="F665">
        <v>9</v>
      </c>
      <c r="G665">
        <v>1</v>
      </c>
      <c r="H665">
        <v>1</v>
      </c>
      <c r="I665">
        <v>9</v>
      </c>
      <c r="J665">
        <v>4</v>
      </c>
      <c r="K665">
        <v>3</v>
      </c>
      <c r="L665">
        <v>14</v>
      </c>
    </row>
    <row r="666" spans="1:12" hidden="1" x14ac:dyDescent="0.3">
      <c r="A666" s="3">
        <v>45389</v>
      </c>
      <c r="B666" t="s">
        <v>89</v>
      </c>
      <c r="C666" t="s">
        <v>103</v>
      </c>
      <c r="D666">
        <v>10</v>
      </c>
      <c r="E666">
        <v>8</v>
      </c>
      <c r="F666">
        <v>11</v>
      </c>
      <c r="G666">
        <v>4</v>
      </c>
      <c r="H666">
        <v>0</v>
      </c>
      <c r="I666">
        <v>3</v>
      </c>
      <c r="J666">
        <v>3.5</v>
      </c>
      <c r="K666">
        <v>3</v>
      </c>
      <c r="L666">
        <v>8</v>
      </c>
    </row>
    <row r="667" spans="1:12" hidden="1" x14ac:dyDescent="0.3">
      <c r="A667" s="3">
        <v>45390</v>
      </c>
      <c r="B667" t="s">
        <v>16</v>
      </c>
      <c r="C667" t="s">
        <v>77</v>
      </c>
      <c r="D667">
        <v>4</v>
      </c>
      <c r="E667">
        <v>10</v>
      </c>
      <c r="F667">
        <v>3</v>
      </c>
      <c r="G667">
        <v>2</v>
      </c>
      <c r="H667">
        <v>2</v>
      </c>
      <c r="I667">
        <v>7</v>
      </c>
      <c r="J667">
        <v>5.5</v>
      </c>
      <c r="K667">
        <v>4.5</v>
      </c>
      <c r="L667">
        <v>7</v>
      </c>
    </row>
    <row r="668" spans="1:12" hidden="1" x14ac:dyDescent="0.3">
      <c r="A668" s="3">
        <v>45390</v>
      </c>
      <c r="B668" t="s">
        <v>69</v>
      </c>
      <c r="C668" t="s">
        <v>98</v>
      </c>
      <c r="D668">
        <v>6</v>
      </c>
      <c r="E668">
        <v>6</v>
      </c>
      <c r="F668">
        <v>2</v>
      </c>
      <c r="G668">
        <v>5</v>
      </c>
      <c r="H668">
        <v>3</v>
      </c>
      <c r="I668">
        <v>2</v>
      </c>
      <c r="J668">
        <v>4</v>
      </c>
      <c r="K668">
        <v>3</v>
      </c>
      <c r="L668">
        <v>7</v>
      </c>
    </row>
    <row r="669" spans="1:12" hidden="1" x14ac:dyDescent="0.3">
      <c r="A669" s="3">
        <v>45390</v>
      </c>
      <c r="B669" t="s">
        <v>20</v>
      </c>
      <c r="C669" t="s">
        <v>25</v>
      </c>
      <c r="D669">
        <v>4</v>
      </c>
      <c r="E669">
        <v>10</v>
      </c>
      <c r="F669">
        <v>3</v>
      </c>
      <c r="G669">
        <v>5</v>
      </c>
      <c r="H669">
        <v>2</v>
      </c>
      <c r="I669">
        <v>4</v>
      </c>
      <c r="J669">
        <v>4.5</v>
      </c>
      <c r="K669">
        <v>4</v>
      </c>
      <c r="L669">
        <v>10</v>
      </c>
    </row>
    <row r="670" spans="1:12" hidden="1" x14ac:dyDescent="0.3">
      <c r="A670" s="3">
        <v>45390</v>
      </c>
      <c r="B670" t="s">
        <v>36</v>
      </c>
      <c r="C670" t="s">
        <v>33</v>
      </c>
      <c r="D670">
        <v>4</v>
      </c>
      <c r="E670">
        <v>12</v>
      </c>
      <c r="F670">
        <v>5</v>
      </c>
      <c r="G670">
        <v>6</v>
      </c>
      <c r="H670">
        <v>0</v>
      </c>
      <c r="I670">
        <v>5</v>
      </c>
      <c r="J670">
        <v>3.5</v>
      </c>
      <c r="K670">
        <v>3</v>
      </c>
      <c r="L670">
        <v>14</v>
      </c>
    </row>
    <row r="671" spans="1:12" hidden="1" x14ac:dyDescent="0.3">
      <c r="A671" s="3">
        <v>45391</v>
      </c>
      <c r="B671" t="s">
        <v>83</v>
      </c>
      <c r="C671" t="s">
        <v>100</v>
      </c>
      <c r="D671">
        <v>6</v>
      </c>
      <c r="E671">
        <v>10</v>
      </c>
      <c r="F671">
        <v>5</v>
      </c>
      <c r="G671">
        <v>0</v>
      </c>
      <c r="H671">
        <v>5</v>
      </c>
      <c r="I671">
        <v>6</v>
      </c>
      <c r="J671">
        <v>4.5</v>
      </c>
      <c r="K671">
        <v>4</v>
      </c>
      <c r="L671">
        <v>10</v>
      </c>
    </row>
    <row r="672" spans="1:12" hidden="1" x14ac:dyDescent="0.3">
      <c r="A672" s="3">
        <v>45391</v>
      </c>
      <c r="B672" t="s">
        <v>66</v>
      </c>
      <c r="C672" t="s">
        <v>45</v>
      </c>
      <c r="D672">
        <v>2</v>
      </c>
      <c r="E672">
        <v>8</v>
      </c>
      <c r="F672">
        <v>1</v>
      </c>
      <c r="G672">
        <v>1</v>
      </c>
      <c r="H672">
        <v>5</v>
      </c>
      <c r="I672">
        <v>3</v>
      </c>
      <c r="J672">
        <v>3.5</v>
      </c>
      <c r="K672">
        <v>3</v>
      </c>
      <c r="L672">
        <v>8</v>
      </c>
    </row>
    <row r="673" spans="1:12" hidden="1" x14ac:dyDescent="0.3">
      <c r="A673" s="3">
        <v>45391</v>
      </c>
      <c r="B673" t="s">
        <v>71</v>
      </c>
      <c r="C673" t="s">
        <v>47</v>
      </c>
      <c r="D673">
        <v>3</v>
      </c>
      <c r="E673">
        <v>6</v>
      </c>
      <c r="F673">
        <v>5</v>
      </c>
      <c r="G673">
        <v>0</v>
      </c>
      <c r="H673">
        <v>0</v>
      </c>
      <c r="I673">
        <v>4</v>
      </c>
      <c r="J673">
        <v>4</v>
      </c>
      <c r="K673">
        <v>3</v>
      </c>
      <c r="L673">
        <v>7</v>
      </c>
    </row>
    <row r="674" spans="1:12" hidden="1" x14ac:dyDescent="0.3">
      <c r="A674" s="3">
        <v>45391</v>
      </c>
      <c r="B674" t="s">
        <v>78</v>
      </c>
      <c r="C674" t="s">
        <v>74</v>
      </c>
      <c r="D674">
        <v>1</v>
      </c>
      <c r="E674">
        <v>6</v>
      </c>
      <c r="F674">
        <v>1</v>
      </c>
      <c r="G674">
        <v>1</v>
      </c>
      <c r="H674">
        <v>3</v>
      </c>
      <c r="I674">
        <v>2</v>
      </c>
      <c r="J674">
        <v>4</v>
      </c>
      <c r="K674">
        <v>3</v>
      </c>
      <c r="L674">
        <v>7</v>
      </c>
    </row>
    <row r="675" spans="1:12" hidden="1" x14ac:dyDescent="0.3">
      <c r="A675" s="3">
        <v>45391</v>
      </c>
      <c r="B675" t="s">
        <v>22</v>
      </c>
      <c r="C675" t="s">
        <v>26</v>
      </c>
      <c r="D675">
        <v>4</v>
      </c>
      <c r="E675">
        <v>12</v>
      </c>
      <c r="F675">
        <v>0</v>
      </c>
      <c r="G675">
        <v>0</v>
      </c>
      <c r="H675">
        <v>3</v>
      </c>
      <c r="I675">
        <v>13</v>
      </c>
      <c r="J675">
        <v>3.5</v>
      </c>
      <c r="K675">
        <v>3</v>
      </c>
      <c r="L675">
        <v>14</v>
      </c>
    </row>
    <row r="676" spans="1:12" hidden="1" x14ac:dyDescent="0.3">
      <c r="A676" s="3">
        <v>45391</v>
      </c>
      <c r="B676" t="s">
        <v>84</v>
      </c>
      <c r="C676" t="s">
        <v>101</v>
      </c>
      <c r="D676">
        <v>3</v>
      </c>
      <c r="E676">
        <v>8</v>
      </c>
      <c r="F676">
        <v>6</v>
      </c>
      <c r="G676">
        <v>1</v>
      </c>
      <c r="H676">
        <v>2</v>
      </c>
      <c r="I676">
        <v>2</v>
      </c>
      <c r="J676">
        <v>3.5</v>
      </c>
      <c r="K676">
        <v>3</v>
      </c>
      <c r="L676">
        <v>8</v>
      </c>
    </row>
    <row r="677" spans="1:12" hidden="1" x14ac:dyDescent="0.3">
      <c r="A677" s="3">
        <v>45391</v>
      </c>
      <c r="B677" t="s">
        <v>58</v>
      </c>
      <c r="C677" t="s">
        <v>76</v>
      </c>
      <c r="D677">
        <v>5</v>
      </c>
      <c r="E677">
        <v>15</v>
      </c>
      <c r="F677">
        <v>5</v>
      </c>
      <c r="G677">
        <v>7</v>
      </c>
      <c r="H677">
        <v>3</v>
      </c>
      <c r="I677">
        <v>5</v>
      </c>
      <c r="J677">
        <v>6</v>
      </c>
      <c r="K677">
        <v>5.5</v>
      </c>
      <c r="L677">
        <v>20</v>
      </c>
    </row>
    <row r="678" spans="1:12" hidden="1" x14ac:dyDescent="0.3">
      <c r="A678" s="3">
        <v>45392</v>
      </c>
      <c r="B678" t="s">
        <v>36</v>
      </c>
      <c r="C678" t="s">
        <v>33</v>
      </c>
      <c r="D678">
        <v>5</v>
      </c>
      <c r="E678">
        <v>12</v>
      </c>
      <c r="F678">
        <v>10</v>
      </c>
      <c r="G678">
        <v>4</v>
      </c>
      <c r="H678">
        <v>2</v>
      </c>
      <c r="I678">
        <v>1</v>
      </c>
      <c r="J678">
        <v>3.5</v>
      </c>
      <c r="K678">
        <v>3</v>
      </c>
      <c r="L678">
        <v>14</v>
      </c>
    </row>
    <row r="679" spans="1:12" hidden="1" x14ac:dyDescent="0.3">
      <c r="A679" s="3">
        <v>45392</v>
      </c>
      <c r="B679" t="s">
        <v>78</v>
      </c>
      <c r="C679" t="s">
        <v>74</v>
      </c>
      <c r="D679">
        <v>2</v>
      </c>
      <c r="E679">
        <v>6</v>
      </c>
      <c r="F679">
        <v>0</v>
      </c>
      <c r="G679">
        <v>5</v>
      </c>
      <c r="H679">
        <v>1</v>
      </c>
      <c r="I679">
        <v>2</v>
      </c>
      <c r="J679">
        <v>4</v>
      </c>
      <c r="K679">
        <v>3</v>
      </c>
      <c r="L679">
        <v>7</v>
      </c>
    </row>
    <row r="680" spans="1:12" hidden="1" x14ac:dyDescent="0.3">
      <c r="A680" s="3">
        <v>45392</v>
      </c>
      <c r="B680" t="s">
        <v>70</v>
      </c>
      <c r="C680" t="s">
        <v>99</v>
      </c>
      <c r="D680">
        <v>1</v>
      </c>
      <c r="E680">
        <v>6</v>
      </c>
      <c r="F680">
        <v>3</v>
      </c>
      <c r="G680">
        <v>1</v>
      </c>
      <c r="H680">
        <v>2</v>
      </c>
      <c r="I680">
        <v>1</v>
      </c>
      <c r="J680">
        <v>4</v>
      </c>
      <c r="K680">
        <v>3</v>
      </c>
      <c r="L680">
        <v>7</v>
      </c>
    </row>
    <row r="681" spans="1:12" x14ac:dyDescent="0.3">
      <c r="A681" s="3">
        <v>45392</v>
      </c>
      <c r="B681" t="s">
        <v>34</v>
      </c>
      <c r="C681" t="s">
        <v>30</v>
      </c>
      <c r="D681">
        <v>6</v>
      </c>
      <c r="E681">
        <v>6</v>
      </c>
      <c r="F681">
        <v>6</v>
      </c>
      <c r="G681">
        <v>4</v>
      </c>
      <c r="H681">
        <v>0</v>
      </c>
      <c r="I681">
        <v>2</v>
      </c>
      <c r="J681">
        <v>3.5</v>
      </c>
      <c r="K681">
        <v>3</v>
      </c>
      <c r="L681">
        <v>10</v>
      </c>
    </row>
    <row r="682" spans="1:12" hidden="1" x14ac:dyDescent="0.3">
      <c r="A682" s="3">
        <v>45392</v>
      </c>
      <c r="B682" t="s">
        <v>84</v>
      </c>
      <c r="C682" t="s">
        <v>101</v>
      </c>
      <c r="D682">
        <v>2</v>
      </c>
      <c r="E682">
        <v>8</v>
      </c>
      <c r="F682">
        <v>4</v>
      </c>
      <c r="G682">
        <v>2</v>
      </c>
      <c r="H682">
        <v>2</v>
      </c>
      <c r="I682">
        <v>2</v>
      </c>
      <c r="J682">
        <v>3.5</v>
      </c>
      <c r="K682">
        <v>3</v>
      </c>
      <c r="L682">
        <v>8</v>
      </c>
    </row>
    <row r="683" spans="1:12" hidden="1" x14ac:dyDescent="0.3">
      <c r="A683" s="3">
        <v>45393</v>
      </c>
      <c r="B683" t="s">
        <v>21</v>
      </c>
      <c r="C683" t="s">
        <v>27</v>
      </c>
      <c r="D683">
        <v>7</v>
      </c>
      <c r="E683">
        <v>8</v>
      </c>
      <c r="F683">
        <v>2</v>
      </c>
      <c r="G683">
        <v>8</v>
      </c>
      <c r="H683">
        <v>3</v>
      </c>
      <c r="I683">
        <v>2</v>
      </c>
      <c r="J683">
        <v>4</v>
      </c>
      <c r="K683">
        <v>3</v>
      </c>
      <c r="L683">
        <v>14</v>
      </c>
    </row>
    <row r="684" spans="1:12" hidden="1" x14ac:dyDescent="0.3">
      <c r="A684" s="3">
        <v>45393</v>
      </c>
      <c r="B684" t="s">
        <v>38</v>
      </c>
      <c r="C684" t="s">
        <v>52</v>
      </c>
      <c r="D684">
        <v>4</v>
      </c>
      <c r="E684">
        <v>12</v>
      </c>
      <c r="F684">
        <v>3</v>
      </c>
      <c r="G684">
        <v>4</v>
      </c>
      <c r="H684">
        <v>2</v>
      </c>
      <c r="I684">
        <v>7</v>
      </c>
      <c r="J684">
        <v>3.5</v>
      </c>
      <c r="K684">
        <v>3</v>
      </c>
      <c r="L684">
        <v>14</v>
      </c>
    </row>
    <row r="685" spans="1:12" hidden="1" x14ac:dyDescent="0.3">
      <c r="A685" s="3">
        <v>45393</v>
      </c>
      <c r="B685" t="s">
        <v>10</v>
      </c>
      <c r="C685" t="s">
        <v>18</v>
      </c>
      <c r="D685">
        <v>2</v>
      </c>
      <c r="E685">
        <v>10</v>
      </c>
      <c r="F685">
        <v>7</v>
      </c>
      <c r="G685">
        <v>3</v>
      </c>
      <c r="H685">
        <v>1</v>
      </c>
      <c r="I685">
        <v>1</v>
      </c>
      <c r="J685">
        <v>5.5</v>
      </c>
      <c r="K685">
        <v>4.5</v>
      </c>
      <c r="L685">
        <v>7</v>
      </c>
    </row>
    <row r="686" spans="1:12" hidden="1" x14ac:dyDescent="0.3">
      <c r="A686" s="3">
        <v>45393</v>
      </c>
      <c r="B686" t="s">
        <v>21</v>
      </c>
      <c r="C686" t="s">
        <v>27</v>
      </c>
      <c r="D686">
        <v>2</v>
      </c>
      <c r="E686">
        <v>8</v>
      </c>
      <c r="F686">
        <v>4</v>
      </c>
      <c r="G686">
        <v>3</v>
      </c>
      <c r="H686">
        <v>0</v>
      </c>
      <c r="I686">
        <v>3</v>
      </c>
      <c r="J686">
        <v>4</v>
      </c>
      <c r="K686">
        <v>3</v>
      </c>
      <c r="L686">
        <v>14</v>
      </c>
    </row>
    <row r="687" spans="1:12" hidden="1" x14ac:dyDescent="0.3">
      <c r="A687" s="3">
        <v>45394</v>
      </c>
      <c r="B687" t="s">
        <v>24</v>
      </c>
      <c r="C687" t="s">
        <v>29</v>
      </c>
      <c r="D687">
        <v>4</v>
      </c>
      <c r="E687">
        <v>8</v>
      </c>
      <c r="F687">
        <v>0</v>
      </c>
      <c r="G687">
        <v>3</v>
      </c>
      <c r="H687">
        <v>5</v>
      </c>
      <c r="I687">
        <v>4</v>
      </c>
      <c r="J687">
        <v>7.5</v>
      </c>
      <c r="K687">
        <v>5.5</v>
      </c>
      <c r="L687">
        <v>7</v>
      </c>
    </row>
    <row r="688" spans="1:12" hidden="1" x14ac:dyDescent="0.3">
      <c r="A688" s="3">
        <v>45394</v>
      </c>
      <c r="B688" t="s">
        <v>64</v>
      </c>
      <c r="C688" t="s">
        <v>42</v>
      </c>
      <c r="D688">
        <v>7</v>
      </c>
      <c r="E688">
        <v>8</v>
      </c>
      <c r="F688">
        <v>6</v>
      </c>
      <c r="G688">
        <v>1</v>
      </c>
      <c r="H688">
        <v>4</v>
      </c>
      <c r="I688">
        <v>4</v>
      </c>
      <c r="J688">
        <v>3.5</v>
      </c>
      <c r="K688">
        <v>3</v>
      </c>
      <c r="L688">
        <v>8</v>
      </c>
    </row>
    <row r="689" spans="1:12" hidden="1" x14ac:dyDescent="0.3">
      <c r="A689" s="3">
        <v>45394</v>
      </c>
      <c r="B689" t="s">
        <v>24</v>
      </c>
      <c r="C689" t="s">
        <v>29</v>
      </c>
      <c r="D689">
        <v>4</v>
      </c>
      <c r="E689">
        <v>8</v>
      </c>
      <c r="F689">
        <v>6</v>
      </c>
      <c r="G689">
        <v>3</v>
      </c>
      <c r="H689">
        <v>1</v>
      </c>
      <c r="I689">
        <v>2</v>
      </c>
      <c r="J689">
        <v>7.5</v>
      </c>
      <c r="K689">
        <v>5.5</v>
      </c>
      <c r="L689">
        <v>7</v>
      </c>
    </row>
    <row r="690" spans="1:12" hidden="1" x14ac:dyDescent="0.3">
      <c r="A690" s="3">
        <v>45394</v>
      </c>
      <c r="B690" t="s">
        <v>22</v>
      </c>
      <c r="C690" t="s">
        <v>26</v>
      </c>
      <c r="D690">
        <v>13</v>
      </c>
      <c r="E690">
        <v>12</v>
      </c>
      <c r="F690">
        <v>7</v>
      </c>
      <c r="G690">
        <v>0</v>
      </c>
      <c r="H690">
        <v>5</v>
      </c>
      <c r="I690">
        <v>13</v>
      </c>
      <c r="J690">
        <v>3.5</v>
      </c>
      <c r="K690">
        <v>3</v>
      </c>
      <c r="L690">
        <v>14</v>
      </c>
    </row>
    <row r="691" spans="1:12" hidden="1" x14ac:dyDescent="0.3">
      <c r="A691" s="3">
        <v>45394</v>
      </c>
      <c r="B691" t="s">
        <v>78</v>
      </c>
      <c r="C691" t="s">
        <v>74</v>
      </c>
      <c r="D691">
        <v>2</v>
      </c>
      <c r="E691">
        <v>6</v>
      </c>
      <c r="F691">
        <v>2</v>
      </c>
      <c r="G691">
        <v>0</v>
      </c>
      <c r="H691">
        <v>4</v>
      </c>
      <c r="I691">
        <v>2</v>
      </c>
      <c r="J691">
        <v>4</v>
      </c>
      <c r="K691">
        <v>3</v>
      </c>
      <c r="L691">
        <v>7</v>
      </c>
    </row>
    <row r="692" spans="1:12" hidden="1" x14ac:dyDescent="0.3">
      <c r="A692" s="3">
        <v>45394</v>
      </c>
      <c r="B692" t="s">
        <v>41</v>
      </c>
      <c r="C692" t="s">
        <v>86</v>
      </c>
      <c r="D692">
        <v>5</v>
      </c>
      <c r="E692">
        <v>15</v>
      </c>
      <c r="F692">
        <v>0</v>
      </c>
      <c r="G692">
        <v>10</v>
      </c>
      <c r="H692">
        <v>5</v>
      </c>
      <c r="I692">
        <v>5</v>
      </c>
      <c r="J692">
        <v>3</v>
      </c>
      <c r="K692">
        <v>2.5</v>
      </c>
      <c r="L692">
        <v>14</v>
      </c>
    </row>
    <row r="693" spans="1:12" hidden="1" x14ac:dyDescent="0.3">
      <c r="A693" s="3">
        <v>45394</v>
      </c>
      <c r="B693" t="s">
        <v>55</v>
      </c>
      <c r="C693" t="s">
        <v>53</v>
      </c>
      <c r="D693">
        <v>2</v>
      </c>
      <c r="E693">
        <v>4</v>
      </c>
      <c r="F693">
        <v>0</v>
      </c>
      <c r="G693">
        <v>0</v>
      </c>
      <c r="H693">
        <v>2</v>
      </c>
      <c r="I693">
        <v>4</v>
      </c>
      <c r="J693">
        <v>8.5</v>
      </c>
      <c r="K693">
        <v>6</v>
      </c>
      <c r="L693">
        <v>7</v>
      </c>
    </row>
    <row r="694" spans="1:12" hidden="1" x14ac:dyDescent="0.3">
      <c r="A694" s="3">
        <v>45394</v>
      </c>
      <c r="B694" t="s">
        <v>79</v>
      </c>
      <c r="C694" t="s">
        <v>104</v>
      </c>
      <c r="D694">
        <v>3</v>
      </c>
      <c r="E694">
        <v>8</v>
      </c>
      <c r="F694">
        <v>7</v>
      </c>
      <c r="G694">
        <v>2</v>
      </c>
      <c r="H694">
        <v>0</v>
      </c>
      <c r="I694">
        <v>2</v>
      </c>
      <c r="J694">
        <v>2.5</v>
      </c>
      <c r="K694">
        <v>2</v>
      </c>
      <c r="L694">
        <v>5</v>
      </c>
    </row>
    <row r="695" spans="1:12" hidden="1" x14ac:dyDescent="0.3">
      <c r="A695" s="3">
        <v>45394</v>
      </c>
      <c r="B695" t="s">
        <v>38</v>
      </c>
      <c r="C695" t="s">
        <v>52</v>
      </c>
      <c r="D695">
        <v>7</v>
      </c>
      <c r="E695">
        <v>12</v>
      </c>
      <c r="F695">
        <v>2</v>
      </c>
      <c r="G695">
        <v>3</v>
      </c>
      <c r="H695">
        <v>8</v>
      </c>
      <c r="I695">
        <v>6</v>
      </c>
      <c r="J695">
        <v>3.5</v>
      </c>
      <c r="K695">
        <v>3</v>
      </c>
      <c r="L695">
        <v>14</v>
      </c>
    </row>
    <row r="696" spans="1:12" hidden="1" x14ac:dyDescent="0.3">
      <c r="A696" s="3">
        <v>45395</v>
      </c>
      <c r="B696" t="s">
        <v>89</v>
      </c>
      <c r="C696" t="s">
        <v>103</v>
      </c>
      <c r="D696">
        <v>3</v>
      </c>
      <c r="E696">
        <v>8</v>
      </c>
      <c r="F696">
        <v>2</v>
      </c>
      <c r="G696">
        <v>1</v>
      </c>
      <c r="H696">
        <v>3</v>
      </c>
      <c r="I696">
        <v>5</v>
      </c>
      <c r="J696">
        <v>3.5</v>
      </c>
      <c r="K696">
        <v>3</v>
      </c>
      <c r="L696">
        <v>8</v>
      </c>
    </row>
    <row r="697" spans="1:12" hidden="1" x14ac:dyDescent="0.3">
      <c r="A697" s="3">
        <v>45395</v>
      </c>
      <c r="B697" t="s">
        <v>71</v>
      </c>
      <c r="C697" t="s">
        <v>47</v>
      </c>
      <c r="D697">
        <v>4</v>
      </c>
      <c r="E697">
        <v>6</v>
      </c>
      <c r="F697">
        <v>4</v>
      </c>
      <c r="G697">
        <v>4</v>
      </c>
      <c r="H697">
        <v>1</v>
      </c>
      <c r="I697">
        <v>1</v>
      </c>
      <c r="J697">
        <v>4</v>
      </c>
      <c r="K697">
        <v>3</v>
      </c>
      <c r="L697">
        <v>7</v>
      </c>
    </row>
    <row r="698" spans="1:12" hidden="1" x14ac:dyDescent="0.3">
      <c r="A698" s="3">
        <v>45395</v>
      </c>
      <c r="B698" t="s">
        <v>59</v>
      </c>
      <c r="C698" t="s">
        <v>93</v>
      </c>
      <c r="D698">
        <v>8</v>
      </c>
      <c r="E698">
        <v>10</v>
      </c>
      <c r="F698">
        <v>2</v>
      </c>
      <c r="G698">
        <v>10</v>
      </c>
      <c r="H698">
        <v>2</v>
      </c>
      <c r="I698">
        <v>4</v>
      </c>
      <c r="J698">
        <v>4</v>
      </c>
      <c r="K698">
        <v>3.5</v>
      </c>
      <c r="L698">
        <v>10</v>
      </c>
    </row>
    <row r="699" spans="1:12" hidden="1" x14ac:dyDescent="0.3">
      <c r="A699" s="3">
        <v>45395</v>
      </c>
      <c r="B699" t="s">
        <v>39</v>
      </c>
      <c r="C699" t="s">
        <v>32</v>
      </c>
      <c r="D699">
        <v>5</v>
      </c>
      <c r="E699">
        <v>12</v>
      </c>
      <c r="F699">
        <v>7</v>
      </c>
      <c r="G699">
        <v>5</v>
      </c>
      <c r="H699">
        <v>0</v>
      </c>
      <c r="I699">
        <v>5</v>
      </c>
      <c r="J699">
        <v>3.5</v>
      </c>
      <c r="K699">
        <v>3</v>
      </c>
      <c r="L699">
        <v>14</v>
      </c>
    </row>
    <row r="700" spans="1:12" x14ac:dyDescent="0.3">
      <c r="A700" s="3">
        <v>45395</v>
      </c>
      <c r="B700" t="s">
        <v>34</v>
      </c>
      <c r="C700" t="s">
        <v>30</v>
      </c>
      <c r="D700">
        <v>2</v>
      </c>
      <c r="E700">
        <v>6</v>
      </c>
      <c r="F700">
        <v>1</v>
      </c>
      <c r="G700">
        <v>3</v>
      </c>
      <c r="H700">
        <v>2</v>
      </c>
      <c r="I700">
        <v>2</v>
      </c>
      <c r="J700">
        <v>3.5</v>
      </c>
      <c r="K700">
        <v>3</v>
      </c>
      <c r="L700">
        <v>10</v>
      </c>
    </row>
    <row r="701" spans="1:12" hidden="1" x14ac:dyDescent="0.3">
      <c r="A701" s="3">
        <v>45395</v>
      </c>
      <c r="B701" t="s">
        <v>63</v>
      </c>
      <c r="C701" t="s">
        <v>97</v>
      </c>
      <c r="D701">
        <v>5</v>
      </c>
      <c r="E701">
        <v>10</v>
      </c>
      <c r="F701">
        <v>6</v>
      </c>
      <c r="G701">
        <v>2</v>
      </c>
      <c r="H701">
        <v>4</v>
      </c>
      <c r="I701">
        <v>3</v>
      </c>
      <c r="J701">
        <v>4</v>
      </c>
      <c r="K701">
        <v>3.5</v>
      </c>
      <c r="L701">
        <v>10</v>
      </c>
    </row>
    <row r="702" spans="1:12" x14ac:dyDescent="0.3">
      <c r="A702" s="3">
        <v>45395</v>
      </c>
      <c r="B702" t="s">
        <v>34</v>
      </c>
      <c r="C702" t="s">
        <v>30</v>
      </c>
      <c r="D702">
        <v>2</v>
      </c>
      <c r="E702">
        <v>6</v>
      </c>
      <c r="F702">
        <v>0</v>
      </c>
      <c r="G702">
        <v>1</v>
      </c>
      <c r="H702">
        <v>3</v>
      </c>
      <c r="I702">
        <v>4</v>
      </c>
      <c r="J702">
        <v>3.5</v>
      </c>
      <c r="K702">
        <v>3</v>
      </c>
      <c r="L702">
        <v>10</v>
      </c>
    </row>
    <row r="703" spans="1:12" hidden="1" x14ac:dyDescent="0.3">
      <c r="A703" s="3">
        <v>45396</v>
      </c>
      <c r="B703" t="s">
        <v>59</v>
      </c>
      <c r="C703" t="s">
        <v>93</v>
      </c>
      <c r="D703">
        <v>4</v>
      </c>
      <c r="E703">
        <v>10</v>
      </c>
      <c r="F703">
        <v>5</v>
      </c>
      <c r="G703">
        <v>0</v>
      </c>
      <c r="H703">
        <v>5</v>
      </c>
      <c r="I703">
        <v>4</v>
      </c>
      <c r="J703">
        <v>4</v>
      </c>
      <c r="K703">
        <v>3.5</v>
      </c>
      <c r="L703">
        <v>10</v>
      </c>
    </row>
    <row r="704" spans="1:12" hidden="1" x14ac:dyDescent="0.3">
      <c r="A704" s="3">
        <v>45396</v>
      </c>
      <c r="B704" t="s">
        <v>71</v>
      </c>
      <c r="C704" t="s">
        <v>47</v>
      </c>
      <c r="D704">
        <v>1</v>
      </c>
      <c r="E704">
        <v>6</v>
      </c>
      <c r="F704">
        <v>0</v>
      </c>
      <c r="G704">
        <v>4</v>
      </c>
      <c r="H704">
        <v>0</v>
      </c>
      <c r="I704">
        <v>3</v>
      </c>
      <c r="J704">
        <v>4</v>
      </c>
      <c r="K704">
        <v>3</v>
      </c>
      <c r="L704">
        <v>7</v>
      </c>
    </row>
    <row r="705" spans="1:12" hidden="1" x14ac:dyDescent="0.3">
      <c r="A705" s="3">
        <v>45396</v>
      </c>
      <c r="B705" t="s">
        <v>21</v>
      </c>
      <c r="C705" t="s">
        <v>27</v>
      </c>
      <c r="D705">
        <v>3</v>
      </c>
      <c r="E705">
        <v>8</v>
      </c>
      <c r="F705">
        <v>6</v>
      </c>
      <c r="G705">
        <v>2</v>
      </c>
      <c r="H705">
        <v>0</v>
      </c>
      <c r="I705">
        <v>3</v>
      </c>
      <c r="J705">
        <v>4</v>
      </c>
      <c r="K705">
        <v>3</v>
      </c>
      <c r="L705">
        <v>14</v>
      </c>
    </row>
    <row r="706" spans="1:12" hidden="1" x14ac:dyDescent="0.3">
      <c r="A706" s="3">
        <v>45396</v>
      </c>
      <c r="B706" t="s">
        <v>21</v>
      </c>
      <c r="C706" t="s">
        <v>27</v>
      </c>
      <c r="D706">
        <v>3</v>
      </c>
      <c r="E706">
        <v>8</v>
      </c>
      <c r="F706">
        <v>2</v>
      </c>
      <c r="G706">
        <v>1</v>
      </c>
      <c r="H706">
        <v>0</v>
      </c>
      <c r="I706">
        <v>8</v>
      </c>
      <c r="J706">
        <v>4</v>
      </c>
      <c r="K706">
        <v>3</v>
      </c>
      <c r="L706">
        <v>14</v>
      </c>
    </row>
    <row r="707" spans="1:12" hidden="1" x14ac:dyDescent="0.3">
      <c r="A707" s="3">
        <v>45396</v>
      </c>
      <c r="B707" t="s">
        <v>66</v>
      </c>
      <c r="C707" t="s">
        <v>45</v>
      </c>
      <c r="D707">
        <v>3</v>
      </c>
      <c r="E707">
        <v>8</v>
      </c>
      <c r="F707">
        <v>3</v>
      </c>
      <c r="G707">
        <v>3</v>
      </c>
      <c r="H707">
        <v>1</v>
      </c>
      <c r="I707">
        <v>4</v>
      </c>
      <c r="J707">
        <v>3.5</v>
      </c>
      <c r="K707">
        <v>3</v>
      </c>
      <c r="L707">
        <v>8</v>
      </c>
    </row>
    <row r="708" spans="1:12" hidden="1" x14ac:dyDescent="0.3">
      <c r="A708" s="3">
        <v>45397</v>
      </c>
      <c r="B708" t="s">
        <v>80</v>
      </c>
      <c r="C708" t="s">
        <v>49</v>
      </c>
      <c r="D708">
        <v>7</v>
      </c>
      <c r="E708">
        <v>8</v>
      </c>
      <c r="F708">
        <v>5</v>
      </c>
      <c r="G708">
        <v>6</v>
      </c>
      <c r="H708">
        <v>0</v>
      </c>
      <c r="I708">
        <v>4</v>
      </c>
      <c r="J708">
        <v>2.5</v>
      </c>
      <c r="K708">
        <v>2</v>
      </c>
      <c r="L708">
        <v>5</v>
      </c>
    </row>
    <row r="709" spans="1:12" hidden="1" x14ac:dyDescent="0.3">
      <c r="A709" s="3">
        <v>45397</v>
      </c>
      <c r="B709" t="s">
        <v>70</v>
      </c>
      <c r="C709" t="s">
        <v>99</v>
      </c>
      <c r="D709">
        <v>1</v>
      </c>
      <c r="E709">
        <v>6</v>
      </c>
      <c r="F709">
        <v>3</v>
      </c>
      <c r="G709">
        <v>2</v>
      </c>
      <c r="H709">
        <v>1</v>
      </c>
      <c r="I709">
        <v>1</v>
      </c>
      <c r="J709">
        <v>4</v>
      </c>
      <c r="K709">
        <v>3</v>
      </c>
      <c r="L709">
        <v>7</v>
      </c>
    </row>
    <row r="710" spans="1:12" hidden="1" x14ac:dyDescent="0.3">
      <c r="A710" s="3">
        <v>45397</v>
      </c>
      <c r="B710" t="s">
        <v>64</v>
      </c>
      <c r="C710" t="s">
        <v>42</v>
      </c>
      <c r="D710">
        <v>4</v>
      </c>
      <c r="E710">
        <v>8</v>
      </c>
      <c r="F710">
        <v>0</v>
      </c>
      <c r="G710">
        <v>0</v>
      </c>
      <c r="H710">
        <v>0</v>
      </c>
      <c r="I710">
        <v>12</v>
      </c>
      <c r="J710">
        <v>3.5</v>
      </c>
      <c r="K710">
        <v>3</v>
      </c>
      <c r="L710">
        <v>8</v>
      </c>
    </row>
    <row r="711" spans="1:12" hidden="1" x14ac:dyDescent="0.3">
      <c r="A711" s="3">
        <v>45397</v>
      </c>
      <c r="B711" t="s">
        <v>61</v>
      </c>
      <c r="C711" t="s">
        <v>95</v>
      </c>
      <c r="D711">
        <v>7</v>
      </c>
      <c r="E711">
        <v>10</v>
      </c>
      <c r="F711">
        <v>10</v>
      </c>
      <c r="G711">
        <v>0</v>
      </c>
      <c r="H711">
        <v>3</v>
      </c>
      <c r="I711">
        <v>4</v>
      </c>
      <c r="J711">
        <v>4</v>
      </c>
      <c r="K711">
        <v>3.5</v>
      </c>
      <c r="L711">
        <v>10</v>
      </c>
    </row>
    <row r="712" spans="1:12" hidden="1" x14ac:dyDescent="0.3">
      <c r="A712" s="3">
        <v>45397</v>
      </c>
      <c r="B712" t="s">
        <v>35</v>
      </c>
      <c r="C712" t="s">
        <v>31</v>
      </c>
      <c r="D712">
        <v>2</v>
      </c>
      <c r="E712">
        <v>8</v>
      </c>
      <c r="F712">
        <v>2</v>
      </c>
      <c r="G712">
        <v>4</v>
      </c>
      <c r="H712">
        <v>1</v>
      </c>
      <c r="I712">
        <v>3</v>
      </c>
      <c r="J712">
        <v>3.5</v>
      </c>
      <c r="K712">
        <v>3</v>
      </c>
      <c r="L712">
        <v>14</v>
      </c>
    </row>
    <row r="713" spans="1:12" hidden="1" x14ac:dyDescent="0.3">
      <c r="A713" s="3">
        <v>45397</v>
      </c>
      <c r="B713" t="s">
        <v>38</v>
      </c>
      <c r="C713" t="s">
        <v>52</v>
      </c>
      <c r="D713">
        <v>6</v>
      </c>
      <c r="E713">
        <v>12</v>
      </c>
      <c r="F713">
        <v>0</v>
      </c>
      <c r="G713">
        <v>5</v>
      </c>
      <c r="H713">
        <v>0</v>
      </c>
      <c r="I713">
        <v>13</v>
      </c>
      <c r="J713">
        <v>3.5</v>
      </c>
      <c r="K713">
        <v>3</v>
      </c>
      <c r="L713">
        <v>14</v>
      </c>
    </row>
    <row r="714" spans="1:12" hidden="1" x14ac:dyDescent="0.3">
      <c r="A714" s="3">
        <v>45397</v>
      </c>
      <c r="B714" t="s">
        <v>70</v>
      </c>
      <c r="C714" t="s">
        <v>99</v>
      </c>
      <c r="D714">
        <v>1</v>
      </c>
      <c r="E714">
        <v>6</v>
      </c>
      <c r="F714">
        <v>4</v>
      </c>
      <c r="G714">
        <v>0</v>
      </c>
      <c r="H714">
        <v>1</v>
      </c>
      <c r="I714">
        <v>2</v>
      </c>
      <c r="J714">
        <v>4</v>
      </c>
      <c r="K714">
        <v>3</v>
      </c>
      <c r="L714">
        <v>7</v>
      </c>
    </row>
    <row r="715" spans="1:12" hidden="1" x14ac:dyDescent="0.3">
      <c r="A715" s="3">
        <v>45397</v>
      </c>
      <c r="B715" t="s">
        <v>92</v>
      </c>
      <c r="C715" t="s">
        <v>91</v>
      </c>
      <c r="D715">
        <v>2</v>
      </c>
      <c r="E715">
        <v>6</v>
      </c>
      <c r="F715">
        <v>4</v>
      </c>
      <c r="G715">
        <v>1</v>
      </c>
      <c r="H715">
        <v>2</v>
      </c>
      <c r="I715">
        <v>1</v>
      </c>
      <c r="J715">
        <v>4.5</v>
      </c>
      <c r="K715">
        <v>4</v>
      </c>
      <c r="L715">
        <v>14</v>
      </c>
    </row>
    <row r="716" spans="1:12" hidden="1" x14ac:dyDescent="0.3">
      <c r="A716" s="3">
        <v>45397</v>
      </c>
      <c r="B716" t="s">
        <v>69</v>
      </c>
      <c r="C716" t="s">
        <v>98</v>
      </c>
      <c r="D716">
        <v>2</v>
      </c>
      <c r="E716">
        <v>6</v>
      </c>
      <c r="F716">
        <v>4</v>
      </c>
      <c r="G716">
        <v>2</v>
      </c>
      <c r="H716">
        <v>1</v>
      </c>
      <c r="I716">
        <v>1</v>
      </c>
      <c r="J716">
        <v>4</v>
      </c>
      <c r="K716">
        <v>3</v>
      </c>
      <c r="L716">
        <v>7</v>
      </c>
    </row>
    <row r="717" spans="1:12" hidden="1" x14ac:dyDescent="0.3">
      <c r="A717" s="3">
        <v>45397</v>
      </c>
      <c r="B717" t="s">
        <v>71</v>
      </c>
      <c r="C717" t="s">
        <v>47</v>
      </c>
      <c r="D717">
        <v>3</v>
      </c>
      <c r="E717">
        <v>6</v>
      </c>
      <c r="F717">
        <v>5</v>
      </c>
      <c r="G717">
        <v>1</v>
      </c>
      <c r="H717">
        <v>0</v>
      </c>
      <c r="I717">
        <v>3</v>
      </c>
      <c r="J717">
        <v>4</v>
      </c>
      <c r="K717">
        <v>3</v>
      </c>
      <c r="L717">
        <v>7</v>
      </c>
    </row>
    <row r="718" spans="1:12" hidden="1" x14ac:dyDescent="0.3">
      <c r="A718" s="3">
        <v>45398</v>
      </c>
      <c r="B718" t="s">
        <v>79</v>
      </c>
      <c r="C718" t="s">
        <v>104</v>
      </c>
      <c r="D718">
        <v>2</v>
      </c>
      <c r="E718">
        <v>8</v>
      </c>
      <c r="F718">
        <v>2</v>
      </c>
      <c r="G718">
        <v>0</v>
      </c>
      <c r="H718">
        <v>2</v>
      </c>
      <c r="I718">
        <v>6</v>
      </c>
      <c r="J718">
        <v>2.5</v>
      </c>
      <c r="K718">
        <v>2</v>
      </c>
      <c r="L718">
        <v>5</v>
      </c>
    </row>
    <row r="719" spans="1:12" hidden="1" x14ac:dyDescent="0.3">
      <c r="A719" s="3">
        <v>45398</v>
      </c>
      <c r="B719" t="s">
        <v>35</v>
      </c>
      <c r="C719" t="s">
        <v>31</v>
      </c>
      <c r="D719">
        <v>3</v>
      </c>
      <c r="E719">
        <v>8</v>
      </c>
      <c r="F719">
        <v>0</v>
      </c>
      <c r="G719">
        <v>4</v>
      </c>
      <c r="H719">
        <v>0</v>
      </c>
      <c r="I719">
        <v>7</v>
      </c>
      <c r="J719">
        <v>3.5</v>
      </c>
      <c r="K719">
        <v>3</v>
      </c>
      <c r="L719">
        <v>14</v>
      </c>
    </row>
    <row r="720" spans="1:12" hidden="1" x14ac:dyDescent="0.3">
      <c r="A720" s="3">
        <v>45398</v>
      </c>
      <c r="B720" t="s">
        <v>90</v>
      </c>
      <c r="C720" t="s">
        <v>87</v>
      </c>
      <c r="D720">
        <v>5</v>
      </c>
      <c r="E720">
        <v>12</v>
      </c>
      <c r="F720">
        <v>10</v>
      </c>
      <c r="G720">
        <v>2</v>
      </c>
      <c r="H720">
        <v>3</v>
      </c>
      <c r="I720">
        <v>2</v>
      </c>
      <c r="J720">
        <v>4.5</v>
      </c>
      <c r="K720">
        <v>4</v>
      </c>
      <c r="L720">
        <v>14</v>
      </c>
    </row>
    <row r="721" spans="1:12" hidden="1" x14ac:dyDescent="0.3">
      <c r="A721" s="3">
        <v>45398</v>
      </c>
      <c r="B721" t="s">
        <v>72</v>
      </c>
      <c r="C721" t="s">
        <v>48</v>
      </c>
      <c r="D721">
        <v>5</v>
      </c>
      <c r="E721">
        <v>6</v>
      </c>
      <c r="F721">
        <v>6</v>
      </c>
      <c r="G721">
        <v>2</v>
      </c>
      <c r="H721">
        <v>1</v>
      </c>
      <c r="I721">
        <v>2</v>
      </c>
      <c r="J721">
        <v>4</v>
      </c>
      <c r="K721">
        <v>3</v>
      </c>
      <c r="L721">
        <v>7</v>
      </c>
    </row>
    <row r="722" spans="1:12" hidden="1" x14ac:dyDescent="0.3">
      <c r="A722" s="3">
        <v>45398</v>
      </c>
      <c r="B722" t="s">
        <v>20</v>
      </c>
      <c r="C722" t="s">
        <v>25</v>
      </c>
      <c r="D722">
        <v>4</v>
      </c>
      <c r="E722">
        <v>10</v>
      </c>
      <c r="F722">
        <v>2</v>
      </c>
      <c r="G722">
        <v>2</v>
      </c>
      <c r="H722">
        <v>2</v>
      </c>
      <c r="I722">
        <v>8</v>
      </c>
      <c r="J722">
        <v>4.5</v>
      </c>
      <c r="K722">
        <v>4</v>
      </c>
      <c r="L722">
        <v>10</v>
      </c>
    </row>
    <row r="723" spans="1:12" hidden="1" x14ac:dyDescent="0.3">
      <c r="A723" s="3">
        <v>45398</v>
      </c>
      <c r="B723" t="s">
        <v>67</v>
      </c>
      <c r="C723" t="s">
        <v>46</v>
      </c>
      <c r="D723">
        <v>3</v>
      </c>
      <c r="E723">
        <v>8</v>
      </c>
      <c r="F723">
        <v>0</v>
      </c>
      <c r="G723">
        <v>0</v>
      </c>
      <c r="H723">
        <v>0</v>
      </c>
      <c r="I723">
        <v>11</v>
      </c>
      <c r="J723">
        <v>3.5</v>
      </c>
      <c r="K723">
        <v>3</v>
      </c>
      <c r="L723">
        <v>8</v>
      </c>
    </row>
    <row r="724" spans="1:12" hidden="1" x14ac:dyDescent="0.3">
      <c r="A724" s="3">
        <v>45398</v>
      </c>
      <c r="B724" t="s">
        <v>70</v>
      </c>
      <c r="C724" t="s">
        <v>99</v>
      </c>
      <c r="D724">
        <v>2</v>
      </c>
      <c r="E724">
        <v>6</v>
      </c>
      <c r="F724">
        <v>2</v>
      </c>
      <c r="G724">
        <v>2</v>
      </c>
      <c r="H724">
        <v>2</v>
      </c>
      <c r="I724">
        <v>2</v>
      </c>
      <c r="J724">
        <v>4</v>
      </c>
      <c r="K724">
        <v>3</v>
      </c>
      <c r="L724">
        <v>7</v>
      </c>
    </row>
    <row r="725" spans="1:12" hidden="1" x14ac:dyDescent="0.3">
      <c r="A725" s="3">
        <v>45398</v>
      </c>
      <c r="B725" t="s">
        <v>59</v>
      </c>
      <c r="C725" t="s">
        <v>93</v>
      </c>
      <c r="D725">
        <v>4</v>
      </c>
      <c r="E725">
        <v>10</v>
      </c>
      <c r="F725">
        <v>3</v>
      </c>
      <c r="G725">
        <v>6</v>
      </c>
      <c r="H725">
        <v>2</v>
      </c>
      <c r="I725">
        <v>3</v>
      </c>
      <c r="J725">
        <v>4</v>
      </c>
      <c r="K725">
        <v>3.5</v>
      </c>
      <c r="L725">
        <v>10</v>
      </c>
    </row>
    <row r="726" spans="1:12" hidden="1" x14ac:dyDescent="0.3">
      <c r="A726" s="3">
        <v>45398</v>
      </c>
      <c r="B726" t="s">
        <v>19</v>
      </c>
      <c r="C726" t="s">
        <v>17</v>
      </c>
      <c r="D726">
        <v>8</v>
      </c>
      <c r="E726">
        <v>10</v>
      </c>
      <c r="F726">
        <v>9</v>
      </c>
      <c r="G726">
        <v>0</v>
      </c>
      <c r="H726">
        <v>5</v>
      </c>
      <c r="I726">
        <v>4</v>
      </c>
      <c r="J726">
        <v>4.5</v>
      </c>
      <c r="K726">
        <v>4</v>
      </c>
      <c r="L726">
        <v>10</v>
      </c>
    </row>
    <row r="727" spans="1:12" hidden="1" x14ac:dyDescent="0.3">
      <c r="A727" s="3">
        <v>45398</v>
      </c>
      <c r="B727" t="s">
        <v>83</v>
      </c>
      <c r="C727" t="s">
        <v>100</v>
      </c>
      <c r="D727">
        <v>6</v>
      </c>
      <c r="E727">
        <v>10</v>
      </c>
      <c r="F727">
        <v>4</v>
      </c>
      <c r="G727">
        <v>5</v>
      </c>
      <c r="H727">
        <v>0</v>
      </c>
      <c r="I727">
        <v>7</v>
      </c>
      <c r="J727">
        <v>4.5</v>
      </c>
      <c r="K727">
        <v>4</v>
      </c>
      <c r="L727">
        <v>10</v>
      </c>
    </row>
    <row r="728" spans="1:12" hidden="1" x14ac:dyDescent="0.3">
      <c r="A728" s="3">
        <v>45399</v>
      </c>
      <c r="B728" t="s">
        <v>16</v>
      </c>
      <c r="C728" t="s">
        <v>77</v>
      </c>
      <c r="D728">
        <v>7</v>
      </c>
      <c r="E728">
        <v>10</v>
      </c>
      <c r="F728">
        <v>4</v>
      </c>
      <c r="G728">
        <v>6</v>
      </c>
      <c r="H728">
        <v>0</v>
      </c>
      <c r="I728">
        <v>7</v>
      </c>
      <c r="J728">
        <v>5.5</v>
      </c>
      <c r="K728">
        <v>4.5</v>
      </c>
      <c r="L728">
        <v>7</v>
      </c>
    </row>
    <row r="729" spans="1:12" hidden="1" x14ac:dyDescent="0.3">
      <c r="A729" s="3">
        <v>45399</v>
      </c>
      <c r="B729" t="s">
        <v>56</v>
      </c>
      <c r="C729" t="s">
        <v>54</v>
      </c>
      <c r="D729">
        <v>4</v>
      </c>
      <c r="E729">
        <v>8</v>
      </c>
      <c r="F729">
        <v>0</v>
      </c>
      <c r="G729">
        <v>3</v>
      </c>
      <c r="H729">
        <v>0</v>
      </c>
      <c r="I729">
        <v>9</v>
      </c>
      <c r="J729">
        <v>6</v>
      </c>
      <c r="K729">
        <v>5.5</v>
      </c>
      <c r="L729">
        <v>20</v>
      </c>
    </row>
    <row r="730" spans="1:12" hidden="1" x14ac:dyDescent="0.3">
      <c r="A730" s="3">
        <v>45399</v>
      </c>
      <c r="B730" t="s">
        <v>84</v>
      </c>
      <c r="C730" t="s">
        <v>101</v>
      </c>
      <c r="D730">
        <v>2</v>
      </c>
      <c r="E730">
        <v>8</v>
      </c>
      <c r="F730">
        <v>5</v>
      </c>
      <c r="G730">
        <v>2</v>
      </c>
      <c r="H730">
        <v>1</v>
      </c>
      <c r="I730">
        <v>2</v>
      </c>
      <c r="J730">
        <v>3.5</v>
      </c>
      <c r="K730">
        <v>3</v>
      </c>
      <c r="L730">
        <v>8</v>
      </c>
    </row>
    <row r="731" spans="1:12" hidden="1" x14ac:dyDescent="0.3">
      <c r="A731" s="3">
        <v>45399</v>
      </c>
      <c r="B731" t="s">
        <v>62</v>
      </c>
      <c r="C731" t="s">
        <v>96</v>
      </c>
      <c r="D731">
        <v>2</v>
      </c>
      <c r="E731">
        <v>10</v>
      </c>
      <c r="F731">
        <v>0</v>
      </c>
      <c r="G731">
        <v>5</v>
      </c>
      <c r="H731">
        <v>1</v>
      </c>
      <c r="I731">
        <v>6</v>
      </c>
      <c r="J731">
        <v>4</v>
      </c>
      <c r="K731">
        <v>3.5</v>
      </c>
      <c r="L731">
        <v>10</v>
      </c>
    </row>
    <row r="732" spans="1:12" hidden="1" x14ac:dyDescent="0.3">
      <c r="A732" s="3">
        <v>45399</v>
      </c>
      <c r="B732" t="s">
        <v>83</v>
      </c>
      <c r="C732" t="s">
        <v>100</v>
      </c>
      <c r="D732">
        <v>7</v>
      </c>
      <c r="E732">
        <v>10</v>
      </c>
      <c r="F732">
        <v>8</v>
      </c>
      <c r="G732">
        <v>4</v>
      </c>
      <c r="H732">
        <v>2</v>
      </c>
      <c r="I732">
        <v>3</v>
      </c>
      <c r="J732">
        <v>4.5</v>
      </c>
      <c r="K732">
        <v>4</v>
      </c>
      <c r="L732">
        <v>10</v>
      </c>
    </row>
    <row r="733" spans="1:12" hidden="1" x14ac:dyDescent="0.3">
      <c r="A733" s="3">
        <v>45399</v>
      </c>
      <c r="B733" t="s">
        <v>89</v>
      </c>
      <c r="C733" t="s">
        <v>103</v>
      </c>
      <c r="D733">
        <v>5</v>
      </c>
      <c r="E733">
        <v>8</v>
      </c>
      <c r="F733">
        <v>8</v>
      </c>
      <c r="G733">
        <v>3</v>
      </c>
      <c r="H733">
        <v>0</v>
      </c>
      <c r="I733">
        <v>2</v>
      </c>
      <c r="J733">
        <v>3.5</v>
      </c>
      <c r="K733">
        <v>3</v>
      </c>
      <c r="L733">
        <v>8</v>
      </c>
    </row>
    <row r="734" spans="1:12" hidden="1" x14ac:dyDescent="0.3">
      <c r="A734" s="3">
        <v>45399</v>
      </c>
      <c r="B734" t="s">
        <v>70</v>
      </c>
      <c r="C734" t="s">
        <v>99</v>
      </c>
      <c r="D734">
        <v>2</v>
      </c>
      <c r="E734">
        <v>6</v>
      </c>
      <c r="F734">
        <v>1</v>
      </c>
      <c r="G734">
        <v>0</v>
      </c>
      <c r="H734">
        <v>3</v>
      </c>
      <c r="I734">
        <v>4</v>
      </c>
      <c r="J734">
        <v>4</v>
      </c>
      <c r="K734">
        <v>3</v>
      </c>
      <c r="L734">
        <v>7</v>
      </c>
    </row>
    <row r="735" spans="1:12" hidden="1" x14ac:dyDescent="0.3">
      <c r="A735" s="3">
        <v>45399</v>
      </c>
      <c r="B735" t="s">
        <v>68</v>
      </c>
      <c r="C735" t="s">
        <v>43</v>
      </c>
      <c r="D735">
        <v>8</v>
      </c>
      <c r="E735">
        <v>15</v>
      </c>
      <c r="F735">
        <v>13</v>
      </c>
      <c r="G735">
        <v>4</v>
      </c>
      <c r="H735">
        <v>4</v>
      </c>
      <c r="I735">
        <v>2</v>
      </c>
      <c r="J735">
        <v>4</v>
      </c>
      <c r="K735">
        <v>3</v>
      </c>
      <c r="L735">
        <v>14</v>
      </c>
    </row>
    <row r="736" spans="1:12" hidden="1" x14ac:dyDescent="0.3">
      <c r="A736" s="3">
        <v>45399</v>
      </c>
      <c r="B736" t="s">
        <v>10</v>
      </c>
      <c r="C736" t="s">
        <v>18</v>
      </c>
      <c r="D736">
        <v>1</v>
      </c>
      <c r="E736">
        <v>10</v>
      </c>
      <c r="F736">
        <v>7</v>
      </c>
      <c r="G736">
        <v>2</v>
      </c>
      <c r="H736">
        <v>0</v>
      </c>
      <c r="I736">
        <v>2</v>
      </c>
      <c r="J736">
        <v>5.5</v>
      </c>
      <c r="K736">
        <v>4.5</v>
      </c>
      <c r="L736">
        <v>7</v>
      </c>
    </row>
    <row r="737" spans="1:12" hidden="1" x14ac:dyDescent="0.3">
      <c r="A737" s="3">
        <v>45399</v>
      </c>
      <c r="B737" t="s">
        <v>36</v>
      </c>
      <c r="C737" t="s">
        <v>33</v>
      </c>
      <c r="D737">
        <v>1</v>
      </c>
      <c r="E737">
        <v>12</v>
      </c>
      <c r="F737">
        <v>1</v>
      </c>
      <c r="G737">
        <v>0</v>
      </c>
      <c r="H737">
        <v>1</v>
      </c>
      <c r="I737">
        <v>11</v>
      </c>
      <c r="J737">
        <v>3.5</v>
      </c>
      <c r="K737">
        <v>3</v>
      </c>
      <c r="L737">
        <v>14</v>
      </c>
    </row>
    <row r="738" spans="1:12" hidden="1" x14ac:dyDescent="0.3">
      <c r="A738" s="3">
        <v>45400</v>
      </c>
      <c r="B738" t="s">
        <v>62</v>
      </c>
      <c r="C738" t="s">
        <v>96</v>
      </c>
      <c r="D738">
        <v>6</v>
      </c>
      <c r="E738">
        <v>10</v>
      </c>
      <c r="F738">
        <v>9</v>
      </c>
      <c r="G738">
        <v>2</v>
      </c>
      <c r="H738">
        <v>0</v>
      </c>
      <c r="I738">
        <v>5</v>
      </c>
      <c r="J738">
        <v>4</v>
      </c>
      <c r="K738">
        <v>3.5</v>
      </c>
      <c r="L738">
        <v>10</v>
      </c>
    </row>
    <row r="739" spans="1:12" hidden="1" x14ac:dyDescent="0.3">
      <c r="A739" s="3">
        <v>45400</v>
      </c>
      <c r="B739" t="s">
        <v>92</v>
      </c>
      <c r="C739" t="s">
        <v>91</v>
      </c>
      <c r="D739">
        <v>1</v>
      </c>
      <c r="E739">
        <v>6</v>
      </c>
      <c r="F739">
        <v>0</v>
      </c>
      <c r="G739">
        <v>4</v>
      </c>
      <c r="H739">
        <v>0</v>
      </c>
      <c r="I739">
        <v>3</v>
      </c>
      <c r="J739">
        <v>4.5</v>
      </c>
      <c r="K739">
        <v>4</v>
      </c>
      <c r="L739">
        <v>14</v>
      </c>
    </row>
    <row r="740" spans="1:12" hidden="1" x14ac:dyDescent="0.3">
      <c r="A740" s="3">
        <v>45400</v>
      </c>
      <c r="B740" t="s">
        <v>83</v>
      </c>
      <c r="C740" t="s">
        <v>100</v>
      </c>
      <c r="D740">
        <v>3</v>
      </c>
      <c r="E740">
        <v>10</v>
      </c>
      <c r="F740">
        <v>5</v>
      </c>
      <c r="G740">
        <v>4</v>
      </c>
      <c r="H740">
        <v>2</v>
      </c>
      <c r="I740">
        <v>2</v>
      </c>
      <c r="J740">
        <v>4.5</v>
      </c>
      <c r="K740">
        <v>4</v>
      </c>
      <c r="L740">
        <v>10</v>
      </c>
    </row>
    <row r="741" spans="1:12" hidden="1" x14ac:dyDescent="0.3">
      <c r="A741" s="3">
        <v>45400</v>
      </c>
      <c r="B741" t="s">
        <v>66</v>
      </c>
      <c r="C741" t="s">
        <v>45</v>
      </c>
      <c r="D741">
        <v>4</v>
      </c>
      <c r="E741">
        <v>8</v>
      </c>
      <c r="F741">
        <v>6</v>
      </c>
      <c r="G741">
        <v>0</v>
      </c>
      <c r="H741">
        <v>0</v>
      </c>
      <c r="I741">
        <v>6</v>
      </c>
      <c r="J741">
        <v>3.5</v>
      </c>
      <c r="K741">
        <v>3</v>
      </c>
      <c r="L741">
        <v>8</v>
      </c>
    </row>
    <row r="742" spans="1:12" hidden="1" x14ac:dyDescent="0.3">
      <c r="A742" s="3">
        <v>45401</v>
      </c>
      <c r="B742" t="s">
        <v>92</v>
      </c>
      <c r="C742" t="s">
        <v>91</v>
      </c>
      <c r="D742">
        <v>3</v>
      </c>
      <c r="E742">
        <v>6</v>
      </c>
      <c r="F742">
        <v>4</v>
      </c>
      <c r="G742">
        <v>0</v>
      </c>
      <c r="H742">
        <v>0</v>
      </c>
      <c r="I742">
        <v>5</v>
      </c>
      <c r="J742">
        <v>4.5</v>
      </c>
      <c r="K742">
        <v>4</v>
      </c>
      <c r="L742">
        <v>14</v>
      </c>
    </row>
    <row r="743" spans="1:12" hidden="1" x14ac:dyDescent="0.3">
      <c r="A743" s="3">
        <v>45401</v>
      </c>
      <c r="B743" t="s">
        <v>72</v>
      </c>
      <c r="C743" t="s">
        <v>48</v>
      </c>
      <c r="D743">
        <v>2</v>
      </c>
      <c r="E743">
        <v>6</v>
      </c>
      <c r="F743">
        <v>1</v>
      </c>
      <c r="G743">
        <v>0</v>
      </c>
      <c r="H743">
        <v>1</v>
      </c>
      <c r="I743">
        <v>6</v>
      </c>
      <c r="J743">
        <v>4</v>
      </c>
      <c r="K743">
        <v>3</v>
      </c>
      <c r="L743">
        <v>7</v>
      </c>
    </row>
    <row r="744" spans="1:12" hidden="1" x14ac:dyDescent="0.3">
      <c r="A744" s="3">
        <v>45401</v>
      </c>
      <c r="B744" t="s">
        <v>90</v>
      </c>
      <c r="C744" t="s">
        <v>87</v>
      </c>
      <c r="D744">
        <v>2</v>
      </c>
      <c r="E744">
        <v>12</v>
      </c>
      <c r="F744">
        <v>6</v>
      </c>
      <c r="G744">
        <v>4</v>
      </c>
      <c r="H744">
        <v>1</v>
      </c>
      <c r="I744">
        <v>3</v>
      </c>
      <c r="J744">
        <v>4.5</v>
      </c>
      <c r="K744">
        <v>4</v>
      </c>
      <c r="L744">
        <v>14</v>
      </c>
    </row>
    <row r="745" spans="1:12" hidden="1" x14ac:dyDescent="0.3">
      <c r="A745" s="3">
        <v>45401</v>
      </c>
      <c r="B745" t="s">
        <v>67</v>
      </c>
      <c r="C745" t="s">
        <v>46</v>
      </c>
      <c r="D745">
        <v>11</v>
      </c>
      <c r="E745">
        <v>8</v>
      </c>
      <c r="F745">
        <v>6</v>
      </c>
      <c r="G745">
        <v>4</v>
      </c>
      <c r="H745">
        <v>4</v>
      </c>
      <c r="I745">
        <v>5</v>
      </c>
      <c r="J745">
        <v>3.5</v>
      </c>
      <c r="K745">
        <v>3</v>
      </c>
      <c r="L745">
        <v>8</v>
      </c>
    </row>
    <row r="746" spans="1:12" hidden="1" x14ac:dyDescent="0.3">
      <c r="A746" s="3">
        <v>45401</v>
      </c>
      <c r="B746" t="s">
        <v>78</v>
      </c>
      <c r="C746" t="s">
        <v>74</v>
      </c>
      <c r="D746">
        <v>2</v>
      </c>
      <c r="E746">
        <v>6</v>
      </c>
      <c r="F746">
        <v>5</v>
      </c>
      <c r="G746">
        <v>1</v>
      </c>
      <c r="H746">
        <v>1</v>
      </c>
      <c r="I746">
        <v>1</v>
      </c>
      <c r="J746">
        <v>4</v>
      </c>
      <c r="K746">
        <v>3</v>
      </c>
      <c r="L746">
        <v>7</v>
      </c>
    </row>
    <row r="747" spans="1:12" hidden="1" x14ac:dyDescent="0.3">
      <c r="A747" s="3">
        <v>45402</v>
      </c>
      <c r="B747" t="s">
        <v>23</v>
      </c>
      <c r="C747" t="s">
        <v>28</v>
      </c>
      <c r="D747">
        <v>6</v>
      </c>
      <c r="E747">
        <v>9</v>
      </c>
      <c r="F747">
        <v>6</v>
      </c>
      <c r="G747">
        <v>1</v>
      </c>
      <c r="H747">
        <v>5</v>
      </c>
      <c r="I747">
        <v>3</v>
      </c>
      <c r="J747">
        <v>6.5</v>
      </c>
      <c r="K747">
        <v>5.5</v>
      </c>
      <c r="L747">
        <v>9</v>
      </c>
    </row>
    <row r="748" spans="1:12" x14ac:dyDescent="0.3">
      <c r="A748" s="3">
        <v>45402</v>
      </c>
      <c r="B748" t="s">
        <v>34</v>
      </c>
      <c r="C748" t="s">
        <v>30</v>
      </c>
      <c r="D748">
        <v>4</v>
      </c>
      <c r="E748">
        <v>6</v>
      </c>
      <c r="F748">
        <v>2</v>
      </c>
      <c r="G748">
        <v>1</v>
      </c>
      <c r="H748">
        <v>2</v>
      </c>
      <c r="I748">
        <v>5</v>
      </c>
      <c r="J748">
        <v>3.5</v>
      </c>
      <c r="K748">
        <v>3</v>
      </c>
      <c r="L748">
        <v>10</v>
      </c>
    </row>
    <row r="749" spans="1:12" hidden="1" x14ac:dyDescent="0.3">
      <c r="A749" s="3">
        <v>45402</v>
      </c>
      <c r="B749" t="s">
        <v>88</v>
      </c>
      <c r="C749" t="s">
        <v>102</v>
      </c>
      <c r="D749">
        <v>5</v>
      </c>
      <c r="E749">
        <v>8</v>
      </c>
      <c r="F749">
        <v>8</v>
      </c>
      <c r="G749">
        <v>3</v>
      </c>
      <c r="H749">
        <v>0</v>
      </c>
      <c r="I749">
        <v>2</v>
      </c>
      <c r="J749">
        <v>3.5</v>
      </c>
      <c r="K749">
        <v>3</v>
      </c>
      <c r="L749">
        <v>8</v>
      </c>
    </row>
    <row r="750" spans="1:12" hidden="1" x14ac:dyDescent="0.3">
      <c r="A750" s="3">
        <v>45403</v>
      </c>
      <c r="B750" t="s">
        <v>60</v>
      </c>
      <c r="C750" t="s">
        <v>94</v>
      </c>
      <c r="D750">
        <v>5</v>
      </c>
      <c r="E750">
        <v>10</v>
      </c>
      <c r="F750">
        <v>6</v>
      </c>
      <c r="G750">
        <v>3</v>
      </c>
      <c r="H750">
        <v>4</v>
      </c>
      <c r="I750">
        <v>2</v>
      </c>
      <c r="J750">
        <v>4</v>
      </c>
      <c r="K750">
        <v>3.5</v>
      </c>
      <c r="L750">
        <v>10</v>
      </c>
    </row>
    <row r="751" spans="1:12" hidden="1" x14ac:dyDescent="0.3">
      <c r="A751" s="3">
        <v>45403</v>
      </c>
      <c r="B751" t="s">
        <v>82</v>
      </c>
      <c r="C751" t="s">
        <v>73</v>
      </c>
      <c r="D751">
        <v>7</v>
      </c>
      <c r="E751">
        <v>8</v>
      </c>
      <c r="F751">
        <v>6</v>
      </c>
      <c r="G751">
        <v>0</v>
      </c>
      <c r="H751">
        <v>1</v>
      </c>
      <c r="I751">
        <v>8</v>
      </c>
      <c r="J751">
        <v>2.5</v>
      </c>
      <c r="K751">
        <v>2</v>
      </c>
      <c r="L751">
        <v>5</v>
      </c>
    </row>
    <row r="752" spans="1:12" hidden="1" x14ac:dyDescent="0.3">
      <c r="A752" s="3">
        <v>45403</v>
      </c>
      <c r="B752" t="s">
        <v>82</v>
      </c>
      <c r="C752" t="s">
        <v>73</v>
      </c>
      <c r="D752">
        <v>8</v>
      </c>
      <c r="E752">
        <v>8</v>
      </c>
      <c r="F752">
        <v>5</v>
      </c>
      <c r="G752">
        <v>0</v>
      </c>
      <c r="H752">
        <v>6</v>
      </c>
      <c r="I752">
        <v>5</v>
      </c>
      <c r="J752">
        <v>2.5</v>
      </c>
      <c r="K752">
        <v>2</v>
      </c>
      <c r="L752">
        <v>5</v>
      </c>
    </row>
    <row r="753" spans="1:12" hidden="1" x14ac:dyDescent="0.3">
      <c r="A753" s="3">
        <v>45403</v>
      </c>
      <c r="B753" t="s">
        <v>40</v>
      </c>
      <c r="C753" t="s">
        <v>85</v>
      </c>
      <c r="D753">
        <v>6</v>
      </c>
      <c r="E753">
        <v>15</v>
      </c>
      <c r="F753">
        <v>5</v>
      </c>
      <c r="G753">
        <v>0</v>
      </c>
      <c r="H753">
        <v>0</v>
      </c>
      <c r="I753">
        <v>16</v>
      </c>
      <c r="J753">
        <v>3</v>
      </c>
      <c r="K753">
        <v>2.5</v>
      </c>
      <c r="L753">
        <v>14</v>
      </c>
    </row>
    <row r="754" spans="1:12" hidden="1" x14ac:dyDescent="0.3">
      <c r="A754" s="3">
        <v>45403</v>
      </c>
      <c r="B754" t="s">
        <v>82</v>
      </c>
      <c r="C754" t="s">
        <v>73</v>
      </c>
      <c r="D754">
        <v>5</v>
      </c>
      <c r="E754">
        <v>8</v>
      </c>
      <c r="F754">
        <v>8</v>
      </c>
      <c r="G754">
        <v>1</v>
      </c>
      <c r="H754">
        <v>2</v>
      </c>
      <c r="I754">
        <v>2</v>
      </c>
      <c r="J754">
        <v>2.5</v>
      </c>
      <c r="K754">
        <v>2</v>
      </c>
      <c r="L754">
        <v>5</v>
      </c>
    </row>
    <row r="755" spans="1:12" hidden="1" x14ac:dyDescent="0.3">
      <c r="A755" s="3">
        <v>45404</v>
      </c>
      <c r="B755" t="s">
        <v>79</v>
      </c>
      <c r="C755" t="s">
        <v>104</v>
      </c>
      <c r="D755">
        <v>6</v>
      </c>
      <c r="E755">
        <v>8</v>
      </c>
      <c r="F755">
        <v>7</v>
      </c>
      <c r="G755">
        <v>2</v>
      </c>
      <c r="H755">
        <v>0</v>
      </c>
      <c r="I755">
        <v>5</v>
      </c>
      <c r="J755">
        <v>2.5</v>
      </c>
      <c r="K755">
        <v>2</v>
      </c>
      <c r="L755">
        <v>5</v>
      </c>
    </row>
    <row r="756" spans="1:12" hidden="1" x14ac:dyDescent="0.3">
      <c r="A756" s="3">
        <v>45404</v>
      </c>
      <c r="B756" t="s">
        <v>83</v>
      </c>
      <c r="C756" t="s">
        <v>100</v>
      </c>
      <c r="D756">
        <v>2</v>
      </c>
      <c r="E756">
        <v>10</v>
      </c>
      <c r="F756">
        <v>6</v>
      </c>
      <c r="G756">
        <v>1</v>
      </c>
      <c r="H756">
        <v>3</v>
      </c>
      <c r="I756">
        <v>2</v>
      </c>
      <c r="J756">
        <v>4.5</v>
      </c>
      <c r="K756">
        <v>4</v>
      </c>
      <c r="L756">
        <v>10</v>
      </c>
    </row>
    <row r="757" spans="1:12" hidden="1" x14ac:dyDescent="0.3">
      <c r="A757" s="3">
        <v>45404</v>
      </c>
      <c r="B757" t="s">
        <v>20</v>
      </c>
      <c r="C757" t="s">
        <v>25</v>
      </c>
      <c r="D757">
        <v>8</v>
      </c>
      <c r="E757">
        <v>10</v>
      </c>
      <c r="F757">
        <v>10</v>
      </c>
      <c r="G757">
        <v>2</v>
      </c>
      <c r="H757">
        <v>4</v>
      </c>
      <c r="I757">
        <v>2</v>
      </c>
      <c r="J757">
        <v>4.5</v>
      </c>
      <c r="K757">
        <v>4</v>
      </c>
      <c r="L757">
        <v>10</v>
      </c>
    </row>
    <row r="758" spans="1:12" hidden="1" x14ac:dyDescent="0.3">
      <c r="A758" s="3">
        <v>45404</v>
      </c>
      <c r="B758" t="s">
        <v>21</v>
      </c>
      <c r="C758" t="s">
        <v>27</v>
      </c>
      <c r="D758">
        <v>8</v>
      </c>
      <c r="E758">
        <v>8</v>
      </c>
      <c r="F758">
        <v>3</v>
      </c>
      <c r="G758">
        <v>5</v>
      </c>
      <c r="H758">
        <v>4</v>
      </c>
      <c r="I758">
        <v>4</v>
      </c>
      <c r="J758">
        <v>4</v>
      </c>
      <c r="K758">
        <v>3</v>
      </c>
      <c r="L758">
        <v>14</v>
      </c>
    </row>
    <row r="759" spans="1:12" hidden="1" x14ac:dyDescent="0.3">
      <c r="A759" s="3">
        <v>45404</v>
      </c>
      <c r="B759" t="s">
        <v>16</v>
      </c>
      <c r="C759" t="s">
        <v>77</v>
      </c>
      <c r="D759">
        <v>7</v>
      </c>
      <c r="E759">
        <v>10</v>
      </c>
      <c r="F759">
        <v>2</v>
      </c>
      <c r="G759">
        <v>7</v>
      </c>
      <c r="H759">
        <v>0</v>
      </c>
      <c r="I759">
        <v>8</v>
      </c>
      <c r="J759">
        <v>5.5</v>
      </c>
      <c r="K759">
        <v>4.5</v>
      </c>
      <c r="L759">
        <v>7</v>
      </c>
    </row>
    <row r="760" spans="1:12" hidden="1" x14ac:dyDescent="0.3">
      <c r="A760" s="3">
        <v>45404</v>
      </c>
      <c r="B760" t="s">
        <v>19</v>
      </c>
      <c r="C760" t="s">
        <v>17</v>
      </c>
      <c r="D760">
        <v>4</v>
      </c>
      <c r="E760">
        <v>10</v>
      </c>
      <c r="F760">
        <v>6</v>
      </c>
      <c r="G760">
        <v>4</v>
      </c>
      <c r="H760">
        <v>2</v>
      </c>
      <c r="I760">
        <v>2</v>
      </c>
      <c r="J760">
        <v>4.5</v>
      </c>
      <c r="K760">
        <v>4</v>
      </c>
      <c r="L760">
        <v>10</v>
      </c>
    </row>
    <row r="761" spans="1:12" hidden="1" x14ac:dyDescent="0.3">
      <c r="A761" s="3">
        <v>45404</v>
      </c>
      <c r="B761" t="s">
        <v>36</v>
      </c>
      <c r="C761" t="s">
        <v>33</v>
      </c>
      <c r="D761">
        <v>11</v>
      </c>
      <c r="E761">
        <v>12</v>
      </c>
      <c r="F761">
        <v>7</v>
      </c>
      <c r="G761">
        <v>8</v>
      </c>
      <c r="H761">
        <v>5</v>
      </c>
      <c r="I761">
        <v>3</v>
      </c>
      <c r="J761">
        <v>3.5</v>
      </c>
      <c r="K761">
        <v>3</v>
      </c>
      <c r="L761">
        <v>14</v>
      </c>
    </row>
    <row r="762" spans="1:12" hidden="1" x14ac:dyDescent="0.3">
      <c r="A762" s="3">
        <v>45405</v>
      </c>
      <c r="B762" t="s">
        <v>59</v>
      </c>
      <c r="C762" t="s">
        <v>93</v>
      </c>
      <c r="D762">
        <v>3</v>
      </c>
      <c r="E762">
        <v>10</v>
      </c>
      <c r="F762">
        <v>7</v>
      </c>
      <c r="G762">
        <v>2</v>
      </c>
      <c r="H762">
        <v>1</v>
      </c>
      <c r="I762">
        <v>3</v>
      </c>
      <c r="J762">
        <v>4</v>
      </c>
      <c r="K762">
        <v>3.5</v>
      </c>
      <c r="L762">
        <v>10</v>
      </c>
    </row>
    <row r="763" spans="1:12" hidden="1" x14ac:dyDescent="0.3">
      <c r="A763" s="3">
        <v>45405</v>
      </c>
      <c r="B763" t="s">
        <v>39</v>
      </c>
      <c r="C763" t="s">
        <v>32</v>
      </c>
      <c r="D763">
        <v>5</v>
      </c>
      <c r="E763">
        <v>12</v>
      </c>
      <c r="F763">
        <v>9</v>
      </c>
      <c r="G763">
        <v>4</v>
      </c>
      <c r="H763">
        <v>2</v>
      </c>
      <c r="I763">
        <v>2</v>
      </c>
      <c r="J763">
        <v>3.5</v>
      </c>
      <c r="K763">
        <v>3</v>
      </c>
      <c r="L763">
        <v>14</v>
      </c>
    </row>
    <row r="764" spans="1:12" hidden="1" x14ac:dyDescent="0.3">
      <c r="A764" s="3">
        <v>45405</v>
      </c>
      <c r="B764" t="s">
        <v>82</v>
      </c>
      <c r="C764" t="s">
        <v>73</v>
      </c>
      <c r="D764">
        <v>2</v>
      </c>
      <c r="E764">
        <v>8</v>
      </c>
      <c r="F764">
        <v>0</v>
      </c>
      <c r="G764">
        <v>6</v>
      </c>
      <c r="H764">
        <v>2</v>
      </c>
      <c r="I764">
        <v>2</v>
      </c>
      <c r="J764">
        <v>2.5</v>
      </c>
      <c r="K764">
        <v>2</v>
      </c>
      <c r="L764">
        <v>5</v>
      </c>
    </row>
    <row r="765" spans="1:12" hidden="1" x14ac:dyDescent="0.3">
      <c r="A765" s="3">
        <v>45405</v>
      </c>
      <c r="B765" t="s">
        <v>39</v>
      </c>
      <c r="C765" t="s">
        <v>32</v>
      </c>
      <c r="D765">
        <v>2</v>
      </c>
      <c r="E765">
        <v>12</v>
      </c>
      <c r="F765">
        <v>2</v>
      </c>
      <c r="G765">
        <v>7</v>
      </c>
      <c r="H765">
        <v>1</v>
      </c>
      <c r="I765">
        <v>4</v>
      </c>
      <c r="J765">
        <v>3.5</v>
      </c>
      <c r="K765">
        <v>3</v>
      </c>
      <c r="L765">
        <v>14</v>
      </c>
    </row>
    <row r="766" spans="1:12" hidden="1" x14ac:dyDescent="0.3">
      <c r="A766" s="3">
        <v>45405</v>
      </c>
      <c r="B766" t="s">
        <v>83</v>
      </c>
      <c r="C766" t="s">
        <v>100</v>
      </c>
      <c r="D766">
        <v>2</v>
      </c>
      <c r="E766">
        <v>10</v>
      </c>
      <c r="F766">
        <v>7</v>
      </c>
      <c r="G766">
        <v>0</v>
      </c>
      <c r="H766">
        <v>3</v>
      </c>
      <c r="I766">
        <v>2</v>
      </c>
      <c r="J766">
        <v>4.5</v>
      </c>
      <c r="K766">
        <v>4</v>
      </c>
      <c r="L766">
        <v>10</v>
      </c>
    </row>
    <row r="767" spans="1:12" hidden="1" x14ac:dyDescent="0.3">
      <c r="A767" s="3">
        <v>45405</v>
      </c>
      <c r="B767" t="s">
        <v>66</v>
      </c>
      <c r="C767" t="s">
        <v>45</v>
      </c>
      <c r="D767">
        <v>6</v>
      </c>
      <c r="E767">
        <v>8</v>
      </c>
      <c r="F767">
        <v>4</v>
      </c>
      <c r="G767">
        <v>3</v>
      </c>
      <c r="H767">
        <v>4</v>
      </c>
      <c r="I767">
        <v>3</v>
      </c>
      <c r="J767">
        <v>3.5</v>
      </c>
      <c r="K767">
        <v>3</v>
      </c>
      <c r="L767">
        <v>8</v>
      </c>
    </row>
    <row r="768" spans="1:12" hidden="1" x14ac:dyDescent="0.3">
      <c r="A768" s="3">
        <v>45406</v>
      </c>
      <c r="B768" t="s">
        <v>90</v>
      </c>
      <c r="C768" t="s">
        <v>87</v>
      </c>
      <c r="D768">
        <v>3</v>
      </c>
      <c r="E768">
        <v>12</v>
      </c>
      <c r="F768">
        <v>1</v>
      </c>
      <c r="G768">
        <v>3</v>
      </c>
      <c r="H768">
        <v>3</v>
      </c>
      <c r="I768">
        <v>8</v>
      </c>
      <c r="J768">
        <v>4.5</v>
      </c>
      <c r="K768">
        <v>4</v>
      </c>
      <c r="L768">
        <v>14</v>
      </c>
    </row>
    <row r="769" spans="1:12" hidden="1" x14ac:dyDescent="0.3">
      <c r="A769" s="3">
        <v>45406</v>
      </c>
      <c r="B769" t="s">
        <v>79</v>
      </c>
      <c r="C769" t="s">
        <v>104</v>
      </c>
      <c r="D769">
        <v>5</v>
      </c>
      <c r="E769">
        <v>8</v>
      </c>
      <c r="F769">
        <v>5</v>
      </c>
      <c r="G769">
        <v>2</v>
      </c>
      <c r="H769">
        <v>0</v>
      </c>
      <c r="I769">
        <v>6</v>
      </c>
      <c r="J769">
        <v>2.5</v>
      </c>
      <c r="K769">
        <v>2</v>
      </c>
      <c r="L769">
        <v>5</v>
      </c>
    </row>
    <row r="770" spans="1:12" hidden="1" x14ac:dyDescent="0.3">
      <c r="A770" s="3">
        <v>45406</v>
      </c>
      <c r="B770" t="s">
        <v>66</v>
      </c>
      <c r="C770" t="s">
        <v>45</v>
      </c>
      <c r="D770">
        <v>3</v>
      </c>
      <c r="E770">
        <v>8</v>
      </c>
      <c r="F770">
        <v>2</v>
      </c>
      <c r="G770">
        <v>1</v>
      </c>
      <c r="H770">
        <v>2</v>
      </c>
      <c r="I770">
        <v>6</v>
      </c>
      <c r="J770">
        <v>3.5</v>
      </c>
      <c r="K770">
        <v>3</v>
      </c>
      <c r="L770">
        <v>8</v>
      </c>
    </row>
    <row r="771" spans="1:12" hidden="1" x14ac:dyDescent="0.3">
      <c r="A771" s="3">
        <v>45406</v>
      </c>
      <c r="B771" t="s">
        <v>92</v>
      </c>
      <c r="C771" t="s">
        <v>91</v>
      </c>
      <c r="D771">
        <v>5</v>
      </c>
      <c r="E771">
        <v>6</v>
      </c>
      <c r="F771">
        <v>5</v>
      </c>
      <c r="G771">
        <v>4</v>
      </c>
      <c r="H771">
        <v>1</v>
      </c>
      <c r="I771">
        <v>1</v>
      </c>
      <c r="J771">
        <v>4.5</v>
      </c>
      <c r="K771">
        <v>4</v>
      </c>
      <c r="L771">
        <v>14</v>
      </c>
    </row>
    <row r="772" spans="1:12" hidden="1" x14ac:dyDescent="0.3">
      <c r="A772" s="3">
        <v>45406</v>
      </c>
      <c r="B772" t="s">
        <v>84</v>
      </c>
      <c r="C772" t="s">
        <v>101</v>
      </c>
      <c r="D772">
        <v>2</v>
      </c>
      <c r="E772">
        <v>8</v>
      </c>
      <c r="F772">
        <v>3</v>
      </c>
      <c r="G772">
        <v>0</v>
      </c>
      <c r="H772">
        <v>3</v>
      </c>
      <c r="I772">
        <v>4</v>
      </c>
      <c r="J772">
        <v>3.5</v>
      </c>
      <c r="K772">
        <v>3</v>
      </c>
      <c r="L772">
        <v>8</v>
      </c>
    </row>
    <row r="773" spans="1:12" hidden="1" x14ac:dyDescent="0.3">
      <c r="A773" s="3">
        <v>45406</v>
      </c>
      <c r="B773" t="s">
        <v>63</v>
      </c>
      <c r="C773" t="s">
        <v>97</v>
      </c>
      <c r="D773">
        <v>3</v>
      </c>
      <c r="E773">
        <v>10</v>
      </c>
      <c r="F773">
        <v>3</v>
      </c>
      <c r="G773">
        <v>0</v>
      </c>
      <c r="H773">
        <v>0</v>
      </c>
      <c r="I773">
        <v>10</v>
      </c>
      <c r="J773">
        <v>4</v>
      </c>
      <c r="K773">
        <v>3.5</v>
      </c>
      <c r="L773">
        <v>10</v>
      </c>
    </row>
    <row r="774" spans="1:12" x14ac:dyDescent="0.3">
      <c r="A774" s="3">
        <v>45406</v>
      </c>
      <c r="B774" t="s">
        <v>34</v>
      </c>
      <c r="C774" t="s">
        <v>30</v>
      </c>
      <c r="D774">
        <v>5</v>
      </c>
      <c r="E774">
        <v>6</v>
      </c>
      <c r="F774">
        <v>1</v>
      </c>
      <c r="G774">
        <v>3</v>
      </c>
      <c r="H774">
        <v>2</v>
      </c>
      <c r="I774">
        <v>5</v>
      </c>
      <c r="J774">
        <v>3.5</v>
      </c>
      <c r="K774">
        <v>3</v>
      </c>
      <c r="L774">
        <v>10</v>
      </c>
    </row>
    <row r="775" spans="1:12" hidden="1" x14ac:dyDescent="0.3">
      <c r="A775" s="3">
        <v>45406</v>
      </c>
      <c r="B775" t="s">
        <v>71</v>
      </c>
      <c r="C775" t="s">
        <v>47</v>
      </c>
      <c r="D775">
        <v>3</v>
      </c>
      <c r="E775">
        <v>6</v>
      </c>
      <c r="F775">
        <v>3</v>
      </c>
      <c r="G775">
        <v>1</v>
      </c>
      <c r="H775">
        <v>1</v>
      </c>
      <c r="I775">
        <v>4</v>
      </c>
      <c r="J775">
        <v>4</v>
      </c>
      <c r="K775">
        <v>3</v>
      </c>
      <c r="L775">
        <v>7</v>
      </c>
    </row>
    <row r="776" spans="1:12" hidden="1" x14ac:dyDescent="0.3">
      <c r="A776" s="3">
        <v>45407</v>
      </c>
      <c r="B776" t="s">
        <v>57</v>
      </c>
      <c r="C776" t="s">
        <v>75</v>
      </c>
      <c r="D776">
        <v>1</v>
      </c>
      <c r="E776">
        <v>8</v>
      </c>
      <c r="F776">
        <v>3</v>
      </c>
      <c r="G776">
        <v>2</v>
      </c>
      <c r="H776">
        <v>2</v>
      </c>
      <c r="I776">
        <v>2</v>
      </c>
      <c r="J776">
        <v>6</v>
      </c>
      <c r="K776">
        <v>5.5</v>
      </c>
      <c r="L776">
        <v>20</v>
      </c>
    </row>
    <row r="777" spans="1:12" hidden="1" x14ac:dyDescent="0.3">
      <c r="A777" s="3">
        <v>45407</v>
      </c>
      <c r="B777" t="s">
        <v>24</v>
      </c>
      <c r="C777" t="s">
        <v>29</v>
      </c>
      <c r="D777">
        <v>2</v>
      </c>
      <c r="E777">
        <v>8</v>
      </c>
      <c r="F777">
        <v>3</v>
      </c>
      <c r="G777">
        <v>0</v>
      </c>
      <c r="H777">
        <v>3</v>
      </c>
      <c r="I777">
        <v>4</v>
      </c>
      <c r="J777">
        <v>7.5</v>
      </c>
      <c r="K777">
        <v>5.5</v>
      </c>
      <c r="L777">
        <v>7</v>
      </c>
    </row>
    <row r="778" spans="1:12" hidden="1" x14ac:dyDescent="0.3">
      <c r="A778" s="3">
        <v>45407</v>
      </c>
      <c r="B778" t="s">
        <v>84</v>
      </c>
      <c r="C778" t="s">
        <v>101</v>
      </c>
      <c r="D778">
        <v>4</v>
      </c>
      <c r="E778">
        <v>8</v>
      </c>
      <c r="F778">
        <v>0</v>
      </c>
      <c r="G778">
        <v>0</v>
      </c>
      <c r="H778">
        <v>7</v>
      </c>
      <c r="I778">
        <v>5</v>
      </c>
      <c r="J778">
        <v>3.5</v>
      </c>
      <c r="K778">
        <v>3</v>
      </c>
      <c r="L778">
        <v>8</v>
      </c>
    </row>
    <row r="779" spans="1:12" hidden="1" x14ac:dyDescent="0.3">
      <c r="A779" s="3">
        <v>45407</v>
      </c>
      <c r="B779" t="s">
        <v>19</v>
      </c>
      <c r="C779" t="s">
        <v>17</v>
      </c>
      <c r="D779">
        <v>2</v>
      </c>
      <c r="E779">
        <v>10</v>
      </c>
      <c r="F779">
        <v>4</v>
      </c>
      <c r="G779">
        <v>1</v>
      </c>
      <c r="H779">
        <v>4</v>
      </c>
      <c r="I779">
        <v>3</v>
      </c>
      <c r="J779">
        <v>4.5</v>
      </c>
      <c r="K779">
        <v>4</v>
      </c>
      <c r="L779">
        <v>10</v>
      </c>
    </row>
    <row r="780" spans="1:12" hidden="1" x14ac:dyDescent="0.3">
      <c r="A780" s="3">
        <v>45407</v>
      </c>
      <c r="B780" t="s">
        <v>40</v>
      </c>
      <c r="C780" t="s">
        <v>85</v>
      </c>
      <c r="D780">
        <v>16</v>
      </c>
      <c r="E780">
        <v>15</v>
      </c>
      <c r="F780">
        <v>7</v>
      </c>
      <c r="G780">
        <v>1</v>
      </c>
      <c r="H780">
        <v>3</v>
      </c>
      <c r="I780">
        <v>20</v>
      </c>
      <c r="J780">
        <v>3</v>
      </c>
      <c r="K780">
        <v>2.5</v>
      </c>
      <c r="L780">
        <v>14</v>
      </c>
    </row>
    <row r="781" spans="1:12" hidden="1" x14ac:dyDescent="0.3">
      <c r="A781" s="3">
        <v>45407</v>
      </c>
      <c r="B781" t="s">
        <v>81</v>
      </c>
      <c r="C781" t="s">
        <v>50</v>
      </c>
      <c r="D781">
        <v>3</v>
      </c>
      <c r="E781">
        <v>8</v>
      </c>
      <c r="F781">
        <v>7</v>
      </c>
      <c r="G781">
        <v>1</v>
      </c>
      <c r="H781">
        <v>1</v>
      </c>
      <c r="I781">
        <v>2</v>
      </c>
      <c r="J781">
        <v>2.5</v>
      </c>
      <c r="K781">
        <v>2</v>
      </c>
      <c r="L781">
        <v>5</v>
      </c>
    </row>
    <row r="782" spans="1:12" hidden="1" x14ac:dyDescent="0.3">
      <c r="A782" s="3">
        <v>45408</v>
      </c>
      <c r="B782" t="s">
        <v>92</v>
      </c>
      <c r="C782" t="s">
        <v>91</v>
      </c>
      <c r="D782">
        <v>1</v>
      </c>
      <c r="E782">
        <v>6</v>
      </c>
      <c r="F782">
        <v>2</v>
      </c>
      <c r="G782">
        <v>0</v>
      </c>
      <c r="H782">
        <v>3</v>
      </c>
      <c r="I782">
        <v>2</v>
      </c>
      <c r="J782">
        <v>4.5</v>
      </c>
      <c r="K782">
        <v>4</v>
      </c>
      <c r="L782">
        <v>14</v>
      </c>
    </row>
    <row r="783" spans="1:12" hidden="1" x14ac:dyDescent="0.3">
      <c r="A783" s="3">
        <v>45408</v>
      </c>
      <c r="B783" t="s">
        <v>82</v>
      </c>
      <c r="C783" t="s">
        <v>73</v>
      </c>
      <c r="D783">
        <v>2</v>
      </c>
      <c r="E783">
        <v>8</v>
      </c>
      <c r="F783">
        <v>2</v>
      </c>
      <c r="G783">
        <v>0</v>
      </c>
      <c r="H783">
        <v>5</v>
      </c>
      <c r="I783">
        <v>3</v>
      </c>
      <c r="J783">
        <v>2.5</v>
      </c>
      <c r="K783">
        <v>2</v>
      </c>
      <c r="L783">
        <v>5</v>
      </c>
    </row>
    <row r="784" spans="1:12" hidden="1" x14ac:dyDescent="0.3">
      <c r="A784" s="3">
        <v>45408</v>
      </c>
      <c r="B784" t="s">
        <v>69</v>
      </c>
      <c r="C784" t="s">
        <v>98</v>
      </c>
      <c r="D784">
        <v>1</v>
      </c>
      <c r="E784">
        <v>6</v>
      </c>
      <c r="F784">
        <v>4</v>
      </c>
      <c r="G784">
        <v>1</v>
      </c>
      <c r="H784">
        <v>0</v>
      </c>
      <c r="I784">
        <v>2</v>
      </c>
      <c r="J784">
        <v>4</v>
      </c>
      <c r="K784">
        <v>3</v>
      </c>
      <c r="L784">
        <v>7</v>
      </c>
    </row>
    <row r="785" spans="1:12" hidden="1" x14ac:dyDescent="0.3">
      <c r="A785" s="3">
        <v>45408</v>
      </c>
      <c r="B785" t="s">
        <v>39</v>
      </c>
      <c r="C785" t="s">
        <v>32</v>
      </c>
      <c r="D785">
        <v>4</v>
      </c>
      <c r="E785">
        <v>12</v>
      </c>
      <c r="F785">
        <v>5</v>
      </c>
      <c r="G785">
        <v>3</v>
      </c>
      <c r="H785">
        <v>4</v>
      </c>
      <c r="I785">
        <v>4</v>
      </c>
      <c r="J785">
        <v>3.5</v>
      </c>
      <c r="K785">
        <v>3</v>
      </c>
      <c r="L785">
        <v>14</v>
      </c>
    </row>
    <row r="786" spans="1:12" hidden="1" x14ac:dyDescent="0.3">
      <c r="A786" s="3">
        <v>45409</v>
      </c>
      <c r="B786" t="s">
        <v>78</v>
      </c>
      <c r="C786" t="s">
        <v>74</v>
      </c>
      <c r="D786">
        <v>1</v>
      </c>
      <c r="E786">
        <v>6</v>
      </c>
      <c r="F786">
        <v>2</v>
      </c>
      <c r="G786">
        <v>2</v>
      </c>
      <c r="H786">
        <v>0</v>
      </c>
      <c r="I786">
        <v>3</v>
      </c>
      <c r="J786">
        <v>4</v>
      </c>
      <c r="K786">
        <v>3</v>
      </c>
      <c r="L786">
        <v>7</v>
      </c>
    </row>
    <row r="787" spans="1:12" hidden="1" x14ac:dyDescent="0.3">
      <c r="A787" s="3">
        <v>45409</v>
      </c>
      <c r="B787" t="s">
        <v>82</v>
      </c>
      <c r="C787" t="s">
        <v>73</v>
      </c>
      <c r="D787">
        <v>3</v>
      </c>
      <c r="E787">
        <v>8</v>
      </c>
      <c r="F787">
        <v>5</v>
      </c>
      <c r="G787">
        <v>0</v>
      </c>
      <c r="H787">
        <v>4</v>
      </c>
      <c r="I787">
        <v>2</v>
      </c>
      <c r="J787">
        <v>2.5</v>
      </c>
      <c r="K787">
        <v>2</v>
      </c>
      <c r="L787">
        <v>5</v>
      </c>
    </row>
    <row r="788" spans="1:12" hidden="1" x14ac:dyDescent="0.3">
      <c r="A788" s="3">
        <v>45409</v>
      </c>
      <c r="B788" t="s">
        <v>88</v>
      </c>
      <c r="C788" t="s">
        <v>102</v>
      </c>
      <c r="D788">
        <v>2</v>
      </c>
      <c r="E788">
        <v>8</v>
      </c>
      <c r="F788">
        <v>0</v>
      </c>
      <c r="G788">
        <v>0</v>
      </c>
      <c r="H788">
        <v>1</v>
      </c>
      <c r="I788">
        <v>9</v>
      </c>
      <c r="J788">
        <v>3.5</v>
      </c>
      <c r="K788">
        <v>3</v>
      </c>
      <c r="L788">
        <v>8</v>
      </c>
    </row>
    <row r="789" spans="1:12" hidden="1" x14ac:dyDescent="0.3">
      <c r="A789" s="3">
        <v>45409</v>
      </c>
      <c r="B789" t="s">
        <v>92</v>
      </c>
      <c r="C789" t="s">
        <v>91</v>
      </c>
      <c r="D789">
        <v>2</v>
      </c>
      <c r="E789">
        <v>6</v>
      </c>
      <c r="F789">
        <v>3</v>
      </c>
      <c r="G789">
        <v>0</v>
      </c>
      <c r="H789">
        <v>2</v>
      </c>
      <c r="I789">
        <v>3</v>
      </c>
      <c r="J789">
        <v>4.5</v>
      </c>
      <c r="K789">
        <v>4</v>
      </c>
      <c r="L789">
        <v>14</v>
      </c>
    </row>
    <row r="790" spans="1:12" hidden="1" x14ac:dyDescent="0.3">
      <c r="A790" s="3">
        <v>45409</v>
      </c>
      <c r="B790" t="s">
        <v>40</v>
      </c>
      <c r="C790" t="s">
        <v>85</v>
      </c>
      <c r="D790">
        <v>20</v>
      </c>
      <c r="E790">
        <v>15</v>
      </c>
      <c r="F790">
        <v>7</v>
      </c>
      <c r="G790">
        <v>12</v>
      </c>
      <c r="H790">
        <v>10</v>
      </c>
      <c r="I790">
        <v>6</v>
      </c>
      <c r="J790">
        <v>3</v>
      </c>
      <c r="K790">
        <v>2.5</v>
      </c>
      <c r="L790">
        <v>14</v>
      </c>
    </row>
    <row r="791" spans="1:12" hidden="1" x14ac:dyDescent="0.3">
      <c r="A791" s="3">
        <v>45410</v>
      </c>
      <c r="B791" t="s">
        <v>20</v>
      </c>
      <c r="C791" t="s">
        <v>25</v>
      </c>
      <c r="D791">
        <v>2</v>
      </c>
      <c r="E791">
        <v>10</v>
      </c>
      <c r="F791">
        <v>3</v>
      </c>
      <c r="G791">
        <v>0</v>
      </c>
      <c r="H791">
        <v>4</v>
      </c>
      <c r="I791">
        <v>5</v>
      </c>
      <c r="J791">
        <v>4.5</v>
      </c>
      <c r="K791">
        <v>4</v>
      </c>
      <c r="L791">
        <v>10</v>
      </c>
    </row>
    <row r="792" spans="1:12" hidden="1" x14ac:dyDescent="0.3">
      <c r="A792" s="3">
        <v>45410</v>
      </c>
      <c r="B792" t="s">
        <v>82</v>
      </c>
      <c r="C792" t="s">
        <v>73</v>
      </c>
      <c r="D792">
        <v>2</v>
      </c>
      <c r="E792">
        <v>8</v>
      </c>
      <c r="F792">
        <v>2</v>
      </c>
      <c r="G792">
        <v>2</v>
      </c>
      <c r="H792">
        <v>3</v>
      </c>
      <c r="I792">
        <v>3</v>
      </c>
      <c r="J792">
        <v>2.5</v>
      </c>
      <c r="K792">
        <v>2</v>
      </c>
      <c r="L792">
        <v>5</v>
      </c>
    </row>
    <row r="793" spans="1:12" hidden="1" x14ac:dyDescent="0.3">
      <c r="A793" s="3">
        <v>45410</v>
      </c>
      <c r="B793" t="s">
        <v>63</v>
      </c>
      <c r="C793" t="s">
        <v>97</v>
      </c>
      <c r="D793">
        <v>10</v>
      </c>
      <c r="E793">
        <v>10</v>
      </c>
      <c r="F793">
        <v>12</v>
      </c>
      <c r="G793">
        <v>3</v>
      </c>
      <c r="H793">
        <v>0</v>
      </c>
      <c r="I793">
        <v>5</v>
      </c>
      <c r="J793">
        <v>4</v>
      </c>
      <c r="K793">
        <v>3.5</v>
      </c>
      <c r="L793">
        <v>10</v>
      </c>
    </row>
    <row r="794" spans="1:12" hidden="1" x14ac:dyDescent="0.3">
      <c r="A794" s="3">
        <v>45410</v>
      </c>
      <c r="B794" t="s">
        <v>81</v>
      </c>
      <c r="C794" t="s">
        <v>50</v>
      </c>
      <c r="D794">
        <v>2</v>
      </c>
      <c r="E794">
        <v>8</v>
      </c>
      <c r="F794">
        <v>2</v>
      </c>
      <c r="G794">
        <v>3</v>
      </c>
      <c r="H794">
        <v>0</v>
      </c>
      <c r="I794">
        <v>5</v>
      </c>
      <c r="J794">
        <v>2.5</v>
      </c>
      <c r="K794">
        <v>2</v>
      </c>
      <c r="L794">
        <v>5</v>
      </c>
    </row>
    <row r="795" spans="1:12" hidden="1" x14ac:dyDescent="0.3">
      <c r="A795" s="3">
        <v>45410</v>
      </c>
      <c r="B795" t="s">
        <v>83</v>
      </c>
      <c r="C795" t="s">
        <v>100</v>
      </c>
      <c r="D795">
        <v>2</v>
      </c>
      <c r="E795">
        <v>10</v>
      </c>
      <c r="F795">
        <v>0</v>
      </c>
      <c r="G795">
        <v>4</v>
      </c>
      <c r="H795">
        <v>1</v>
      </c>
      <c r="I795">
        <v>7</v>
      </c>
      <c r="J795">
        <v>4.5</v>
      </c>
      <c r="K795">
        <v>4</v>
      </c>
      <c r="L795">
        <v>10</v>
      </c>
    </row>
    <row r="796" spans="1:12" hidden="1" x14ac:dyDescent="0.3">
      <c r="A796" s="3">
        <v>45410</v>
      </c>
      <c r="B796" t="s">
        <v>23</v>
      </c>
      <c r="C796" t="s">
        <v>28</v>
      </c>
      <c r="D796">
        <v>3</v>
      </c>
      <c r="E796">
        <v>9</v>
      </c>
      <c r="F796">
        <v>1</v>
      </c>
      <c r="G796">
        <v>7</v>
      </c>
      <c r="H796">
        <v>1</v>
      </c>
      <c r="I796">
        <v>3</v>
      </c>
      <c r="J796">
        <v>6.5</v>
      </c>
      <c r="K796">
        <v>5.5</v>
      </c>
      <c r="L796">
        <v>9</v>
      </c>
    </row>
    <row r="797" spans="1:12" hidden="1" x14ac:dyDescent="0.3">
      <c r="A797" s="3">
        <v>45410</v>
      </c>
      <c r="B797" t="s">
        <v>41</v>
      </c>
      <c r="C797" t="s">
        <v>86</v>
      </c>
      <c r="D797">
        <v>5</v>
      </c>
      <c r="E797">
        <v>15</v>
      </c>
      <c r="F797">
        <v>4</v>
      </c>
      <c r="G797">
        <v>1</v>
      </c>
      <c r="H797">
        <v>4</v>
      </c>
      <c r="I797">
        <v>11</v>
      </c>
      <c r="J797">
        <v>3</v>
      </c>
      <c r="K797">
        <v>2.5</v>
      </c>
      <c r="L797">
        <v>14</v>
      </c>
    </row>
    <row r="798" spans="1:12" hidden="1" x14ac:dyDescent="0.3">
      <c r="A798" s="3">
        <v>45410</v>
      </c>
      <c r="B798" t="s">
        <v>23</v>
      </c>
      <c r="C798" t="s">
        <v>28</v>
      </c>
      <c r="D798">
        <v>3</v>
      </c>
      <c r="E798">
        <v>9</v>
      </c>
      <c r="F798">
        <v>0</v>
      </c>
      <c r="G798">
        <v>0</v>
      </c>
      <c r="H798">
        <v>4</v>
      </c>
      <c r="I798">
        <v>8</v>
      </c>
      <c r="J798">
        <v>6.5</v>
      </c>
      <c r="K798">
        <v>5.5</v>
      </c>
      <c r="L798">
        <v>9</v>
      </c>
    </row>
    <row r="799" spans="1:12" hidden="1" x14ac:dyDescent="0.3">
      <c r="A799" s="3">
        <v>45411</v>
      </c>
      <c r="B799" t="s">
        <v>84</v>
      </c>
      <c r="C799" t="s">
        <v>101</v>
      </c>
      <c r="D799">
        <v>5</v>
      </c>
      <c r="E799">
        <v>8</v>
      </c>
      <c r="F799">
        <v>5</v>
      </c>
      <c r="G799">
        <v>3</v>
      </c>
      <c r="H799">
        <v>0</v>
      </c>
      <c r="I799">
        <v>5</v>
      </c>
      <c r="J799">
        <v>3.5</v>
      </c>
      <c r="K799">
        <v>3</v>
      </c>
      <c r="L799">
        <v>8</v>
      </c>
    </row>
    <row r="800" spans="1:12" hidden="1" x14ac:dyDescent="0.3">
      <c r="A800" s="3">
        <v>45411</v>
      </c>
      <c r="B800" t="s">
        <v>81</v>
      </c>
      <c r="C800" t="s">
        <v>50</v>
      </c>
      <c r="D800">
        <v>5</v>
      </c>
      <c r="E800">
        <v>8</v>
      </c>
      <c r="F800">
        <v>6</v>
      </c>
      <c r="G800">
        <v>4</v>
      </c>
      <c r="H800">
        <v>1</v>
      </c>
      <c r="I800">
        <v>2</v>
      </c>
      <c r="J800">
        <v>2.5</v>
      </c>
      <c r="K800">
        <v>2</v>
      </c>
      <c r="L800">
        <v>5</v>
      </c>
    </row>
    <row r="801" spans="1:12" hidden="1" x14ac:dyDescent="0.3">
      <c r="A801" s="3">
        <v>45411</v>
      </c>
      <c r="B801" t="s">
        <v>24</v>
      </c>
      <c r="C801" t="s">
        <v>29</v>
      </c>
      <c r="D801">
        <v>4</v>
      </c>
      <c r="E801">
        <v>8</v>
      </c>
      <c r="F801">
        <v>1</v>
      </c>
      <c r="G801">
        <v>1</v>
      </c>
      <c r="H801">
        <v>0</v>
      </c>
      <c r="I801">
        <v>10</v>
      </c>
      <c r="J801">
        <v>7.5</v>
      </c>
      <c r="K801">
        <v>5.5</v>
      </c>
      <c r="L801">
        <v>7</v>
      </c>
    </row>
    <row r="802" spans="1:12" hidden="1" x14ac:dyDescent="0.3">
      <c r="A802" s="3">
        <v>45411</v>
      </c>
      <c r="B802" t="s">
        <v>61</v>
      </c>
      <c r="C802" t="s">
        <v>95</v>
      </c>
      <c r="D802">
        <v>4</v>
      </c>
      <c r="E802">
        <v>10</v>
      </c>
      <c r="F802">
        <v>7</v>
      </c>
      <c r="G802">
        <v>3</v>
      </c>
      <c r="H802">
        <v>1</v>
      </c>
      <c r="I802">
        <v>3</v>
      </c>
      <c r="J802">
        <v>4</v>
      </c>
      <c r="K802">
        <v>3.5</v>
      </c>
      <c r="L802">
        <v>10</v>
      </c>
    </row>
    <row r="803" spans="1:12" hidden="1" x14ac:dyDescent="0.3">
      <c r="A803" s="3">
        <v>45411</v>
      </c>
      <c r="B803" t="s">
        <v>36</v>
      </c>
      <c r="C803" t="s">
        <v>33</v>
      </c>
      <c r="D803">
        <v>3</v>
      </c>
      <c r="E803">
        <v>12</v>
      </c>
      <c r="F803">
        <v>8</v>
      </c>
      <c r="G803">
        <v>2</v>
      </c>
      <c r="H803">
        <v>0</v>
      </c>
      <c r="I803">
        <v>5</v>
      </c>
      <c r="J803">
        <v>3.5</v>
      </c>
      <c r="K803">
        <v>3</v>
      </c>
      <c r="L803">
        <v>14</v>
      </c>
    </row>
    <row r="804" spans="1:12" hidden="1" x14ac:dyDescent="0.3">
      <c r="A804" s="3">
        <v>45411</v>
      </c>
      <c r="B804" t="s">
        <v>70</v>
      </c>
      <c r="C804" t="s">
        <v>99</v>
      </c>
      <c r="D804">
        <v>4</v>
      </c>
      <c r="E804">
        <v>6</v>
      </c>
      <c r="F804">
        <v>0</v>
      </c>
      <c r="G804">
        <v>1</v>
      </c>
      <c r="H804">
        <v>4</v>
      </c>
      <c r="I804">
        <v>5</v>
      </c>
      <c r="J804">
        <v>4</v>
      </c>
      <c r="K804">
        <v>3</v>
      </c>
      <c r="L804">
        <v>7</v>
      </c>
    </row>
    <row r="805" spans="1:12" hidden="1" x14ac:dyDescent="0.3">
      <c r="A805" s="3">
        <v>45411</v>
      </c>
      <c r="B805" t="s">
        <v>59</v>
      </c>
      <c r="C805" t="s">
        <v>93</v>
      </c>
      <c r="D805">
        <v>3</v>
      </c>
      <c r="E805">
        <v>10</v>
      </c>
      <c r="F805">
        <v>5</v>
      </c>
      <c r="G805">
        <v>5</v>
      </c>
      <c r="H805">
        <v>0</v>
      </c>
      <c r="I805">
        <v>3</v>
      </c>
      <c r="J805">
        <v>4</v>
      </c>
      <c r="K805">
        <v>3.5</v>
      </c>
      <c r="L805">
        <v>10</v>
      </c>
    </row>
    <row r="806" spans="1:12" hidden="1" x14ac:dyDescent="0.3">
      <c r="A806" s="3">
        <v>45412</v>
      </c>
      <c r="B806" t="s">
        <v>63</v>
      </c>
      <c r="C806" t="s">
        <v>97</v>
      </c>
      <c r="D806">
        <v>5</v>
      </c>
      <c r="E806">
        <v>10</v>
      </c>
      <c r="F806">
        <v>9</v>
      </c>
      <c r="G806">
        <v>1</v>
      </c>
      <c r="H806">
        <v>2</v>
      </c>
      <c r="I806">
        <v>3</v>
      </c>
      <c r="J806">
        <v>4</v>
      </c>
      <c r="K806">
        <v>3.5</v>
      </c>
      <c r="L806">
        <v>10</v>
      </c>
    </row>
    <row r="807" spans="1:12" hidden="1" x14ac:dyDescent="0.3">
      <c r="A807" s="3">
        <v>45412</v>
      </c>
      <c r="B807" t="s">
        <v>36</v>
      </c>
      <c r="C807" t="s">
        <v>33</v>
      </c>
      <c r="D807">
        <v>5</v>
      </c>
      <c r="E807">
        <v>12</v>
      </c>
      <c r="F807">
        <v>6</v>
      </c>
      <c r="G807">
        <v>3</v>
      </c>
      <c r="H807">
        <v>3</v>
      </c>
      <c r="I807">
        <v>5</v>
      </c>
      <c r="J807">
        <v>3.5</v>
      </c>
      <c r="K807">
        <v>3</v>
      </c>
      <c r="L807">
        <v>14</v>
      </c>
    </row>
    <row r="808" spans="1:12" hidden="1" x14ac:dyDescent="0.3">
      <c r="A808" s="3">
        <v>45412</v>
      </c>
      <c r="B808" t="s">
        <v>71</v>
      </c>
      <c r="C808" t="s">
        <v>47</v>
      </c>
      <c r="D808">
        <v>4</v>
      </c>
      <c r="E808">
        <v>6</v>
      </c>
      <c r="F808">
        <v>0</v>
      </c>
      <c r="G808">
        <v>1</v>
      </c>
      <c r="H808">
        <v>1</v>
      </c>
      <c r="I808">
        <v>8</v>
      </c>
      <c r="J808">
        <v>4</v>
      </c>
      <c r="K808">
        <v>3</v>
      </c>
      <c r="L808">
        <v>7</v>
      </c>
    </row>
    <row r="809" spans="1:12" hidden="1" x14ac:dyDescent="0.3">
      <c r="A809" s="3">
        <v>45412</v>
      </c>
      <c r="B809" t="s">
        <v>21</v>
      </c>
      <c r="C809" t="s">
        <v>27</v>
      </c>
      <c r="D809">
        <v>4</v>
      </c>
      <c r="E809">
        <v>8</v>
      </c>
      <c r="F809">
        <v>0</v>
      </c>
      <c r="G809">
        <v>3</v>
      </c>
      <c r="H809">
        <v>5</v>
      </c>
      <c r="I809">
        <v>4</v>
      </c>
      <c r="J809">
        <v>4</v>
      </c>
      <c r="K809">
        <v>3</v>
      </c>
      <c r="L809">
        <v>14</v>
      </c>
    </row>
    <row r="810" spans="1:12" hidden="1" x14ac:dyDescent="0.3">
      <c r="A810" s="3">
        <v>45412</v>
      </c>
      <c r="B810" t="s">
        <v>16</v>
      </c>
      <c r="C810" t="s">
        <v>77</v>
      </c>
      <c r="D810">
        <v>8</v>
      </c>
      <c r="E810">
        <v>10</v>
      </c>
      <c r="F810">
        <v>8</v>
      </c>
      <c r="G810">
        <v>1</v>
      </c>
      <c r="H810">
        <v>3</v>
      </c>
      <c r="I810">
        <v>6</v>
      </c>
      <c r="J810">
        <v>5.5</v>
      </c>
      <c r="K810">
        <v>4.5</v>
      </c>
      <c r="L810">
        <v>7</v>
      </c>
    </row>
    <row r="811" spans="1:12" hidden="1" x14ac:dyDescent="0.3">
      <c r="A811" s="3">
        <v>45412</v>
      </c>
      <c r="B811" t="s">
        <v>10</v>
      </c>
      <c r="C811" t="s">
        <v>18</v>
      </c>
      <c r="D811">
        <v>2</v>
      </c>
      <c r="E811">
        <v>10</v>
      </c>
      <c r="F811">
        <v>6</v>
      </c>
      <c r="G811">
        <v>2</v>
      </c>
      <c r="H811">
        <v>2</v>
      </c>
      <c r="I811">
        <v>2</v>
      </c>
      <c r="J811">
        <v>5.5</v>
      </c>
      <c r="K811">
        <v>4.5</v>
      </c>
      <c r="L811">
        <v>7</v>
      </c>
    </row>
    <row r="812" spans="1:12" hidden="1" x14ac:dyDescent="0.3">
      <c r="A812" s="3">
        <v>45412</v>
      </c>
      <c r="B812" t="s">
        <v>58</v>
      </c>
      <c r="C812" t="s">
        <v>76</v>
      </c>
      <c r="D812">
        <v>5</v>
      </c>
      <c r="E812">
        <v>15</v>
      </c>
      <c r="F812">
        <v>1</v>
      </c>
      <c r="G812">
        <v>2</v>
      </c>
      <c r="H812">
        <v>3</v>
      </c>
      <c r="I812">
        <v>14</v>
      </c>
      <c r="J812">
        <v>6</v>
      </c>
      <c r="K812">
        <v>5.5</v>
      </c>
      <c r="L812">
        <v>20</v>
      </c>
    </row>
    <row r="813" spans="1:12" hidden="1" x14ac:dyDescent="0.3">
      <c r="A813" s="3">
        <v>45413</v>
      </c>
      <c r="B813" t="s">
        <v>72</v>
      </c>
      <c r="C813" t="s">
        <v>48</v>
      </c>
      <c r="D813">
        <v>6</v>
      </c>
      <c r="E813">
        <v>6</v>
      </c>
      <c r="F813">
        <v>1</v>
      </c>
      <c r="G813">
        <v>2</v>
      </c>
      <c r="H813">
        <v>2</v>
      </c>
      <c r="I813">
        <v>7</v>
      </c>
      <c r="J813">
        <v>4</v>
      </c>
      <c r="K813">
        <v>3</v>
      </c>
      <c r="L813">
        <v>7</v>
      </c>
    </row>
    <row r="814" spans="1:12" hidden="1" x14ac:dyDescent="0.3">
      <c r="A814" s="3">
        <v>45413</v>
      </c>
      <c r="B814" t="s">
        <v>39</v>
      </c>
      <c r="C814" t="s">
        <v>32</v>
      </c>
      <c r="D814">
        <v>4</v>
      </c>
      <c r="E814">
        <v>12</v>
      </c>
      <c r="F814">
        <v>2</v>
      </c>
      <c r="G814">
        <v>1</v>
      </c>
      <c r="H814">
        <v>3</v>
      </c>
      <c r="I814">
        <v>10</v>
      </c>
      <c r="J814">
        <v>3.5</v>
      </c>
      <c r="K814">
        <v>3</v>
      </c>
      <c r="L814">
        <v>14</v>
      </c>
    </row>
    <row r="815" spans="1:12" hidden="1" x14ac:dyDescent="0.3">
      <c r="A815" s="3">
        <v>45413</v>
      </c>
      <c r="B815" t="s">
        <v>40</v>
      </c>
      <c r="C815" t="s">
        <v>85</v>
      </c>
      <c r="D815">
        <v>6</v>
      </c>
      <c r="E815">
        <v>15</v>
      </c>
      <c r="F815">
        <v>8</v>
      </c>
      <c r="G815">
        <v>0</v>
      </c>
      <c r="H815">
        <v>1</v>
      </c>
      <c r="I815">
        <v>12</v>
      </c>
      <c r="J815">
        <v>3</v>
      </c>
      <c r="K815">
        <v>2.5</v>
      </c>
      <c r="L815">
        <v>14</v>
      </c>
    </row>
    <row r="816" spans="1:12" hidden="1" x14ac:dyDescent="0.3">
      <c r="A816" s="3">
        <v>45413</v>
      </c>
      <c r="B816" t="s">
        <v>67</v>
      </c>
      <c r="C816" t="s">
        <v>46</v>
      </c>
      <c r="D816">
        <v>5</v>
      </c>
      <c r="E816">
        <v>8</v>
      </c>
      <c r="F816">
        <v>5</v>
      </c>
      <c r="G816">
        <v>0</v>
      </c>
      <c r="H816">
        <v>4</v>
      </c>
      <c r="I816">
        <v>4</v>
      </c>
      <c r="J816">
        <v>3.5</v>
      </c>
      <c r="K816">
        <v>3</v>
      </c>
      <c r="L816">
        <v>8</v>
      </c>
    </row>
    <row r="817" spans="1:12" hidden="1" x14ac:dyDescent="0.3">
      <c r="A817" s="3">
        <v>45413</v>
      </c>
      <c r="B817" t="s">
        <v>21</v>
      </c>
      <c r="C817" t="s">
        <v>27</v>
      </c>
      <c r="D817">
        <v>4</v>
      </c>
      <c r="E817">
        <v>8</v>
      </c>
      <c r="F817">
        <v>0</v>
      </c>
      <c r="G817">
        <v>0</v>
      </c>
      <c r="H817">
        <v>3</v>
      </c>
      <c r="I817">
        <v>9</v>
      </c>
      <c r="J817">
        <v>4</v>
      </c>
      <c r="K817">
        <v>3</v>
      </c>
      <c r="L817">
        <v>14</v>
      </c>
    </row>
    <row r="818" spans="1:12" hidden="1" x14ac:dyDescent="0.3">
      <c r="A818" s="3">
        <v>45413</v>
      </c>
      <c r="B818" t="s">
        <v>41</v>
      </c>
      <c r="C818" t="s">
        <v>86</v>
      </c>
      <c r="D818">
        <v>11</v>
      </c>
      <c r="E818">
        <v>15</v>
      </c>
      <c r="F818">
        <v>7</v>
      </c>
      <c r="G818">
        <v>0</v>
      </c>
      <c r="H818">
        <v>3</v>
      </c>
      <c r="I818">
        <v>16</v>
      </c>
      <c r="J818">
        <v>3</v>
      </c>
      <c r="K818">
        <v>2.5</v>
      </c>
      <c r="L818">
        <v>14</v>
      </c>
    </row>
    <row r="819" spans="1:12" hidden="1" x14ac:dyDescent="0.3">
      <c r="A819" s="3">
        <v>45413</v>
      </c>
      <c r="B819" t="s">
        <v>19</v>
      </c>
      <c r="C819" t="s">
        <v>17</v>
      </c>
      <c r="D819">
        <v>3</v>
      </c>
      <c r="E819">
        <v>10</v>
      </c>
      <c r="F819">
        <v>2</v>
      </c>
      <c r="G819">
        <v>5</v>
      </c>
      <c r="H819">
        <v>0</v>
      </c>
      <c r="I819">
        <v>6</v>
      </c>
      <c r="J819">
        <v>4.5</v>
      </c>
      <c r="K819">
        <v>4</v>
      </c>
      <c r="L819">
        <v>10</v>
      </c>
    </row>
    <row r="820" spans="1:12" hidden="1" x14ac:dyDescent="0.3">
      <c r="A820" s="3">
        <v>45413</v>
      </c>
      <c r="B820" t="s">
        <v>64</v>
      </c>
      <c r="C820" t="s">
        <v>42</v>
      </c>
      <c r="D820">
        <v>12</v>
      </c>
      <c r="E820">
        <v>8</v>
      </c>
      <c r="F820">
        <v>12</v>
      </c>
      <c r="G820">
        <v>5</v>
      </c>
      <c r="H820">
        <v>1</v>
      </c>
      <c r="I820">
        <v>2</v>
      </c>
      <c r="J820">
        <v>3.5</v>
      </c>
      <c r="K820">
        <v>3</v>
      </c>
      <c r="L820">
        <v>8</v>
      </c>
    </row>
    <row r="821" spans="1:12" hidden="1" x14ac:dyDescent="0.3">
      <c r="A821" s="3">
        <v>45414</v>
      </c>
      <c r="B821" t="s">
        <v>84</v>
      </c>
      <c r="C821" t="s">
        <v>101</v>
      </c>
      <c r="D821">
        <v>5</v>
      </c>
      <c r="E821">
        <v>8</v>
      </c>
      <c r="F821">
        <v>4</v>
      </c>
      <c r="G821">
        <v>2</v>
      </c>
      <c r="H821">
        <v>2</v>
      </c>
      <c r="I821">
        <v>5</v>
      </c>
      <c r="J821">
        <v>3.5</v>
      </c>
      <c r="K821">
        <v>3</v>
      </c>
      <c r="L821">
        <v>8</v>
      </c>
    </row>
    <row r="822" spans="1:12" hidden="1" x14ac:dyDescent="0.3">
      <c r="A822" s="3">
        <v>45414</v>
      </c>
      <c r="B822" t="s">
        <v>88</v>
      </c>
      <c r="C822" t="s">
        <v>102</v>
      </c>
      <c r="D822">
        <v>9</v>
      </c>
      <c r="E822">
        <v>8</v>
      </c>
      <c r="F822">
        <v>7</v>
      </c>
      <c r="G822">
        <v>0</v>
      </c>
      <c r="H822">
        <v>4</v>
      </c>
      <c r="I822">
        <v>6</v>
      </c>
      <c r="J822">
        <v>3.5</v>
      </c>
      <c r="K822">
        <v>3</v>
      </c>
      <c r="L822">
        <v>8</v>
      </c>
    </row>
    <row r="823" spans="1:12" hidden="1" x14ac:dyDescent="0.3">
      <c r="A823" s="3">
        <v>45414</v>
      </c>
      <c r="B823" t="s">
        <v>57</v>
      </c>
      <c r="C823" t="s">
        <v>75</v>
      </c>
      <c r="D823">
        <v>2</v>
      </c>
      <c r="E823">
        <v>8</v>
      </c>
      <c r="F823">
        <v>6</v>
      </c>
      <c r="G823">
        <v>1</v>
      </c>
      <c r="H823">
        <v>0</v>
      </c>
      <c r="I823">
        <v>3</v>
      </c>
      <c r="J823">
        <v>6</v>
      </c>
      <c r="K823">
        <v>5.5</v>
      </c>
      <c r="L823">
        <v>20</v>
      </c>
    </row>
    <row r="824" spans="1:12" hidden="1" x14ac:dyDescent="0.3">
      <c r="A824" s="3">
        <v>45414</v>
      </c>
      <c r="B824" t="s">
        <v>59</v>
      </c>
      <c r="C824" t="s">
        <v>93</v>
      </c>
      <c r="D824">
        <v>3</v>
      </c>
      <c r="E824">
        <v>10</v>
      </c>
      <c r="F824">
        <v>5</v>
      </c>
      <c r="G824">
        <v>2</v>
      </c>
      <c r="H824">
        <v>2</v>
      </c>
      <c r="I824">
        <v>4</v>
      </c>
      <c r="J824">
        <v>4</v>
      </c>
      <c r="K824">
        <v>3.5</v>
      </c>
      <c r="L824">
        <v>10</v>
      </c>
    </row>
    <row r="825" spans="1:12" hidden="1" x14ac:dyDescent="0.3">
      <c r="A825" s="3">
        <v>45414</v>
      </c>
      <c r="B825" t="s">
        <v>36</v>
      </c>
      <c r="C825" t="s">
        <v>33</v>
      </c>
      <c r="D825">
        <v>5</v>
      </c>
      <c r="E825">
        <v>12</v>
      </c>
      <c r="F825">
        <v>2</v>
      </c>
      <c r="G825">
        <v>3</v>
      </c>
      <c r="H825">
        <v>7</v>
      </c>
      <c r="I825">
        <v>5</v>
      </c>
      <c r="J825">
        <v>3.5</v>
      </c>
      <c r="K825">
        <v>3</v>
      </c>
      <c r="L825">
        <v>14</v>
      </c>
    </row>
    <row r="826" spans="1:12" hidden="1" x14ac:dyDescent="0.3">
      <c r="A826" s="3">
        <v>45414</v>
      </c>
      <c r="B826" t="s">
        <v>22</v>
      </c>
      <c r="C826" t="s">
        <v>26</v>
      </c>
      <c r="D826">
        <v>13</v>
      </c>
      <c r="E826">
        <v>12</v>
      </c>
      <c r="F826">
        <v>7</v>
      </c>
      <c r="G826">
        <v>1</v>
      </c>
      <c r="H826">
        <v>0</v>
      </c>
      <c r="I826">
        <v>17</v>
      </c>
      <c r="J826">
        <v>3.5</v>
      </c>
      <c r="K826">
        <v>3</v>
      </c>
      <c r="L826">
        <v>14</v>
      </c>
    </row>
    <row r="827" spans="1:12" hidden="1" x14ac:dyDescent="0.3">
      <c r="A827" s="3">
        <v>45415</v>
      </c>
      <c r="B827" t="s">
        <v>83</v>
      </c>
      <c r="C827" t="s">
        <v>100</v>
      </c>
      <c r="D827">
        <v>7</v>
      </c>
      <c r="E827">
        <v>10</v>
      </c>
      <c r="F827">
        <v>10</v>
      </c>
      <c r="G827">
        <v>4</v>
      </c>
      <c r="H827">
        <v>2</v>
      </c>
      <c r="I827">
        <v>1</v>
      </c>
      <c r="J827">
        <v>4.5</v>
      </c>
      <c r="K827">
        <v>4</v>
      </c>
      <c r="L827">
        <v>10</v>
      </c>
    </row>
    <row r="828" spans="1:12" hidden="1" x14ac:dyDescent="0.3">
      <c r="A828" s="3">
        <v>45415</v>
      </c>
      <c r="B828" t="s">
        <v>24</v>
      </c>
      <c r="C828" t="s">
        <v>29</v>
      </c>
      <c r="D828">
        <v>10</v>
      </c>
      <c r="E828">
        <v>8</v>
      </c>
      <c r="F828">
        <v>8</v>
      </c>
      <c r="G828">
        <v>3</v>
      </c>
      <c r="H828">
        <v>0</v>
      </c>
      <c r="I828">
        <v>7</v>
      </c>
      <c r="J828">
        <v>7.5</v>
      </c>
      <c r="K828">
        <v>5.5</v>
      </c>
      <c r="L828">
        <v>7</v>
      </c>
    </row>
    <row r="829" spans="1:12" hidden="1" x14ac:dyDescent="0.3">
      <c r="A829" s="3">
        <v>45415</v>
      </c>
      <c r="B829" t="s">
        <v>56</v>
      </c>
      <c r="C829" t="s">
        <v>54</v>
      </c>
      <c r="D829">
        <v>9</v>
      </c>
      <c r="E829">
        <v>8</v>
      </c>
      <c r="F829">
        <v>5</v>
      </c>
      <c r="G829">
        <v>0</v>
      </c>
      <c r="H829">
        <v>4</v>
      </c>
      <c r="I829">
        <v>8</v>
      </c>
      <c r="J829">
        <v>6</v>
      </c>
      <c r="K829">
        <v>5.5</v>
      </c>
      <c r="L829">
        <v>20</v>
      </c>
    </row>
    <row r="830" spans="1:12" hidden="1" x14ac:dyDescent="0.3">
      <c r="A830" s="3">
        <v>45415</v>
      </c>
      <c r="B830" t="s">
        <v>80</v>
      </c>
      <c r="C830" t="s">
        <v>49</v>
      </c>
      <c r="D830">
        <v>4</v>
      </c>
      <c r="E830">
        <v>8</v>
      </c>
      <c r="F830">
        <v>3</v>
      </c>
      <c r="G830">
        <v>2</v>
      </c>
      <c r="H830">
        <v>0</v>
      </c>
      <c r="I830">
        <v>7</v>
      </c>
      <c r="J830">
        <v>2.5</v>
      </c>
      <c r="K830">
        <v>2</v>
      </c>
      <c r="L830">
        <v>5</v>
      </c>
    </row>
    <row r="831" spans="1:12" hidden="1" x14ac:dyDescent="0.3">
      <c r="A831" s="3">
        <v>45415</v>
      </c>
      <c r="B831" t="s">
        <v>56</v>
      </c>
      <c r="C831" t="s">
        <v>54</v>
      </c>
      <c r="D831">
        <v>8</v>
      </c>
      <c r="E831">
        <v>8</v>
      </c>
      <c r="F831">
        <v>10</v>
      </c>
      <c r="G831">
        <v>0</v>
      </c>
      <c r="H831">
        <v>4</v>
      </c>
      <c r="I831">
        <v>2</v>
      </c>
      <c r="J831">
        <v>6</v>
      </c>
      <c r="K831">
        <v>5.5</v>
      </c>
      <c r="L831">
        <v>20</v>
      </c>
    </row>
    <row r="832" spans="1:12" hidden="1" x14ac:dyDescent="0.3">
      <c r="A832" s="3">
        <v>45415</v>
      </c>
      <c r="B832" t="s">
        <v>68</v>
      </c>
      <c r="C832" t="s">
        <v>43</v>
      </c>
      <c r="D832">
        <v>6</v>
      </c>
      <c r="E832">
        <v>15</v>
      </c>
      <c r="F832">
        <v>6</v>
      </c>
      <c r="G832">
        <v>8</v>
      </c>
      <c r="H832">
        <v>1</v>
      </c>
      <c r="I832">
        <v>6</v>
      </c>
      <c r="J832">
        <v>4</v>
      </c>
      <c r="K832">
        <v>3</v>
      </c>
      <c r="L832">
        <v>14</v>
      </c>
    </row>
    <row r="833" spans="1:12" hidden="1" x14ac:dyDescent="0.3">
      <c r="A833" s="3">
        <v>45415</v>
      </c>
      <c r="B833" t="s">
        <v>55</v>
      </c>
      <c r="C833" t="s">
        <v>53</v>
      </c>
      <c r="D833">
        <v>4</v>
      </c>
      <c r="E833">
        <v>4</v>
      </c>
      <c r="F833">
        <v>5</v>
      </c>
      <c r="G833">
        <v>0</v>
      </c>
      <c r="H833">
        <v>0</v>
      </c>
      <c r="I833">
        <v>3</v>
      </c>
      <c r="J833">
        <v>8.5</v>
      </c>
      <c r="K833">
        <v>6</v>
      </c>
      <c r="L833">
        <v>7</v>
      </c>
    </row>
    <row r="834" spans="1:12" hidden="1" x14ac:dyDescent="0.3">
      <c r="A834" s="3">
        <v>45415</v>
      </c>
      <c r="B834" t="s">
        <v>71</v>
      </c>
      <c r="C834" t="s">
        <v>47</v>
      </c>
      <c r="D834">
        <v>8</v>
      </c>
      <c r="E834">
        <v>6</v>
      </c>
      <c r="F834">
        <v>7</v>
      </c>
      <c r="G834">
        <v>0</v>
      </c>
      <c r="H834">
        <v>1</v>
      </c>
      <c r="I834">
        <v>6</v>
      </c>
      <c r="J834">
        <v>4</v>
      </c>
      <c r="K834">
        <v>3</v>
      </c>
      <c r="L834">
        <v>7</v>
      </c>
    </row>
    <row r="835" spans="1:12" hidden="1" x14ac:dyDescent="0.3">
      <c r="A835" s="3">
        <v>45416</v>
      </c>
      <c r="B835" t="s">
        <v>22</v>
      </c>
      <c r="C835" t="s">
        <v>26</v>
      </c>
      <c r="D835">
        <v>17</v>
      </c>
      <c r="E835">
        <v>12</v>
      </c>
      <c r="F835">
        <v>10</v>
      </c>
      <c r="G835">
        <v>2</v>
      </c>
      <c r="H835">
        <v>7</v>
      </c>
      <c r="I835">
        <v>10</v>
      </c>
      <c r="J835">
        <v>3.5</v>
      </c>
      <c r="K835">
        <v>3</v>
      </c>
      <c r="L835">
        <v>14</v>
      </c>
    </row>
    <row r="836" spans="1:12" hidden="1" x14ac:dyDescent="0.3">
      <c r="A836" s="3">
        <v>45416</v>
      </c>
      <c r="B836" t="s">
        <v>56</v>
      </c>
      <c r="C836" t="s">
        <v>54</v>
      </c>
      <c r="D836">
        <v>2</v>
      </c>
      <c r="E836">
        <v>8</v>
      </c>
      <c r="F836">
        <v>1</v>
      </c>
      <c r="G836">
        <v>4</v>
      </c>
      <c r="H836">
        <v>1</v>
      </c>
      <c r="I836">
        <v>4</v>
      </c>
      <c r="J836">
        <v>6</v>
      </c>
      <c r="K836">
        <v>5.5</v>
      </c>
      <c r="L836">
        <v>20</v>
      </c>
    </row>
    <row r="837" spans="1:12" hidden="1" x14ac:dyDescent="0.3">
      <c r="A837" s="3">
        <v>45416</v>
      </c>
      <c r="B837" t="s">
        <v>40</v>
      </c>
      <c r="C837" t="s">
        <v>85</v>
      </c>
      <c r="D837">
        <v>12</v>
      </c>
      <c r="E837">
        <v>15</v>
      </c>
      <c r="F837">
        <v>11</v>
      </c>
      <c r="G837">
        <v>3</v>
      </c>
      <c r="H837">
        <v>5</v>
      </c>
      <c r="I837">
        <v>8</v>
      </c>
      <c r="J837">
        <v>3</v>
      </c>
      <c r="K837">
        <v>2.5</v>
      </c>
      <c r="L837">
        <v>14</v>
      </c>
    </row>
    <row r="838" spans="1:12" hidden="1" x14ac:dyDescent="0.3">
      <c r="A838" s="3">
        <v>45416</v>
      </c>
      <c r="B838" t="s">
        <v>10</v>
      </c>
      <c r="C838" t="s">
        <v>18</v>
      </c>
      <c r="D838">
        <v>2</v>
      </c>
      <c r="E838">
        <v>10</v>
      </c>
      <c r="F838">
        <v>1</v>
      </c>
      <c r="G838">
        <v>2</v>
      </c>
      <c r="H838">
        <v>2</v>
      </c>
      <c r="I838">
        <v>7</v>
      </c>
      <c r="J838">
        <v>5.5</v>
      </c>
      <c r="K838">
        <v>4.5</v>
      </c>
      <c r="L838">
        <v>7</v>
      </c>
    </row>
    <row r="839" spans="1:12" hidden="1" x14ac:dyDescent="0.3">
      <c r="A839" s="3">
        <v>45416</v>
      </c>
      <c r="B839" t="s">
        <v>70</v>
      </c>
      <c r="C839" t="s">
        <v>99</v>
      </c>
      <c r="D839">
        <v>5</v>
      </c>
      <c r="E839">
        <v>6</v>
      </c>
      <c r="F839">
        <v>4</v>
      </c>
      <c r="G839">
        <v>4</v>
      </c>
      <c r="H839">
        <v>2</v>
      </c>
      <c r="I839">
        <v>1</v>
      </c>
      <c r="J839">
        <v>4</v>
      </c>
      <c r="K839">
        <v>3</v>
      </c>
      <c r="L839">
        <v>7</v>
      </c>
    </row>
    <row r="840" spans="1:12" hidden="1" x14ac:dyDescent="0.3">
      <c r="A840" s="3">
        <v>45416</v>
      </c>
      <c r="B840" t="s">
        <v>19</v>
      </c>
      <c r="C840" t="s">
        <v>17</v>
      </c>
      <c r="D840">
        <v>6</v>
      </c>
      <c r="E840">
        <v>10</v>
      </c>
      <c r="F840">
        <v>6</v>
      </c>
      <c r="G840">
        <v>5</v>
      </c>
      <c r="H840">
        <v>2</v>
      </c>
      <c r="I840">
        <v>3</v>
      </c>
      <c r="J840">
        <v>4.5</v>
      </c>
      <c r="K840">
        <v>4</v>
      </c>
      <c r="L840">
        <v>10</v>
      </c>
    </row>
    <row r="841" spans="1:12" hidden="1" x14ac:dyDescent="0.3">
      <c r="A841" s="3">
        <v>45417</v>
      </c>
      <c r="B841" t="s">
        <v>70</v>
      </c>
      <c r="C841" t="s">
        <v>99</v>
      </c>
      <c r="D841">
        <v>1</v>
      </c>
      <c r="E841">
        <v>6</v>
      </c>
      <c r="F841">
        <v>4</v>
      </c>
      <c r="G841">
        <v>2</v>
      </c>
      <c r="H841">
        <v>0</v>
      </c>
      <c r="I841">
        <v>1</v>
      </c>
      <c r="J841">
        <v>4</v>
      </c>
      <c r="K841">
        <v>3</v>
      </c>
      <c r="L841">
        <v>7</v>
      </c>
    </row>
    <row r="842" spans="1:12" hidden="1" x14ac:dyDescent="0.3">
      <c r="A842" s="3">
        <v>45417</v>
      </c>
      <c r="B842" t="s">
        <v>68</v>
      </c>
      <c r="C842" t="s">
        <v>43</v>
      </c>
      <c r="D842">
        <v>9</v>
      </c>
      <c r="E842">
        <v>15</v>
      </c>
      <c r="F842">
        <v>8</v>
      </c>
      <c r="G842">
        <v>10</v>
      </c>
      <c r="H842">
        <v>0</v>
      </c>
      <c r="I842">
        <v>6</v>
      </c>
      <c r="J842">
        <v>4</v>
      </c>
      <c r="K842">
        <v>3</v>
      </c>
      <c r="L842">
        <v>14</v>
      </c>
    </row>
    <row r="843" spans="1:12" hidden="1" x14ac:dyDescent="0.3">
      <c r="A843" s="3">
        <v>45417</v>
      </c>
      <c r="B843" t="s">
        <v>21</v>
      </c>
      <c r="C843" t="s">
        <v>27</v>
      </c>
      <c r="D843">
        <v>9</v>
      </c>
      <c r="E843">
        <v>8</v>
      </c>
      <c r="F843">
        <v>6</v>
      </c>
      <c r="G843">
        <v>1</v>
      </c>
      <c r="H843">
        <v>2</v>
      </c>
      <c r="I843">
        <v>8</v>
      </c>
      <c r="J843">
        <v>4</v>
      </c>
      <c r="K843">
        <v>3</v>
      </c>
      <c r="L843">
        <v>14</v>
      </c>
    </row>
    <row r="844" spans="1:12" hidden="1" x14ac:dyDescent="0.3">
      <c r="A844" s="3">
        <v>45418</v>
      </c>
      <c r="B844" t="s">
        <v>10</v>
      </c>
      <c r="C844" t="s">
        <v>18</v>
      </c>
      <c r="D844">
        <v>7</v>
      </c>
      <c r="E844">
        <v>10</v>
      </c>
      <c r="F844">
        <v>1</v>
      </c>
      <c r="G844">
        <v>7</v>
      </c>
      <c r="H844">
        <v>4</v>
      </c>
      <c r="I844">
        <v>5</v>
      </c>
      <c r="J844">
        <v>5.5</v>
      </c>
      <c r="K844">
        <v>4.5</v>
      </c>
      <c r="L844">
        <v>7</v>
      </c>
    </row>
    <row r="845" spans="1:12" hidden="1" x14ac:dyDescent="0.3">
      <c r="A845" s="3">
        <v>45418</v>
      </c>
      <c r="B845" t="s">
        <v>24</v>
      </c>
      <c r="C845" t="s">
        <v>29</v>
      </c>
      <c r="D845">
        <v>7</v>
      </c>
      <c r="E845">
        <v>8</v>
      </c>
      <c r="F845">
        <v>0</v>
      </c>
      <c r="G845">
        <v>3</v>
      </c>
      <c r="H845">
        <v>0</v>
      </c>
      <c r="I845">
        <v>12</v>
      </c>
      <c r="J845">
        <v>7.5</v>
      </c>
      <c r="K845">
        <v>5.5</v>
      </c>
      <c r="L845">
        <v>7</v>
      </c>
    </row>
    <row r="846" spans="1:12" hidden="1" x14ac:dyDescent="0.3">
      <c r="A846" s="3">
        <v>45418</v>
      </c>
      <c r="B846" t="s">
        <v>36</v>
      </c>
      <c r="C846" t="s">
        <v>33</v>
      </c>
      <c r="D846">
        <v>5</v>
      </c>
      <c r="E846">
        <v>12</v>
      </c>
      <c r="F846">
        <v>4</v>
      </c>
      <c r="G846">
        <v>5</v>
      </c>
      <c r="H846">
        <v>5</v>
      </c>
      <c r="I846">
        <v>3</v>
      </c>
      <c r="J846">
        <v>3.5</v>
      </c>
      <c r="K846">
        <v>3</v>
      </c>
      <c r="L846">
        <v>14</v>
      </c>
    </row>
    <row r="847" spans="1:12" hidden="1" x14ac:dyDescent="0.3">
      <c r="A847" s="3">
        <v>45418</v>
      </c>
      <c r="B847" t="s">
        <v>24</v>
      </c>
      <c r="C847" t="s">
        <v>29</v>
      </c>
      <c r="D847">
        <v>12</v>
      </c>
      <c r="E847">
        <v>8</v>
      </c>
      <c r="F847">
        <v>1</v>
      </c>
      <c r="G847">
        <v>3</v>
      </c>
      <c r="H847">
        <v>8</v>
      </c>
      <c r="I847">
        <v>8</v>
      </c>
      <c r="J847">
        <v>7.5</v>
      </c>
      <c r="K847">
        <v>5.5</v>
      </c>
      <c r="L847">
        <v>7</v>
      </c>
    </row>
    <row r="848" spans="1:12" hidden="1" x14ac:dyDescent="0.3">
      <c r="A848" s="3">
        <v>45418</v>
      </c>
      <c r="B848" t="s">
        <v>19</v>
      </c>
      <c r="C848" t="s">
        <v>17</v>
      </c>
      <c r="D848">
        <v>3</v>
      </c>
      <c r="E848">
        <v>10</v>
      </c>
      <c r="F848">
        <v>1</v>
      </c>
      <c r="G848">
        <v>0</v>
      </c>
      <c r="H848">
        <v>4</v>
      </c>
      <c r="I848">
        <v>8</v>
      </c>
      <c r="J848">
        <v>4.5</v>
      </c>
      <c r="K848">
        <v>4</v>
      </c>
      <c r="L848">
        <v>10</v>
      </c>
    </row>
    <row r="849" spans="1:12" hidden="1" x14ac:dyDescent="0.3">
      <c r="A849" s="3">
        <v>45418</v>
      </c>
      <c r="B849" t="s">
        <v>79</v>
      </c>
      <c r="C849" t="s">
        <v>104</v>
      </c>
      <c r="D849">
        <v>6</v>
      </c>
      <c r="E849">
        <v>8</v>
      </c>
      <c r="F849">
        <v>0</v>
      </c>
      <c r="G849">
        <v>6</v>
      </c>
      <c r="H849">
        <v>0</v>
      </c>
      <c r="I849">
        <v>8</v>
      </c>
      <c r="J849">
        <v>2.5</v>
      </c>
      <c r="K849">
        <v>2</v>
      </c>
      <c r="L849">
        <v>5</v>
      </c>
    </row>
    <row r="850" spans="1:12" hidden="1" x14ac:dyDescent="0.3">
      <c r="A850" s="3">
        <v>45418</v>
      </c>
      <c r="B850" t="s">
        <v>92</v>
      </c>
      <c r="C850" t="s">
        <v>91</v>
      </c>
      <c r="D850">
        <v>3</v>
      </c>
      <c r="E850">
        <v>6</v>
      </c>
      <c r="F850">
        <v>5</v>
      </c>
      <c r="G850">
        <v>0</v>
      </c>
      <c r="H850">
        <v>1</v>
      </c>
      <c r="I850">
        <v>3</v>
      </c>
      <c r="J850">
        <v>4.5</v>
      </c>
      <c r="K850">
        <v>4</v>
      </c>
      <c r="L850">
        <v>14</v>
      </c>
    </row>
    <row r="851" spans="1:12" hidden="1" x14ac:dyDescent="0.3">
      <c r="A851" s="3">
        <v>45418</v>
      </c>
      <c r="B851" t="s">
        <v>58</v>
      </c>
      <c r="C851" t="s">
        <v>76</v>
      </c>
      <c r="D851">
        <v>14</v>
      </c>
      <c r="E851">
        <v>15</v>
      </c>
      <c r="F851">
        <v>13</v>
      </c>
      <c r="G851">
        <v>5</v>
      </c>
      <c r="H851">
        <v>1</v>
      </c>
      <c r="I851">
        <v>10</v>
      </c>
      <c r="J851">
        <v>6</v>
      </c>
      <c r="K851">
        <v>5.5</v>
      </c>
      <c r="L851">
        <v>20</v>
      </c>
    </row>
    <row r="852" spans="1:12" hidden="1" x14ac:dyDescent="0.3">
      <c r="A852" s="3">
        <v>45418</v>
      </c>
      <c r="B852" t="s">
        <v>83</v>
      </c>
      <c r="C852" t="s">
        <v>100</v>
      </c>
      <c r="D852">
        <v>1</v>
      </c>
      <c r="E852">
        <v>10</v>
      </c>
      <c r="F852">
        <v>5</v>
      </c>
      <c r="G852">
        <v>3</v>
      </c>
      <c r="H852">
        <v>1</v>
      </c>
      <c r="I852">
        <v>2</v>
      </c>
      <c r="J852">
        <v>4.5</v>
      </c>
      <c r="K852">
        <v>4</v>
      </c>
      <c r="L852">
        <v>10</v>
      </c>
    </row>
    <row r="853" spans="1:12" hidden="1" x14ac:dyDescent="0.3">
      <c r="A853" s="3">
        <v>45418</v>
      </c>
      <c r="B853" t="s">
        <v>84</v>
      </c>
      <c r="C853" t="s">
        <v>101</v>
      </c>
      <c r="D853">
        <v>5</v>
      </c>
      <c r="E853">
        <v>8</v>
      </c>
      <c r="F853">
        <v>8</v>
      </c>
      <c r="G853">
        <v>3</v>
      </c>
      <c r="H853">
        <v>1</v>
      </c>
      <c r="I853">
        <v>1</v>
      </c>
      <c r="J853">
        <v>3.5</v>
      </c>
      <c r="K853">
        <v>3</v>
      </c>
      <c r="L853">
        <v>8</v>
      </c>
    </row>
    <row r="854" spans="1:12" hidden="1" x14ac:dyDescent="0.3">
      <c r="A854" s="3">
        <v>45418</v>
      </c>
      <c r="B854" t="s">
        <v>92</v>
      </c>
      <c r="C854" t="s">
        <v>91</v>
      </c>
      <c r="D854">
        <v>3</v>
      </c>
      <c r="E854">
        <v>6</v>
      </c>
      <c r="F854">
        <v>1</v>
      </c>
      <c r="G854">
        <v>3</v>
      </c>
      <c r="H854">
        <v>0</v>
      </c>
      <c r="I854">
        <v>5</v>
      </c>
      <c r="J854">
        <v>4.5</v>
      </c>
      <c r="K854">
        <v>4</v>
      </c>
      <c r="L854">
        <v>14</v>
      </c>
    </row>
    <row r="855" spans="1:12" hidden="1" x14ac:dyDescent="0.3">
      <c r="A855" s="3">
        <v>45418</v>
      </c>
      <c r="B855" t="s">
        <v>61</v>
      </c>
      <c r="C855" t="s">
        <v>95</v>
      </c>
      <c r="D855">
        <v>3</v>
      </c>
      <c r="E855">
        <v>10</v>
      </c>
      <c r="F855">
        <v>7</v>
      </c>
      <c r="G855">
        <v>3</v>
      </c>
      <c r="H855">
        <v>1</v>
      </c>
      <c r="I855">
        <v>2</v>
      </c>
      <c r="J855">
        <v>4</v>
      </c>
      <c r="K855">
        <v>3.5</v>
      </c>
      <c r="L855">
        <v>10</v>
      </c>
    </row>
    <row r="856" spans="1:12" hidden="1" x14ac:dyDescent="0.3">
      <c r="A856" s="3">
        <v>45418</v>
      </c>
      <c r="B856" t="s">
        <v>55</v>
      </c>
      <c r="C856" t="s">
        <v>53</v>
      </c>
      <c r="D856">
        <v>3</v>
      </c>
      <c r="E856">
        <v>4</v>
      </c>
      <c r="F856">
        <v>0</v>
      </c>
      <c r="G856">
        <v>4</v>
      </c>
      <c r="H856">
        <v>1</v>
      </c>
      <c r="I856">
        <v>2</v>
      </c>
      <c r="J856">
        <v>8.5</v>
      </c>
      <c r="K856">
        <v>6</v>
      </c>
      <c r="L856">
        <v>7</v>
      </c>
    </row>
    <row r="857" spans="1:12" hidden="1" x14ac:dyDescent="0.3">
      <c r="A857" s="3">
        <v>45418</v>
      </c>
      <c r="B857" t="s">
        <v>70</v>
      </c>
      <c r="C857" t="s">
        <v>99</v>
      </c>
      <c r="D857">
        <v>1</v>
      </c>
      <c r="E857">
        <v>6</v>
      </c>
      <c r="F857">
        <v>3</v>
      </c>
      <c r="G857">
        <v>0</v>
      </c>
      <c r="H857">
        <v>2</v>
      </c>
      <c r="I857">
        <v>2</v>
      </c>
      <c r="J857">
        <v>4</v>
      </c>
      <c r="K857">
        <v>3</v>
      </c>
      <c r="L857">
        <v>7</v>
      </c>
    </row>
    <row r="858" spans="1:12" x14ac:dyDescent="0.3">
      <c r="A858" s="3">
        <v>45418</v>
      </c>
      <c r="B858" t="s">
        <v>34</v>
      </c>
      <c r="C858" t="s">
        <v>30</v>
      </c>
      <c r="D858">
        <v>5</v>
      </c>
      <c r="E858">
        <v>6</v>
      </c>
      <c r="F858">
        <v>7</v>
      </c>
      <c r="G858">
        <v>1</v>
      </c>
      <c r="H858">
        <v>0</v>
      </c>
      <c r="I858">
        <v>3</v>
      </c>
      <c r="J858">
        <v>3.5</v>
      </c>
      <c r="K858">
        <v>3</v>
      </c>
      <c r="L858">
        <v>10</v>
      </c>
    </row>
    <row r="859" spans="1:12" hidden="1" x14ac:dyDescent="0.3">
      <c r="A859" s="3">
        <v>45418</v>
      </c>
      <c r="B859" t="s">
        <v>69</v>
      </c>
      <c r="C859" t="s">
        <v>98</v>
      </c>
      <c r="D859">
        <v>2</v>
      </c>
      <c r="E859">
        <v>6</v>
      </c>
      <c r="F859">
        <v>5</v>
      </c>
      <c r="G859">
        <v>2</v>
      </c>
      <c r="H859">
        <v>1</v>
      </c>
      <c r="I859">
        <v>0</v>
      </c>
      <c r="J859">
        <v>4</v>
      </c>
      <c r="K859">
        <v>3</v>
      </c>
      <c r="L859">
        <v>7</v>
      </c>
    </row>
    <row r="860" spans="1:12" hidden="1" x14ac:dyDescent="0.3">
      <c r="A860" s="3">
        <v>45418</v>
      </c>
      <c r="B860" t="s">
        <v>24</v>
      </c>
      <c r="C860" t="s">
        <v>29</v>
      </c>
      <c r="D860">
        <v>8</v>
      </c>
      <c r="E860">
        <v>8</v>
      </c>
      <c r="F860">
        <v>4</v>
      </c>
      <c r="G860">
        <v>6</v>
      </c>
      <c r="H860">
        <v>2</v>
      </c>
      <c r="I860">
        <v>4</v>
      </c>
      <c r="J860">
        <v>7.5</v>
      </c>
      <c r="K860">
        <v>5.5</v>
      </c>
      <c r="L860">
        <v>7</v>
      </c>
    </row>
    <row r="861" spans="1:12" hidden="1" x14ac:dyDescent="0.3">
      <c r="A861" s="3">
        <v>45419</v>
      </c>
      <c r="B861" t="s">
        <v>39</v>
      </c>
      <c r="C861" t="s">
        <v>32</v>
      </c>
      <c r="D861">
        <v>10</v>
      </c>
      <c r="E861">
        <v>12</v>
      </c>
      <c r="F861">
        <v>12</v>
      </c>
      <c r="G861">
        <v>3</v>
      </c>
      <c r="H861">
        <v>1</v>
      </c>
      <c r="I861">
        <v>6</v>
      </c>
      <c r="J861">
        <v>3.5</v>
      </c>
      <c r="K861">
        <v>3</v>
      </c>
      <c r="L861">
        <v>14</v>
      </c>
    </row>
    <row r="862" spans="1:12" hidden="1" x14ac:dyDescent="0.3">
      <c r="A862" s="3">
        <v>45419</v>
      </c>
      <c r="B862" t="s">
        <v>58</v>
      </c>
      <c r="C862" t="s">
        <v>76</v>
      </c>
      <c r="D862">
        <v>10</v>
      </c>
      <c r="E862">
        <v>15</v>
      </c>
      <c r="F862">
        <v>2</v>
      </c>
      <c r="G862">
        <v>12</v>
      </c>
      <c r="H862">
        <v>3</v>
      </c>
      <c r="I862">
        <v>8</v>
      </c>
      <c r="J862">
        <v>6</v>
      </c>
      <c r="K862">
        <v>5.5</v>
      </c>
      <c r="L862">
        <v>20</v>
      </c>
    </row>
    <row r="863" spans="1:12" hidden="1" x14ac:dyDescent="0.3">
      <c r="A863" s="3">
        <v>45419</v>
      </c>
      <c r="B863" t="s">
        <v>81</v>
      </c>
      <c r="C863" t="s">
        <v>50</v>
      </c>
      <c r="D863">
        <v>2</v>
      </c>
      <c r="E863">
        <v>8</v>
      </c>
      <c r="F863">
        <v>0</v>
      </c>
      <c r="G863">
        <v>2</v>
      </c>
      <c r="H863">
        <v>2</v>
      </c>
      <c r="I863">
        <v>6</v>
      </c>
      <c r="J863">
        <v>2.5</v>
      </c>
      <c r="K863">
        <v>2</v>
      </c>
      <c r="L863">
        <v>5</v>
      </c>
    </row>
    <row r="864" spans="1:12" hidden="1" x14ac:dyDescent="0.3">
      <c r="A864" s="3">
        <v>45419</v>
      </c>
      <c r="B864" t="s">
        <v>80</v>
      </c>
      <c r="C864" t="s">
        <v>49</v>
      </c>
      <c r="D864">
        <v>7</v>
      </c>
      <c r="E864">
        <v>8</v>
      </c>
      <c r="F864">
        <v>5</v>
      </c>
      <c r="G864">
        <v>5</v>
      </c>
      <c r="H864">
        <v>0</v>
      </c>
      <c r="I864">
        <v>5</v>
      </c>
      <c r="J864">
        <v>2.5</v>
      </c>
      <c r="K864">
        <v>2</v>
      </c>
      <c r="L864">
        <v>5</v>
      </c>
    </row>
    <row r="865" spans="1:12" hidden="1" x14ac:dyDescent="0.3">
      <c r="A865" s="3">
        <v>45419</v>
      </c>
      <c r="B865" t="s">
        <v>72</v>
      </c>
      <c r="C865" t="s">
        <v>48</v>
      </c>
      <c r="D865">
        <v>7</v>
      </c>
      <c r="E865">
        <v>6</v>
      </c>
      <c r="F865">
        <v>8</v>
      </c>
      <c r="G865">
        <v>0</v>
      </c>
      <c r="H865">
        <v>3</v>
      </c>
      <c r="I865">
        <v>2</v>
      </c>
      <c r="J865">
        <v>4</v>
      </c>
      <c r="K865">
        <v>3</v>
      </c>
      <c r="L865">
        <v>7</v>
      </c>
    </row>
    <row r="866" spans="1:12" hidden="1" x14ac:dyDescent="0.3">
      <c r="A866" s="3">
        <v>45419</v>
      </c>
      <c r="B866" t="s">
        <v>39</v>
      </c>
      <c r="C866" t="s">
        <v>32</v>
      </c>
      <c r="D866">
        <v>6</v>
      </c>
      <c r="E866">
        <v>12</v>
      </c>
      <c r="F866">
        <v>6</v>
      </c>
      <c r="G866">
        <v>3</v>
      </c>
      <c r="H866">
        <v>5</v>
      </c>
      <c r="I866">
        <v>4</v>
      </c>
      <c r="J866">
        <v>3.5</v>
      </c>
      <c r="K866">
        <v>3</v>
      </c>
      <c r="L866">
        <v>14</v>
      </c>
    </row>
    <row r="867" spans="1:12" hidden="1" x14ac:dyDescent="0.3">
      <c r="A867" s="3">
        <v>45420</v>
      </c>
      <c r="B867" t="s">
        <v>89</v>
      </c>
      <c r="C867" t="s">
        <v>103</v>
      </c>
      <c r="D867">
        <v>2</v>
      </c>
      <c r="E867">
        <v>8</v>
      </c>
      <c r="F867">
        <v>4</v>
      </c>
      <c r="G867">
        <v>1</v>
      </c>
      <c r="H867">
        <v>3</v>
      </c>
      <c r="I867">
        <v>2</v>
      </c>
      <c r="J867">
        <v>3.5</v>
      </c>
      <c r="K867">
        <v>3</v>
      </c>
      <c r="L867">
        <v>8</v>
      </c>
    </row>
    <row r="868" spans="1:12" hidden="1" x14ac:dyDescent="0.3">
      <c r="A868" s="3">
        <v>45420</v>
      </c>
      <c r="B868" t="s">
        <v>23</v>
      </c>
      <c r="C868" t="s">
        <v>28</v>
      </c>
      <c r="D868">
        <v>8</v>
      </c>
      <c r="E868">
        <v>9</v>
      </c>
      <c r="F868">
        <v>10</v>
      </c>
      <c r="G868">
        <v>0</v>
      </c>
      <c r="H868">
        <v>1</v>
      </c>
      <c r="I868">
        <v>6</v>
      </c>
      <c r="J868">
        <v>6.5</v>
      </c>
      <c r="K868">
        <v>5.5</v>
      </c>
      <c r="L868">
        <v>9</v>
      </c>
    </row>
    <row r="869" spans="1:12" hidden="1" x14ac:dyDescent="0.3">
      <c r="A869" s="3">
        <v>45420</v>
      </c>
      <c r="B869" t="s">
        <v>89</v>
      </c>
      <c r="C869" t="s">
        <v>103</v>
      </c>
      <c r="D869">
        <v>2</v>
      </c>
      <c r="E869">
        <v>8</v>
      </c>
      <c r="F869">
        <v>0</v>
      </c>
      <c r="G869">
        <v>3</v>
      </c>
      <c r="H869">
        <v>3</v>
      </c>
      <c r="I869">
        <v>4</v>
      </c>
      <c r="J869">
        <v>3.5</v>
      </c>
      <c r="K869">
        <v>3</v>
      </c>
      <c r="L869">
        <v>8</v>
      </c>
    </row>
    <row r="870" spans="1:12" hidden="1" x14ac:dyDescent="0.3">
      <c r="A870" s="3">
        <v>45420</v>
      </c>
      <c r="B870" t="s">
        <v>81</v>
      </c>
      <c r="C870" t="s">
        <v>50</v>
      </c>
      <c r="D870">
        <v>6</v>
      </c>
      <c r="E870">
        <v>8</v>
      </c>
      <c r="F870">
        <v>5</v>
      </c>
      <c r="G870">
        <v>5</v>
      </c>
      <c r="H870">
        <v>1</v>
      </c>
      <c r="I870">
        <v>3</v>
      </c>
      <c r="J870">
        <v>2.5</v>
      </c>
      <c r="K870">
        <v>2</v>
      </c>
      <c r="L870">
        <v>5</v>
      </c>
    </row>
    <row r="871" spans="1:12" hidden="1" x14ac:dyDescent="0.3">
      <c r="A871" s="3">
        <v>45420</v>
      </c>
      <c r="B871" t="s">
        <v>83</v>
      </c>
      <c r="C871" t="s">
        <v>100</v>
      </c>
      <c r="D871">
        <v>2</v>
      </c>
      <c r="E871">
        <v>10</v>
      </c>
      <c r="F871">
        <v>5</v>
      </c>
      <c r="G871">
        <v>4</v>
      </c>
      <c r="H871">
        <v>1</v>
      </c>
      <c r="I871">
        <v>2</v>
      </c>
      <c r="J871">
        <v>4.5</v>
      </c>
      <c r="K871">
        <v>4</v>
      </c>
      <c r="L871">
        <v>10</v>
      </c>
    </row>
    <row r="872" spans="1:12" hidden="1" x14ac:dyDescent="0.3">
      <c r="A872" s="3">
        <v>45420</v>
      </c>
      <c r="B872" t="s">
        <v>39</v>
      </c>
      <c r="C872" t="s">
        <v>32</v>
      </c>
      <c r="D872">
        <v>4</v>
      </c>
      <c r="E872">
        <v>12</v>
      </c>
      <c r="F872">
        <v>1</v>
      </c>
      <c r="G872">
        <v>1</v>
      </c>
      <c r="H872">
        <v>0</v>
      </c>
      <c r="I872">
        <v>14</v>
      </c>
      <c r="J872">
        <v>3.5</v>
      </c>
      <c r="K872">
        <v>3</v>
      </c>
      <c r="L872">
        <v>14</v>
      </c>
    </row>
    <row r="873" spans="1:12" hidden="1" x14ac:dyDescent="0.3">
      <c r="A873" s="3">
        <v>45420</v>
      </c>
      <c r="B873" t="s">
        <v>71</v>
      </c>
      <c r="C873" t="s">
        <v>47</v>
      </c>
      <c r="D873">
        <v>6</v>
      </c>
      <c r="E873">
        <v>6</v>
      </c>
      <c r="F873">
        <v>7</v>
      </c>
      <c r="G873">
        <v>3</v>
      </c>
      <c r="H873">
        <v>1</v>
      </c>
      <c r="I873">
        <v>1</v>
      </c>
      <c r="J873">
        <v>4</v>
      </c>
      <c r="K873">
        <v>3</v>
      </c>
      <c r="L873">
        <v>7</v>
      </c>
    </row>
    <row r="874" spans="1:12" hidden="1" x14ac:dyDescent="0.3">
      <c r="A874" s="3">
        <v>45420</v>
      </c>
      <c r="B874" t="s">
        <v>36</v>
      </c>
      <c r="C874" t="s">
        <v>33</v>
      </c>
      <c r="D874">
        <v>3</v>
      </c>
      <c r="E874">
        <v>12</v>
      </c>
      <c r="F874">
        <v>3</v>
      </c>
      <c r="G874">
        <v>1</v>
      </c>
      <c r="H874">
        <v>7</v>
      </c>
      <c r="I874">
        <v>4</v>
      </c>
      <c r="J874">
        <v>3.5</v>
      </c>
      <c r="K874">
        <v>3</v>
      </c>
      <c r="L874">
        <v>14</v>
      </c>
    </row>
    <row r="875" spans="1:12" hidden="1" x14ac:dyDescent="0.3">
      <c r="A875" s="3">
        <v>45421</v>
      </c>
      <c r="B875" t="s">
        <v>40</v>
      </c>
      <c r="C875" t="s">
        <v>85</v>
      </c>
      <c r="D875">
        <v>8</v>
      </c>
      <c r="E875">
        <v>15</v>
      </c>
      <c r="F875">
        <v>0</v>
      </c>
      <c r="G875">
        <v>5</v>
      </c>
      <c r="H875">
        <v>9</v>
      </c>
      <c r="I875">
        <v>9</v>
      </c>
      <c r="J875">
        <v>3</v>
      </c>
      <c r="K875">
        <v>2.5</v>
      </c>
      <c r="L875">
        <v>14</v>
      </c>
    </row>
    <row r="876" spans="1:12" hidden="1" x14ac:dyDescent="0.3">
      <c r="A876" s="3">
        <v>45421</v>
      </c>
      <c r="B876" t="s">
        <v>24</v>
      </c>
      <c r="C876" t="s">
        <v>29</v>
      </c>
      <c r="D876">
        <v>4</v>
      </c>
      <c r="E876">
        <v>8</v>
      </c>
      <c r="F876">
        <v>1</v>
      </c>
      <c r="G876">
        <v>0</v>
      </c>
      <c r="H876">
        <v>1</v>
      </c>
      <c r="I876">
        <v>10</v>
      </c>
      <c r="J876">
        <v>7.5</v>
      </c>
      <c r="K876">
        <v>5.5</v>
      </c>
      <c r="L876">
        <v>7</v>
      </c>
    </row>
    <row r="877" spans="1:12" hidden="1" x14ac:dyDescent="0.3">
      <c r="A877" s="3">
        <v>45421</v>
      </c>
      <c r="B877" t="s">
        <v>92</v>
      </c>
      <c r="C877" t="s">
        <v>91</v>
      </c>
      <c r="D877">
        <v>5</v>
      </c>
      <c r="E877">
        <v>6</v>
      </c>
      <c r="F877">
        <v>2</v>
      </c>
      <c r="G877">
        <v>2</v>
      </c>
      <c r="H877">
        <v>4</v>
      </c>
      <c r="I877">
        <v>3</v>
      </c>
      <c r="J877">
        <v>4.5</v>
      </c>
      <c r="K877">
        <v>4</v>
      </c>
      <c r="L877">
        <v>14</v>
      </c>
    </row>
    <row r="878" spans="1:12" hidden="1" x14ac:dyDescent="0.3">
      <c r="A878" s="3">
        <v>45421</v>
      </c>
      <c r="B878" t="s">
        <v>64</v>
      </c>
      <c r="C878" t="s">
        <v>42</v>
      </c>
      <c r="D878">
        <v>2</v>
      </c>
      <c r="E878">
        <v>8</v>
      </c>
      <c r="F878">
        <v>1</v>
      </c>
      <c r="G878">
        <v>2</v>
      </c>
      <c r="H878">
        <v>3</v>
      </c>
      <c r="I878">
        <v>4</v>
      </c>
      <c r="J878">
        <v>3.5</v>
      </c>
      <c r="K878">
        <v>3</v>
      </c>
      <c r="L878">
        <v>8</v>
      </c>
    </row>
    <row r="879" spans="1:12" hidden="1" x14ac:dyDescent="0.3">
      <c r="A879" s="3">
        <v>45421</v>
      </c>
      <c r="B879" t="s">
        <v>64</v>
      </c>
      <c r="C879" t="s">
        <v>42</v>
      </c>
      <c r="D879">
        <v>4</v>
      </c>
      <c r="E879">
        <v>8</v>
      </c>
      <c r="F879">
        <v>2</v>
      </c>
      <c r="G879">
        <v>0</v>
      </c>
      <c r="H879">
        <v>0</v>
      </c>
      <c r="I879">
        <v>10</v>
      </c>
      <c r="J879">
        <v>3.5</v>
      </c>
      <c r="K879">
        <v>3</v>
      </c>
      <c r="L879">
        <v>8</v>
      </c>
    </row>
    <row r="880" spans="1:12" hidden="1" x14ac:dyDescent="0.3">
      <c r="A880" s="3">
        <v>45421</v>
      </c>
      <c r="B880" t="s">
        <v>66</v>
      </c>
      <c r="C880" t="s">
        <v>45</v>
      </c>
      <c r="D880">
        <v>6</v>
      </c>
      <c r="E880">
        <v>8</v>
      </c>
      <c r="F880">
        <v>2</v>
      </c>
      <c r="G880">
        <v>4</v>
      </c>
      <c r="H880">
        <v>0</v>
      </c>
      <c r="I880">
        <v>8</v>
      </c>
      <c r="J880">
        <v>3.5</v>
      </c>
      <c r="K880">
        <v>3</v>
      </c>
      <c r="L880">
        <v>8</v>
      </c>
    </row>
    <row r="881" spans="1:12" hidden="1" x14ac:dyDescent="0.3">
      <c r="A881" s="3">
        <v>45421</v>
      </c>
      <c r="B881" t="s">
        <v>57</v>
      </c>
      <c r="C881" t="s">
        <v>75</v>
      </c>
      <c r="D881">
        <v>3</v>
      </c>
      <c r="E881">
        <v>8</v>
      </c>
      <c r="F881">
        <v>1</v>
      </c>
      <c r="G881">
        <v>3</v>
      </c>
      <c r="H881">
        <v>0</v>
      </c>
      <c r="I881">
        <v>7</v>
      </c>
      <c r="J881">
        <v>6</v>
      </c>
      <c r="K881">
        <v>5.5</v>
      </c>
      <c r="L881">
        <v>20</v>
      </c>
    </row>
    <row r="882" spans="1:12" hidden="1" x14ac:dyDescent="0.3">
      <c r="A882" s="3">
        <v>45422</v>
      </c>
      <c r="B882" t="s">
        <v>69</v>
      </c>
      <c r="C882" t="s">
        <v>98</v>
      </c>
      <c r="D882">
        <v>0</v>
      </c>
      <c r="E882">
        <v>6</v>
      </c>
      <c r="F882">
        <v>4</v>
      </c>
      <c r="G882">
        <v>0</v>
      </c>
      <c r="H882">
        <v>1</v>
      </c>
      <c r="I882">
        <v>1</v>
      </c>
      <c r="J882">
        <v>4</v>
      </c>
      <c r="K882">
        <v>3</v>
      </c>
      <c r="L882">
        <v>7</v>
      </c>
    </row>
    <row r="883" spans="1:12" hidden="1" x14ac:dyDescent="0.3">
      <c r="A883" s="3">
        <v>45422</v>
      </c>
      <c r="B883" t="s">
        <v>71</v>
      </c>
      <c r="C883" t="s">
        <v>47</v>
      </c>
      <c r="D883">
        <v>1</v>
      </c>
      <c r="E883">
        <v>6</v>
      </c>
      <c r="F883">
        <v>3</v>
      </c>
      <c r="G883">
        <v>2</v>
      </c>
      <c r="H883">
        <v>0</v>
      </c>
      <c r="I883">
        <v>2</v>
      </c>
      <c r="J883">
        <v>4</v>
      </c>
      <c r="K883">
        <v>3</v>
      </c>
      <c r="L883">
        <v>7</v>
      </c>
    </row>
    <row r="884" spans="1:12" hidden="1" x14ac:dyDescent="0.3">
      <c r="A884" s="3">
        <v>45422</v>
      </c>
      <c r="B884" t="s">
        <v>23</v>
      </c>
      <c r="C884" t="s">
        <v>28</v>
      </c>
      <c r="D884">
        <v>6</v>
      </c>
      <c r="E884">
        <v>9</v>
      </c>
      <c r="F884">
        <v>0</v>
      </c>
      <c r="G884">
        <v>0</v>
      </c>
      <c r="H884">
        <v>8</v>
      </c>
      <c r="I884">
        <v>7</v>
      </c>
      <c r="J884">
        <v>6.5</v>
      </c>
      <c r="K884">
        <v>5.5</v>
      </c>
      <c r="L884">
        <v>9</v>
      </c>
    </row>
    <row r="885" spans="1:12" hidden="1" x14ac:dyDescent="0.3">
      <c r="A885" s="3">
        <v>45422</v>
      </c>
      <c r="B885" t="s">
        <v>88</v>
      </c>
      <c r="C885" t="s">
        <v>102</v>
      </c>
      <c r="D885">
        <v>6</v>
      </c>
      <c r="E885">
        <v>8</v>
      </c>
      <c r="F885">
        <v>8</v>
      </c>
      <c r="G885">
        <v>0</v>
      </c>
      <c r="H885">
        <v>0</v>
      </c>
      <c r="I885">
        <v>6</v>
      </c>
      <c r="J885">
        <v>3.5</v>
      </c>
      <c r="K885">
        <v>3</v>
      </c>
      <c r="L885">
        <v>8</v>
      </c>
    </row>
    <row r="886" spans="1:12" hidden="1" x14ac:dyDescent="0.3">
      <c r="A886" s="3">
        <v>45422</v>
      </c>
      <c r="B886" t="s">
        <v>70</v>
      </c>
      <c r="C886" t="s">
        <v>99</v>
      </c>
      <c r="D886">
        <v>2</v>
      </c>
      <c r="E886">
        <v>6</v>
      </c>
      <c r="F886">
        <v>2</v>
      </c>
      <c r="G886">
        <v>3</v>
      </c>
      <c r="H886">
        <v>1</v>
      </c>
      <c r="I886">
        <v>2</v>
      </c>
      <c r="J886">
        <v>4</v>
      </c>
      <c r="K886">
        <v>3</v>
      </c>
      <c r="L886">
        <v>7</v>
      </c>
    </row>
    <row r="887" spans="1:12" hidden="1" x14ac:dyDescent="0.3">
      <c r="A887" s="3">
        <v>45422</v>
      </c>
      <c r="B887" t="s">
        <v>64</v>
      </c>
      <c r="C887" t="s">
        <v>42</v>
      </c>
      <c r="D887">
        <v>10</v>
      </c>
      <c r="E887">
        <v>8</v>
      </c>
      <c r="F887">
        <v>0</v>
      </c>
      <c r="G887">
        <v>11</v>
      </c>
      <c r="H887">
        <v>2</v>
      </c>
      <c r="I887">
        <v>5</v>
      </c>
      <c r="J887">
        <v>3.5</v>
      </c>
      <c r="K887">
        <v>3</v>
      </c>
      <c r="L887">
        <v>8</v>
      </c>
    </row>
    <row r="888" spans="1:12" hidden="1" x14ac:dyDescent="0.3">
      <c r="A888" s="3">
        <v>45422</v>
      </c>
      <c r="B888" t="s">
        <v>37</v>
      </c>
      <c r="C888" t="s">
        <v>51</v>
      </c>
      <c r="D888">
        <v>4</v>
      </c>
      <c r="E888">
        <v>12</v>
      </c>
      <c r="F888">
        <v>5</v>
      </c>
      <c r="G888">
        <v>6</v>
      </c>
      <c r="H888">
        <v>0</v>
      </c>
      <c r="I888">
        <v>5</v>
      </c>
      <c r="J888">
        <v>3.5</v>
      </c>
      <c r="K888">
        <v>3</v>
      </c>
      <c r="L888">
        <v>14</v>
      </c>
    </row>
    <row r="889" spans="1:12" hidden="1" x14ac:dyDescent="0.3">
      <c r="A889" s="3">
        <v>45422</v>
      </c>
      <c r="B889" t="s">
        <v>68</v>
      </c>
      <c r="C889" t="s">
        <v>43</v>
      </c>
      <c r="D889">
        <v>3</v>
      </c>
      <c r="E889">
        <v>15</v>
      </c>
      <c r="F889">
        <v>11</v>
      </c>
      <c r="G889">
        <v>1</v>
      </c>
      <c r="H889">
        <v>3</v>
      </c>
      <c r="I889">
        <v>3</v>
      </c>
      <c r="J889">
        <v>4</v>
      </c>
      <c r="K889">
        <v>3</v>
      </c>
      <c r="L889">
        <v>14</v>
      </c>
    </row>
    <row r="890" spans="1:12" hidden="1" x14ac:dyDescent="0.3">
      <c r="A890" s="3">
        <v>45423</v>
      </c>
      <c r="B890" t="s">
        <v>10</v>
      </c>
      <c r="C890" t="s">
        <v>18</v>
      </c>
      <c r="D890">
        <v>5</v>
      </c>
      <c r="E890">
        <v>10</v>
      </c>
      <c r="F890">
        <v>4</v>
      </c>
      <c r="G890">
        <v>5</v>
      </c>
      <c r="H890">
        <v>1</v>
      </c>
      <c r="I890">
        <v>5</v>
      </c>
      <c r="J890">
        <v>5.5</v>
      </c>
      <c r="K890">
        <v>4.5</v>
      </c>
      <c r="L890">
        <v>7</v>
      </c>
    </row>
    <row r="891" spans="1:12" hidden="1" x14ac:dyDescent="0.3">
      <c r="A891" s="3">
        <v>45423</v>
      </c>
      <c r="B891" t="s">
        <v>19</v>
      </c>
      <c r="C891" t="s">
        <v>17</v>
      </c>
      <c r="D891">
        <v>8</v>
      </c>
      <c r="E891">
        <v>10</v>
      </c>
      <c r="F891">
        <v>11</v>
      </c>
      <c r="G891">
        <v>2</v>
      </c>
      <c r="H891">
        <v>1</v>
      </c>
      <c r="I891">
        <v>4</v>
      </c>
      <c r="J891">
        <v>4.5</v>
      </c>
      <c r="K891">
        <v>4</v>
      </c>
      <c r="L891">
        <v>10</v>
      </c>
    </row>
    <row r="892" spans="1:12" hidden="1" x14ac:dyDescent="0.3">
      <c r="A892" s="3">
        <v>45423</v>
      </c>
      <c r="B892" t="s">
        <v>36</v>
      </c>
      <c r="C892" t="s">
        <v>33</v>
      </c>
      <c r="D892">
        <v>4</v>
      </c>
      <c r="E892">
        <v>12</v>
      </c>
      <c r="F892">
        <v>5</v>
      </c>
      <c r="G892">
        <v>1</v>
      </c>
      <c r="H892">
        <v>4</v>
      </c>
      <c r="I892">
        <v>6</v>
      </c>
      <c r="J892">
        <v>3.5</v>
      </c>
      <c r="K892">
        <v>3</v>
      </c>
      <c r="L892">
        <v>14</v>
      </c>
    </row>
    <row r="893" spans="1:12" hidden="1" x14ac:dyDescent="0.3">
      <c r="A893" s="3">
        <v>45423</v>
      </c>
      <c r="B893" t="s">
        <v>71</v>
      </c>
      <c r="C893" t="s">
        <v>47</v>
      </c>
      <c r="D893">
        <v>2</v>
      </c>
      <c r="E893">
        <v>6</v>
      </c>
      <c r="F893">
        <v>5</v>
      </c>
      <c r="G893">
        <v>2</v>
      </c>
      <c r="H893">
        <v>1</v>
      </c>
      <c r="I893">
        <v>0</v>
      </c>
      <c r="J893">
        <v>4</v>
      </c>
      <c r="K893">
        <v>3</v>
      </c>
      <c r="L893">
        <v>7</v>
      </c>
    </row>
    <row r="894" spans="1:12" hidden="1" x14ac:dyDescent="0.3">
      <c r="A894" s="3">
        <v>45423</v>
      </c>
      <c r="B894" t="s">
        <v>88</v>
      </c>
      <c r="C894" t="s">
        <v>102</v>
      </c>
      <c r="D894">
        <v>6</v>
      </c>
      <c r="E894">
        <v>8</v>
      </c>
      <c r="F894">
        <v>7</v>
      </c>
      <c r="G894">
        <v>3</v>
      </c>
      <c r="H894">
        <v>1</v>
      </c>
      <c r="I894">
        <v>3</v>
      </c>
      <c r="J894">
        <v>3.5</v>
      </c>
      <c r="K894">
        <v>3</v>
      </c>
      <c r="L894">
        <v>8</v>
      </c>
    </row>
    <row r="895" spans="1:12" hidden="1" x14ac:dyDescent="0.3">
      <c r="A895" s="3">
        <v>45423</v>
      </c>
      <c r="B895" t="s">
        <v>23</v>
      </c>
      <c r="C895" t="s">
        <v>28</v>
      </c>
      <c r="D895">
        <v>7</v>
      </c>
      <c r="E895">
        <v>9</v>
      </c>
      <c r="F895">
        <v>0</v>
      </c>
      <c r="G895">
        <v>6</v>
      </c>
      <c r="H895">
        <v>6</v>
      </c>
      <c r="I895">
        <v>4</v>
      </c>
      <c r="J895">
        <v>6.5</v>
      </c>
      <c r="K895">
        <v>5.5</v>
      </c>
      <c r="L895">
        <v>9</v>
      </c>
    </row>
    <row r="896" spans="1:12" hidden="1" x14ac:dyDescent="0.3">
      <c r="A896" s="3">
        <v>45423</v>
      </c>
      <c r="B896" t="s">
        <v>68</v>
      </c>
      <c r="C896" t="s">
        <v>43</v>
      </c>
      <c r="D896">
        <v>15</v>
      </c>
      <c r="E896">
        <v>15</v>
      </c>
      <c r="F896">
        <v>14</v>
      </c>
      <c r="G896">
        <v>7</v>
      </c>
      <c r="H896">
        <v>5</v>
      </c>
      <c r="I896">
        <v>4</v>
      </c>
      <c r="J896">
        <v>4</v>
      </c>
      <c r="K896">
        <v>3</v>
      </c>
      <c r="L896">
        <v>14</v>
      </c>
    </row>
    <row r="897" spans="1:12" hidden="1" x14ac:dyDescent="0.3">
      <c r="A897" s="3">
        <v>45423</v>
      </c>
      <c r="B897" t="s">
        <v>62</v>
      </c>
      <c r="C897" t="s">
        <v>96</v>
      </c>
      <c r="D897">
        <v>5</v>
      </c>
      <c r="E897">
        <v>10</v>
      </c>
      <c r="F897">
        <v>2</v>
      </c>
      <c r="G897">
        <v>5</v>
      </c>
      <c r="H897">
        <v>1</v>
      </c>
      <c r="I897">
        <v>7</v>
      </c>
      <c r="J897">
        <v>4</v>
      </c>
      <c r="K897">
        <v>3.5</v>
      </c>
      <c r="L897">
        <v>10</v>
      </c>
    </row>
    <row r="898" spans="1:12" hidden="1" x14ac:dyDescent="0.3">
      <c r="A898" s="3">
        <v>45424</v>
      </c>
      <c r="B898" t="s">
        <v>70</v>
      </c>
      <c r="C898" t="s">
        <v>99</v>
      </c>
      <c r="D898">
        <v>2</v>
      </c>
      <c r="E898">
        <v>6</v>
      </c>
      <c r="F898">
        <v>4</v>
      </c>
      <c r="G898">
        <v>2</v>
      </c>
      <c r="H898">
        <v>0</v>
      </c>
      <c r="I898">
        <v>2</v>
      </c>
      <c r="J898">
        <v>4</v>
      </c>
      <c r="K898">
        <v>3</v>
      </c>
      <c r="L898">
        <v>7</v>
      </c>
    </row>
    <row r="899" spans="1:12" hidden="1" x14ac:dyDescent="0.3">
      <c r="A899" s="3">
        <v>45424</v>
      </c>
      <c r="B899" t="s">
        <v>61</v>
      </c>
      <c r="C899" t="s">
        <v>95</v>
      </c>
      <c r="D899">
        <v>2</v>
      </c>
      <c r="E899">
        <v>10</v>
      </c>
      <c r="F899">
        <v>5</v>
      </c>
      <c r="G899">
        <v>2</v>
      </c>
      <c r="H899">
        <v>0</v>
      </c>
      <c r="I899">
        <v>5</v>
      </c>
      <c r="J899">
        <v>4</v>
      </c>
      <c r="K899">
        <v>3.5</v>
      </c>
      <c r="L899">
        <v>10</v>
      </c>
    </row>
    <row r="900" spans="1:12" hidden="1" x14ac:dyDescent="0.3">
      <c r="A900" s="3">
        <v>45424</v>
      </c>
      <c r="B900" t="s">
        <v>41</v>
      </c>
      <c r="C900" t="s">
        <v>86</v>
      </c>
      <c r="D900">
        <v>16</v>
      </c>
      <c r="E900">
        <v>15</v>
      </c>
      <c r="F900">
        <v>8</v>
      </c>
      <c r="G900">
        <v>12</v>
      </c>
      <c r="H900">
        <v>1</v>
      </c>
      <c r="I900">
        <v>10</v>
      </c>
      <c r="J900">
        <v>3</v>
      </c>
      <c r="K900">
        <v>2.5</v>
      </c>
      <c r="L900">
        <v>14</v>
      </c>
    </row>
    <row r="901" spans="1:12" hidden="1" x14ac:dyDescent="0.3">
      <c r="A901" s="3">
        <v>45424</v>
      </c>
      <c r="B901" t="s">
        <v>72</v>
      </c>
      <c r="C901" t="s">
        <v>48</v>
      </c>
      <c r="D901">
        <v>2</v>
      </c>
      <c r="E901">
        <v>6</v>
      </c>
      <c r="F901">
        <v>1</v>
      </c>
      <c r="G901">
        <v>3</v>
      </c>
      <c r="H901">
        <v>1</v>
      </c>
      <c r="I901">
        <v>3</v>
      </c>
      <c r="J901">
        <v>4</v>
      </c>
      <c r="K901">
        <v>3</v>
      </c>
      <c r="L901">
        <v>7</v>
      </c>
    </row>
    <row r="902" spans="1:12" hidden="1" x14ac:dyDescent="0.3">
      <c r="A902" s="3">
        <v>45424</v>
      </c>
      <c r="B902" t="s">
        <v>67</v>
      </c>
      <c r="C902" t="s">
        <v>46</v>
      </c>
      <c r="D902">
        <v>4</v>
      </c>
      <c r="E902">
        <v>8</v>
      </c>
      <c r="F902">
        <v>2</v>
      </c>
      <c r="G902">
        <v>4</v>
      </c>
      <c r="H902">
        <v>0</v>
      </c>
      <c r="I902">
        <v>6</v>
      </c>
      <c r="J902">
        <v>3.5</v>
      </c>
      <c r="K902">
        <v>3</v>
      </c>
      <c r="L902">
        <v>8</v>
      </c>
    </row>
    <row r="903" spans="1:12" hidden="1" x14ac:dyDescent="0.3">
      <c r="A903" s="3">
        <v>45425</v>
      </c>
      <c r="B903" t="s">
        <v>58</v>
      </c>
      <c r="C903" t="s">
        <v>76</v>
      </c>
      <c r="D903">
        <v>8</v>
      </c>
      <c r="E903">
        <v>15</v>
      </c>
      <c r="F903">
        <v>2</v>
      </c>
      <c r="G903">
        <v>3</v>
      </c>
      <c r="H903">
        <v>7</v>
      </c>
      <c r="I903">
        <v>11</v>
      </c>
      <c r="J903">
        <v>6</v>
      </c>
      <c r="K903">
        <v>5.5</v>
      </c>
      <c r="L903">
        <v>20</v>
      </c>
    </row>
    <row r="904" spans="1:12" hidden="1" x14ac:dyDescent="0.3">
      <c r="A904" s="3">
        <v>45425</v>
      </c>
      <c r="B904" t="s">
        <v>90</v>
      </c>
      <c r="C904" t="s">
        <v>87</v>
      </c>
      <c r="D904">
        <v>8</v>
      </c>
      <c r="E904">
        <v>12</v>
      </c>
      <c r="F904">
        <v>11</v>
      </c>
      <c r="G904">
        <v>0</v>
      </c>
      <c r="H904">
        <v>3</v>
      </c>
      <c r="I904">
        <v>6</v>
      </c>
      <c r="J904">
        <v>4.5</v>
      </c>
      <c r="K904">
        <v>4</v>
      </c>
      <c r="L904">
        <v>14</v>
      </c>
    </row>
    <row r="905" spans="1:12" hidden="1" x14ac:dyDescent="0.3">
      <c r="A905" s="3">
        <v>45425</v>
      </c>
      <c r="B905" t="s">
        <v>66</v>
      </c>
      <c r="C905" t="s">
        <v>45</v>
      </c>
      <c r="D905">
        <v>8</v>
      </c>
      <c r="E905">
        <v>8</v>
      </c>
      <c r="F905">
        <v>5</v>
      </c>
      <c r="G905">
        <v>2</v>
      </c>
      <c r="H905">
        <v>0</v>
      </c>
      <c r="I905">
        <v>9</v>
      </c>
      <c r="J905">
        <v>3.5</v>
      </c>
      <c r="K905">
        <v>3</v>
      </c>
      <c r="L905">
        <v>8</v>
      </c>
    </row>
    <row r="906" spans="1:12" hidden="1" x14ac:dyDescent="0.3">
      <c r="A906" s="3">
        <v>45425</v>
      </c>
      <c r="B906" t="s">
        <v>39</v>
      </c>
      <c r="C906" t="s">
        <v>32</v>
      </c>
      <c r="D906">
        <v>14</v>
      </c>
      <c r="E906">
        <v>12</v>
      </c>
      <c r="F906">
        <v>11</v>
      </c>
      <c r="G906">
        <v>7</v>
      </c>
      <c r="H906">
        <v>1</v>
      </c>
      <c r="I906">
        <v>7</v>
      </c>
      <c r="J906">
        <v>3.5</v>
      </c>
      <c r="K906">
        <v>3</v>
      </c>
      <c r="L906">
        <v>14</v>
      </c>
    </row>
    <row r="907" spans="1:12" hidden="1" x14ac:dyDescent="0.3">
      <c r="A907" s="3">
        <v>45425</v>
      </c>
      <c r="B907" t="s">
        <v>10</v>
      </c>
      <c r="C907" t="s">
        <v>18</v>
      </c>
      <c r="D907">
        <v>5</v>
      </c>
      <c r="E907">
        <v>10</v>
      </c>
      <c r="F907">
        <v>1</v>
      </c>
      <c r="G907">
        <v>6</v>
      </c>
      <c r="H907">
        <v>5</v>
      </c>
      <c r="I907">
        <v>3</v>
      </c>
      <c r="J907">
        <v>5.5</v>
      </c>
      <c r="K907">
        <v>4.5</v>
      </c>
      <c r="L907">
        <v>7</v>
      </c>
    </row>
    <row r="908" spans="1:12" hidden="1" x14ac:dyDescent="0.3">
      <c r="A908" s="3">
        <v>45425</v>
      </c>
      <c r="B908" t="s">
        <v>40</v>
      </c>
      <c r="C908" t="s">
        <v>85</v>
      </c>
      <c r="D908">
        <v>9</v>
      </c>
      <c r="E908">
        <v>15</v>
      </c>
      <c r="F908">
        <v>5</v>
      </c>
      <c r="G908">
        <v>0</v>
      </c>
      <c r="H908">
        <v>4</v>
      </c>
      <c r="I908">
        <v>15</v>
      </c>
      <c r="J908">
        <v>3</v>
      </c>
      <c r="K908">
        <v>2.5</v>
      </c>
      <c r="L908">
        <v>14</v>
      </c>
    </row>
    <row r="909" spans="1:12" hidden="1" x14ac:dyDescent="0.3">
      <c r="A909" s="3">
        <v>45425</v>
      </c>
      <c r="B909" t="s">
        <v>71</v>
      </c>
      <c r="C909" t="s">
        <v>47</v>
      </c>
      <c r="D909">
        <v>0</v>
      </c>
      <c r="E909">
        <v>6</v>
      </c>
      <c r="F909">
        <v>2</v>
      </c>
      <c r="G909">
        <v>2</v>
      </c>
      <c r="H909">
        <v>1</v>
      </c>
      <c r="I909">
        <v>1</v>
      </c>
      <c r="J909">
        <v>4</v>
      </c>
      <c r="K909">
        <v>3</v>
      </c>
      <c r="L909">
        <v>7</v>
      </c>
    </row>
    <row r="910" spans="1:12" hidden="1" x14ac:dyDescent="0.3">
      <c r="A910" s="3">
        <v>45425</v>
      </c>
      <c r="B910" t="s">
        <v>35</v>
      </c>
      <c r="C910" t="s">
        <v>31</v>
      </c>
      <c r="D910">
        <v>7</v>
      </c>
      <c r="E910">
        <v>8</v>
      </c>
      <c r="F910">
        <v>1</v>
      </c>
      <c r="G910">
        <v>0</v>
      </c>
      <c r="H910">
        <v>4</v>
      </c>
      <c r="I910">
        <v>10</v>
      </c>
      <c r="J910">
        <v>3.5</v>
      </c>
      <c r="K910">
        <v>3</v>
      </c>
      <c r="L910">
        <v>14</v>
      </c>
    </row>
    <row r="911" spans="1:12" hidden="1" x14ac:dyDescent="0.3">
      <c r="A911" s="3">
        <v>45426</v>
      </c>
      <c r="B911" t="s">
        <v>88</v>
      </c>
      <c r="C911" t="s">
        <v>102</v>
      </c>
      <c r="D911">
        <v>3</v>
      </c>
      <c r="E911">
        <v>8</v>
      </c>
      <c r="F911">
        <v>4</v>
      </c>
      <c r="G911">
        <v>1</v>
      </c>
      <c r="H911">
        <v>2</v>
      </c>
      <c r="I911">
        <v>4</v>
      </c>
      <c r="J911">
        <v>3.5</v>
      </c>
      <c r="K911">
        <v>3</v>
      </c>
      <c r="L911">
        <v>8</v>
      </c>
    </row>
    <row r="912" spans="1:12" hidden="1" x14ac:dyDescent="0.3">
      <c r="A912" s="3">
        <v>45426</v>
      </c>
      <c r="B912" t="s">
        <v>67</v>
      </c>
      <c r="C912" t="s">
        <v>46</v>
      </c>
      <c r="D912">
        <v>6</v>
      </c>
      <c r="E912">
        <v>8</v>
      </c>
      <c r="F912">
        <v>5</v>
      </c>
      <c r="G912">
        <v>4</v>
      </c>
      <c r="H912">
        <v>3</v>
      </c>
      <c r="I912">
        <v>2</v>
      </c>
      <c r="J912">
        <v>3.5</v>
      </c>
      <c r="K912">
        <v>3</v>
      </c>
      <c r="L912">
        <v>8</v>
      </c>
    </row>
    <row r="913" spans="1:12" hidden="1" x14ac:dyDescent="0.3">
      <c r="A913" s="3">
        <v>45426</v>
      </c>
      <c r="B913" t="s">
        <v>38</v>
      </c>
      <c r="C913" t="s">
        <v>52</v>
      </c>
      <c r="D913">
        <v>13</v>
      </c>
      <c r="E913">
        <v>12</v>
      </c>
      <c r="F913">
        <v>14</v>
      </c>
      <c r="G913">
        <v>6</v>
      </c>
      <c r="H913">
        <v>0</v>
      </c>
      <c r="I913">
        <v>5</v>
      </c>
      <c r="J913">
        <v>3.5</v>
      </c>
      <c r="K913">
        <v>3</v>
      </c>
      <c r="L913">
        <v>14</v>
      </c>
    </row>
    <row r="914" spans="1:12" hidden="1" x14ac:dyDescent="0.3">
      <c r="A914" s="3">
        <v>45426</v>
      </c>
      <c r="B914" t="s">
        <v>81</v>
      </c>
      <c r="C914" t="s">
        <v>50</v>
      </c>
      <c r="D914">
        <v>3</v>
      </c>
      <c r="E914">
        <v>8</v>
      </c>
      <c r="F914">
        <v>6</v>
      </c>
      <c r="G914">
        <v>1</v>
      </c>
      <c r="H914">
        <v>2</v>
      </c>
      <c r="I914">
        <v>2</v>
      </c>
      <c r="J914">
        <v>2.5</v>
      </c>
      <c r="K914">
        <v>2</v>
      </c>
      <c r="L914">
        <v>5</v>
      </c>
    </row>
    <row r="915" spans="1:12" hidden="1" x14ac:dyDescent="0.3">
      <c r="A915" s="3">
        <v>45426</v>
      </c>
      <c r="B915" t="s">
        <v>81</v>
      </c>
      <c r="C915" t="s">
        <v>50</v>
      </c>
      <c r="D915">
        <v>2</v>
      </c>
      <c r="E915">
        <v>8</v>
      </c>
      <c r="F915">
        <v>0</v>
      </c>
      <c r="G915">
        <v>2</v>
      </c>
      <c r="H915">
        <v>5</v>
      </c>
      <c r="I915">
        <v>3</v>
      </c>
      <c r="J915">
        <v>2.5</v>
      </c>
      <c r="K915">
        <v>2</v>
      </c>
      <c r="L915">
        <v>5</v>
      </c>
    </row>
    <row r="916" spans="1:12" hidden="1" x14ac:dyDescent="0.3">
      <c r="A916" s="3">
        <v>45426</v>
      </c>
      <c r="B916" t="s">
        <v>71</v>
      </c>
      <c r="C916" t="s">
        <v>47</v>
      </c>
      <c r="D916">
        <v>1</v>
      </c>
      <c r="E916">
        <v>6</v>
      </c>
      <c r="F916">
        <v>3</v>
      </c>
      <c r="G916">
        <v>2</v>
      </c>
      <c r="H916">
        <v>0</v>
      </c>
      <c r="I916">
        <v>2</v>
      </c>
      <c r="J916">
        <v>4</v>
      </c>
      <c r="K916">
        <v>3</v>
      </c>
      <c r="L916">
        <v>7</v>
      </c>
    </row>
    <row r="917" spans="1:12" hidden="1" x14ac:dyDescent="0.3">
      <c r="A917" s="3">
        <v>45426</v>
      </c>
      <c r="B917" t="s">
        <v>71</v>
      </c>
      <c r="C917" t="s">
        <v>47</v>
      </c>
      <c r="D917">
        <v>2</v>
      </c>
      <c r="E917">
        <v>6</v>
      </c>
      <c r="F917">
        <v>0</v>
      </c>
      <c r="G917">
        <v>0</v>
      </c>
      <c r="H917">
        <v>1</v>
      </c>
      <c r="I917">
        <v>7</v>
      </c>
      <c r="J917">
        <v>4</v>
      </c>
      <c r="K917">
        <v>3</v>
      </c>
      <c r="L917">
        <v>7</v>
      </c>
    </row>
    <row r="918" spans="1:12" hidden="1" x14ac:dyDescent="0.3">
      <c r="A918" s="3">
        <v>45426</v>
      </c>
      <c r="B918" t="s">
        <v>83</v>
      </c>
      <c r="C918" t="s">
        <v>100</v>
      </c>
      <c r="D918">
        <v>2</v>
      </c>
      <c r="E918">
        <v>10</v>
      </c>
      <c r="F918">
        <v>3</v>
      </c>
      <c r="G918">
        <v>1</v>
      </c>
      <c r="H918">
        <v>5</v>
      </c>
      <c r="I918">
        <v>3</v>
      </c>
      <c r="J918">
        <v>4.5</v>
      </c>
      <c r="K918">
        <v>4</v>
      </c>
      <c r="L918">
        <v>10</v>
      </c>
    </row>
    <row r="919" spans="1:12" hidden="1" x14ac:dyDescent="0.3">
      <c r="A919" s="3">
        <v>45426</v>
      </c>
      <c r="B919" t="s">
        <v>80</v>
      </c>
      <c r="C919" t="s">
        <v>49</v>
      </c>
      <c r="D919">
        <v>5</v>
      </c>
      <c r="E919">
        <v>8</v>
      </c>
      <c r="F919">
        <v>0</v>
      </c>
      <c r="G919">
        <v>2</v>
      </c>
      <c r="H919">
        <v>1</v>
      </c>
      <c r="I919">
        <v>10</v>
      </c>
      <c r="J919">
        <v>2.5</v>
      </c>
      <c r="K919">
        <v>2</v>
      </c>
      <c r="L919">
        <v>5</v>
      </c>
    </row>
    <row r="920" spans="1:12" hidden="1" x14ac:dyDescent="0.3">
      <c r="A920" s="3">
        <v>45427</v>
      </c>
      <c r="B920" t="s">
        <v>89</v>
      </c>
      <c r="C920" t="s">
        <v>103</v>
      </c>
      <c r="D920">
        <v>4</v>
      </c>
      <c r="E920">
        <v>8</v>
      </c>
      <c r="F920">
        <v>3</v>
      </c>
      <c r="G920">
        <v>4</v>
      </c>
      <c r="H920">
        <v>0</v>
      </c>
      <c r="I920">
        <v>5</v>
      </c>
      <c r="J920">
        <v>3.5</v>
      </c>
      <c r="K920">
        <v>3</v>
      </c>
      <c r="L920">
        <v>8</v>
      </c>
    </row>
    <row r="921" spans="1:12" hidden="1" x14ac:dyDescent="0.3">
      <c r="A921" s="3">
        <v>45427</v>
      </c>
      <c r="B921" t="s">
        <v>59</v>
      </c>
      <c r="C921" t="s">
        <v>93</v>
      </c>
      <c r="D921">
        <v>4</v>
      </c>
      <c r="E921">
        <v>10</v>
      </c>
      <c r="F921">
        <v>3</v>
      </c>
      <c r="G921">
        <v>0</v>
      </c>
      <c r="H921">
        <v>4</v>
      </c>
      <c r="I921">
        <v>7</v>
      </c>
      <c r="J921">
        <v>4</v>
      </c>
      <c r="K921">
        <v>3.5</v>
      </c>
      <c r="L921">
        <v>10</v>
      </c>
    </row>
    <row r="922" spans="1:12" hidden="1" x14ac:dyDescent="0.3">
      <c r="A922" s="3">
        <v>45427</v>
      </c>
      <c r="B922" t="s">
        <v>24</v>
      </c>
      <c r="C922" t="s">
        <v>29</v>
      </c>
      <c r="D922">
        <v>10</v>
      </c>
      <c r="E922">
        <v>8</v>
      </c>
      <c r="F922">
        <v>11</v>
      </c>
      <c r="G922">
        <v>2</v>
      </c>
      <c r="H922">
        <v>2</v>
      </c>
      <c r="I922">
        <v>3</v>
      </c>
      <c r="J922">
        <v>7.5</v>
      </c>
      <c r="K922">
        <v>5.5</v>
      </c>
      <c r="L922">
        <v>7</v>
      </c>
    </row>
    <row r="923" spans="1:12" hidden="1" x14ac:dyDescent="0.3">
      <c r="A923" s="3">
        <v>45427</v>
      </c>
      <c r="B923" t="s">
        <v>63</v>
      </c>
      <c r="C923" t="s">
        <v>97</v>
      </c>
      <c r="D923">
        <v>3</v>
      </c>
      <c r="E923">
        <v>10</v>
      </c>
      <c r="F923">
        <v>7</v>
      </c>
      <c r="G923">
        <v>2</v>
      </c>
      <c r="H923">
        <v>1</v>
      </c>
      <c r="I923">
        <v>3</v>
      </c>
      <c r="J923">
        <v>4</v>
      </c>
      <c r="K923">
        <v>3.5</v>
      </c>
      <c r="L923">
        <v>10</v>
      </c>
    </row>
    <row r="924" spans="1:12" hidden="1" x14ac:dyDescent="0.3">
      <c r="A924" s="3">
        <v>45427</v>
      </c>
      <c r="B924" t="s">
        <v>57</v>
      </c>
      <c r="C924" t="s">
        <v>75</v>
      </c>
      <c r="D924">
        <v>7</v>
      </c>
      <c r="E924">
        <v>8</v>
      </c>
      <c r="F924">
        <v>0</v>
      </c>
      <c r="G924">
        <v>0</v>
      </c>
      <c r="H924">
        <v>4</v>
      </c>
      <c r="I924">
        <v>11</v>
      </c>
      <c r="J924">
        <v>6</v>
      </c>
      <c r="K924">
        <v>5.5</v>
      </c>
      <c r="L924">
        <v>20</v>
      </c>
    </row>
    <row r="925" spans="1:12" hidden="1" x14ac:dyDescent="0.3">
      <c r="A925" s="3">
        <v>45427</v>
      </c>
      <c r="B925" t="s">
        <v>59</v>
      </c>
      <c r="C925" t="s">
        <v>93</v>
      </c>
      <c r="D925">
        <v>7</v>
      </c>
      <c r="E925">
        <v>10</v>
      </c>
      <c r="F925">
        <v>9</v>
      </c>
      <c r="G925">
        <v>3</v>
      </c>
      <c r="H925">
        <v>1</v>
      </c>
      <c r="I925">
        <v>4</v>
      </c>
      <c r="J925">
        <v>4</v>
      </c>
      <c r="K925">
        <v>3.5</v>
      </c>
      <c r="L925">
        <v>10</v>
      </c>
    </row>
    <row r="926" spans="1:12" hidden="1" x14ac:dyDescent="0.3">
      <c r="A926" s="3">
        <v>45427</v>
      </c>
      <c r="B926" t="s">
        <v>68</v>
      </c>
      <c r="C926" t="s">
        <v>43</v>
      </c>
      <c r="D926">
        <v>11</v>
      </c>
      <c r="E926">
        <v>15</v>
      </c>
      <c r="F926">
        <v>15</v>
      </c>
      <c r="G926">
        <v>3</v>
      </c>
      <c r="H926">
        <v>4</v>
      </c>
      <c r="I926">
        <v>4</v>
      </c>
      <c r="J926">
        <v>4</v>
      </c>
      <c r="K926">
        <v>3</v>
      </c>
      <c r="L926">
        <v>14</v>
      </c>
    </row>
    <row r="927" spans="1:12" hidden="1" x14ac:dyDescent="0.3">
      <c r="A927" s="3">
        <v>45427</v>
      </c>
      <c r="B927" t="s">
        <v>60</v>
      </c>
      <c r="C927" t="s">
        <v>94</v>
      </c>
      <c r="D927">
        <v>2</v>
      </c>
      <c r="E927">
        <v>10</v>
      </c>
      <c r="F927">
        <v>4</v>
      </c>
      <c r="G927">
        <v>4</v>
      </c>
      <c r="H927">
        <v>1</v>
      </c>
      <c r="I927">
        <v>3</v>
      </c>
      <c r="J927">
        <v>4</v>
      </c>
      <c r="K927">
        <v>3.5</v>
      </c>
      <c r="L927">
        <v>10</v>
      </c>
    </row>
    <row r="928" spans="1:12" hidden="1" x14ac:dyDescent="0.3">
      <c r="A928" s="3">
        <v>45428</v>
      </c>
      <c r="B928" t="s">
        <v>19</v>
      </c>
      <c r="C928" t="s">
        <v>17</v>
      </c>
      <c r="D928">
        <v>4</v>
      </c>
      <c r="E928">
        <v>10</v>
      </c>
      <c r="F928">
        <v>2</v>
      </c>
      <c r="G928">
        <v>0</v>
      </c>
      <c r="H928">
        <v>0</v>
      </c>
      <c r="I928">
        <v>12</v>
      </c>
      <c r="J928">
        <v>4.5</v>
      </c>
      <c r="K928">
        <v>4</v>
      </c>
      <c r="L928">
        <v>10</v>
      </c>
    </row>
    <row r="929" spans="1:12" hidden="1" x14ac:dyDescent="0.3">
      <c r="A929" s="3">
        <v>45428</v>
      </c>
      <c r="B929" t="s">
        <v>56</v>
      </c>
      <c r="C929" t="s">
        <v>54</v>
      </c>
      <c r="D929">
        <v>4</v>
      </c>
      <c r="E929">
        <v>8</v>
      </c>
      <c r="F929">
        <v>0</v>
      </c>
      <c r="G929">
        <v>1</v>
      </c>
      <c r="H929">
        <v>4</v>
      </c>
      <c r="I929">
        <v>7</v>
      </c>
      <c r="J929">
        <v>6</v>
      </c>
      <c r="K929">
        <v>5.5</v>
      </c>
      <c r="L929">
        <v>20</v>
      </c>
    </row>
    <row r="930" spans="1:12" hidden="1" x14ac:dyDescent="0.3">
      <c r="A930" s="3">
        <v>45428</v>
      </c>
      <c r="B930" t="s">
        <v>39</v>
      </c>
      <c r="C930" t="s">
        <v>32</v>
      </c>
      <c r="D930">
        <v>7</v>
      </c>
      <c r="E930">
        <v>12</v>
      </c>
      <c r="F930">
        <v>3</v>
      </c>
      <c r="G930">
        <v>0</v>
      </c>
      <c r="H930">
        <v>5</v>
      </c>
      <c r="I930">
        <v>11</v>
      </c>
      <c r="J930">
        <v>3.5</v>
      </c>
      <c r="K930">
        <v>3</v>
      </c>
      <c r="L930">
        <v>14</v>
      </c>
    </row>
    <row r="931" spans="1:12" hidden="1" x14ac:dyDescent="0.3">
      <c r="A931" s="3">
        <v>45428</v>
      </c>
      <c r="B931" t="s">
        <v>67</v>
      </c>
      <c r="C931" t="s">
        <v>46</v>
      </c>
      <c r="D931">
        <v>2</v>
      </c>
      <c r="E931">
        <v>8</v>
      </c>
      <c r="F931">
        <v>5</v>
      </c>
      <c r="G931">
        <v>1</v>
      </c>
      <c r="H931">
        <v>0</v>
      </c>
      <c r="I931">
        <v>4</v>
      </c>
      <c r="J931">
        <v>3.5</v>
      </c>
      <c r="K931">
        <v>3</v>
      </c>
      <c r="L931">
        <v>8</v>
      </c>
    </row>
    <row r="932" spans="1:12" hidden="1" x14ac:dyDescent="0.3">
      <c r="A932" s="3">
        <v>45428</v>
      </c>
      <c r="B932" t="s">
        <v>39</v>
      </c>
      <c r="C932" t="s">
        <v>32</v>
      </c>
      <c r="D932">
        <v>11</v>
      </c>
      <c r="E932">
        <v>12</v>
      </c>
      <c r="F932">
        <v>4</v>
      </c>
      <c r="G932">
        <v>9</v>
      </c>
      <c r="H932">
        <v>0</v>
      </c>
      <c r="I932">
        <v>10</v>
      </c>
      <c r="J932">
        <v>3.5</v>
      </c>
      <c r="K932">
        <v>3</v>
      </c>
      <c r="L932">
        <v>14</v>
      </c>
    </row>
    <row r="933" spans="1:12" hidden="1" x14ac:dyDescent="0.3">
      <c r="A933" s="3">
        <v>45429</v>
      </c>
      <c r="B933" t="s">
        <v>90</v>
      </c>
      <c r="C933" t="s">
        <v>87</v>
      </c>
      <c r="D933">
        <v>6</v>
      </c>
      <c r="E933">
        <v>12</v>
      </c>
      <c r="F933">
        <v>3</v>
      </c>
      <c r="G933">
        <v>4</v>
      </c>
      <c r="H933">
        <v>5</v>
      </c>
      <c r="I933">
        <v>6</v>
      </c>
      <c r="J933">
        <v>4.5</v>
      </c>
      <c r="K933">
        <v>4</v>
      </c>
      <c r="L933">
        <v>14</v>
      </c>
    </row>
    <row r="934" spans="1:12" hidden="1" x14ac:dyDescent="0.3">
      <c r="A934" s="3">
        <v>45429</v>
      </c>
      <c r="B934" t="s">
        <v>19</v>
      </c>
      <c r="C934" t="s">
        <v>17</v>
      </c>
      <c r="D934">
        <v>12</v>
      </c>
      <c r="E934">
        <v>10</v>
      </c>
      <c r="F934">
        <v>2</v>
      </c>
      <c r="G934">
        <v>10</v>
      </c>
      <c r="H934">
        <v>6</v>
      </c>
      <c r="I934">
        <v>4</v>
      </c>
      <c r="J934">
        <v>4.5</v>
      </c>
      <c r="K934">
        <v>4</v>
      </c>
      <c r="L934">
        <v>10</v>
      </c>
    </row>
    <row r="935" spans="1:12" hidden="1" x14ac:dyDescent="0.3">
      <c r="A935" s="3">
        <v>45429</v>
      </c>
      <c r="B935" t="s">
        <v>58</v>
      </c>
      <c r="C935" t="s">
        <v>76</v>
      </c>
      <c r="D935">
        <v>11</v>
      </c>
      <c r="E935">
        <v>15</v>
      </c>
      <c r="F935">
        <v>11</v>
      </c>
      <c r="G935">
        <v>4</v>
      </c>
      <c r="H935">
        <v>3</v>
      </c>
      <c r="I935">
        <v>8</v>
      </c>
      <c r="J935">
        <v>6</v>
      </c>
      <c r="K935">
        <v>5.5</v>
      </c>
      <c r="L935">
        <v>20</v>
      </c>
    </row>
    <row r="936" spans="1:12" hidden="1" x14ac:dyDescent="0.3">
      <c r="A936" s="3">
        <v>45429</v>
      </c>
      <c r="B936" t="s">
        <v>57</v>
      </c>
      <c r="C936" t="s">
        <v>75</v>
      </c>
      <c r="D936">
        <v>11</v>
      </c>
      <c r="E936">
        <v>8</v>
      </c>
      <c r="F936">
        <v>2</v>
      </c>
      <c r="G936">
        <v>8</v>
      </c>
      <c r="H936">
        <v>1</v>
      </c>
      <c r="I936">
        <v>8</v>
      </c>
      <c r="J936">
        <v>6</v>
      </c>
      <c r="K936">
        <v>5.5</v>
      </c>
      <c r="L936">
        <v>20</v>
      </c>
    </row>
    <row r="937" spans="1:12" hidden="1" x14ac:dyDescent="0.3">
      <c r="A937" s="3">
        <v>45429</v>
      </c>
      <c r="B937" t="s">
        <v>24</v>
      </c>
      <c r="C937" t="s">
        <v>29</v>
      </c>
      <c r="D937">
        <v>3</v>
      </c>
      <c r="E937">
        <v>8</v>
      </c>
      <c r="F937">
        <v>3</v>
      </c>
      <c r="G937">
        <v>4</v>
      </c>
      <c r="H937">
        <v>1</v>
      </c>
      <c r="I937">
        <v>3</v>
      </c>
      <c r="J937">
        <v>7.5</v>
      </c>
      <c r="K937">
        <v>5.5</v>
      </c>
      <c r="L937">
        <v>7</v>
      </c>
    </row>
    <row r="938" spans="1:12" hidden="1" x14ac:dyDescent="0.3">
      <c r="A938" s="3">
        <v>45429</v>
      </c>
      <c r="B938" t="s">
        <v>79</v>
      </c>
      <c r="C938" t="s">
        <v>104</v>
      </c>
      <c r="D938">
        <v>8</v>
      </c>
      <c r="E938">
        <v>8</v>
      </c>
      <c r="F938">
        <v>4</v>
      </c>
      <c r="G938">
        <v>5</v>
      </c>
      <c r="H938">
        <v>4</v>
      </c>
      <c r="I938">
        <v>3</v>
      </c>
      <c r="J938">
        <v>2.5</v>
      </c>
      <c r="K938">
        <v>2</v>
      </c>
      <c r="L938">
        <v>5</v>
      </c>
    </row>
    <row r="939" spans="1:12" hidden="1" x14ac:dyDescent="0.3">
      <c r="A939" s="3">
        <v>45429</v>
      </c>
      <c r="B939" t="s">
        <v>78</v>
      </c>
      <c r="C939" t="s">
        <v>74</v>
      </c>
      <c r="D939">
        <v>3</v>
      </c>
      <c r="E939">
        <v>6</v>
      </c>
      <c r="F939">
        <v>1</v>
      </c>
      <c r="G939">
        <v>5</v>
      </c>
      <c r="H939">
        <v>0</v>
      </c>
      <c r="I939">
        <v>3</v>
      </c>
      <c r="J939">
        <v>4</v>
      </c>
      <c r="K939">
        <v>3</v>
      </c>
      <c r="L939">
        <v>7</v>
      </c>
    </row>
    <row r="940" spans="1:12" hidden="1" x14ac:dyDescent="0.3">
      <c r="A940" s="3">
        <v>45429</v>
      </c>
      <c r="B940" t="s">
        <v>19</v>
      </c>
      <c r="C940" t="s">
        <v>17</v>
      </c>
      <c r="D940">
        <v>4</v>
      </c>
      <c r="E940">
        <v>10</v>
      </c>
      <c r="F940">
        <v>0</v>
      </c>
      <c r="G940">
        <v>4</v>
      </c>
      <c r="H940">
        <v>2</v>
      </c>
      <c r="I940">
        <v>8</v>
      </c>
      <c r="J940">
        <v>4.5</v>
      </c>
      <c r="K940">
        <v>4</v>
      </c>
      <c r="L940">
        <v>10</v>
      </c>
    </row>
    <row r="941" spans="1:12" x14ac:dyDescent="0.3">
      <c r="A941" s="3">
        <v>45429</v>
      </c>
      <c r="B941" t="s">
        <v>34</v>
      </c>
      <c r="C941" t="s">
        <v>30</v>
      </c>
      <c r="D941">
        <v>3</v>
      </c>
      <c r="E941">
        <v>6</v>
      </c>
      <c r="F941">
        <v>2</v>
      </c>
      <c r="G941">
        <v>1</v>
      </c>
      <c r="H941">
        <v>2</v>
      </c>
      <c r="I941">
        <v>4</v>
      </c>
      <c r="J941">
        <v>3.5</v>
      </c>
      <c r="K941">
        <v>3</v>
      </c>
      <c r="L941">
        <v>10</v>
      </c>
    </row>
    <row r="942" spans="1:12" hidden="1" x14ac:dyDescent="0.3">
      <c r="A942" s="3">
        <v>45429</v>
      </c>
      <c r="B942" t="s">
        <v>63</v>
      </c>
      <c r="C942" t="s">
        <v>97</v>
      </c>
      <c r="D942">
        <v>3</v>
      </c>
      <c r="E942">
        <v>10</v>
      </c>
      <c r="F942">
        <v>5</v>
      </c>
      <c r="G942">
        <v>5</v>
      </c>
      <c r="H942">
        <v>2</v>
      </c>
      <c r="I942">
        <v>1</v>
      </c>
      <c r="J942">
        <v>4</v>
      </c>
      <c r="K942">
        <v>3.5</v>
      </c>
      <c r="L942">
        <v>10</v>
      </c>
    </row>
    <row r="943" spans="1:12" hidden="1" x14ac:dyDescent="0.3">
      <c r="A943" s="3">
        <v>45429</v>
      </c>
      <c r="B943" t="s">
        <v>10</v>
      </c>
      <c r="C943" t="s">
        <v>18</v>
      </c>
      <c r="D943">
        <v>3</v>
      </c>
      <c r="E943">
        <v>10</v>
      </c>
      <c r="F943">
        <v>5</v>
      </c>
      <c r="G943">
        <v>3</v>
      </c>
      <c r="H943">
        <v>0</v>
      </c>
      <c r="I943">
        <v>5</v>
      </c>
      <c r="J943">
        <v>5.5</v>
      </c>
      <c r="K943">
        <v>4.5</v>
      </c>
      <c r="L943">
        <v>7</v>
      </c>
    </row>
    <row r="944" spans="1:12" hidden="1" x14ac:dyDescent="0.3">
      <c r="A944" s="3">
        <v>45430</v>
      </c>
      <c r="B944" t="s">
        <v>81</v>
      </c>
      <c r="C944" t="s">
        <v>50</v>
      </c>
      <c r="D944">
        <v>3</v>
      </c>
      <c r="E944">
        <v>8</v>
      </c>
      <c r="F944">
        <v>1</v>
      </c>
      <c r="G944">
        <v>3</v>
      </c>
      <c r="H944">
        <v>0</v>
      </c>
      <c r="I944">
        <v>7</v>
      </c>
      <c r="J944">
        <v>2.5</v>
      </c>
      <c r="K944">
        <v>2</v>
      </c>
      <c r="L944">
        <v>5</v>
      </c>
    </row>
    <row r="945" spans="1:12" hidden="1" x14ac:dyDescent="0.3">
      <c r="A945" s="3">
        <v>45430</v>
      </c>
      <c r="B945" t="s">
        <v>60</v>
      </c>
      <c r="C945" t="s">
        <v>94</v>
      </c>
      <c r="D945">
        <v>3</v>
      </c>
      <c r="E945">
        <v>10</v>
      </c>
      <c r="F945">
        <v>2</v>
      </c>
      <c r="G945">
        <v>4</v>
      </c>
      <c r="H945">
        <v>3</v>
      </c>
      <c r="I945">
        <v>4</v>
      </c>
      <c r="J945">
        <v>4</v>
      </c>
      <c r="K945">
        <v>3.5</v>
      </c>
      <c r="L945">
        <v>10</v>
      </c>
    </row>
    <row r="946" spans="1:12" hidden="1" x14ac:dyDescent="0.3">
      <c r="A946" s="3">
        <v>45430</v>
      </c>
      <c r="B946" t="s">
        <v>62</v>
      </c>
      <c r="C946" t="s">
        <v>96</v>
      </c>
      <c r="D946">
        <v>7</v>
      </c>
      <c r="E946">
        <v>10</v>
      </c>
      <c r="F946">
        <v>9</v>
      </c>
      <c r="G946">
        <v>5</v>
      </c>
      <c r="H946">
        <v>1</v>
      </c>
      <c r="I946">
        <v>2</v>
      </c>
      <c r="J946">
        <v>4</v>
      </c>
      <c r="K946">
        <v>3.5</v>
      </c>
      <c r="L946">
        <v>10</v>
      </c>
    </row>
    <row r="947" spans="1:12" hidden="1" x14ac:dyDescent="0.3">
      <c r="A947" s="3">
        <v>45430</v>
      </c>
      <c r="B947" t="s">
        <v>58</v>
      </c>
      <c r="C947" t="s">
        <v>76</v>
      </c>
      <c r="D947">
        <v>8</v>
      </c>
      <c r="E947">
        <v>15</v>
      </c>
      <c r="F947">
        <v>9</v>
      </c>
      <c r="G947">
        <v>4</v>
      </c>
      <c r="H947">
        <v>5</v>
      </c>
      <c r="I947">
        <v>5</v>
      </c>
      <c r="J947">
        <v>6</v>
      </c>
      <c r="K947">
        <v>5.5</v>
      </c>
      <c r="L947">
        <v>20</v>
      </c>
    </row>
    <row r="948" spans="1:12" hidden="1" x14ac:dyDescent="0.3">
      <c r="A948" s="3">
        <v>45430</v>
      </c>
      <c r="B948" t="s">
        <v>41</v>
      </c>
      <c r="C948" t="s">
        <v>86</v>
      </c>
      <c r="D948">
        <v>10</v>
      </c>
      <c r="E948">
        <v>15</v>
      </c>
      <c r="F948">
        <v>8</v>
      </c>
      <c r="G948">
        <v>5</v>
      </c>
      <c r="H948">
        <v>7</v>
      </c>
      <c r="I948">
        <v>5</v>
      </c>
      <c r="J948">
        <v>3</v>
      </c>
      <c r="K948">
        <v>2.5</v>
      </c>
      <c r="L948">
        <v>14</v>
      </c>
    </row>
    <row r="949" spans="1:12" x14ac:dyDescent="0.3">
      <c r="A949" s="3">
        <v>45431</v>
      </c>
      <c r="B949" t="s">
        <v>34</v>
      </c>
      <c r="C949" t="s">
        <v>30</v>
      </c>
      <c r="D949">
        <v>4</v>
      </c>
      <c r="E949">
        <v>6</v>
      </c>
      <c r="F949">
        <v>4</v>
      </c>
      <c r="G949">
        <v>3</v>
      </c>
      <c r="H949">
        <v>0</v>
      </c>
      <c r="I949">
        <v>3</v>
      </c>
      <c r="J949">
        <v>3.5</v>
      </c>
      <c r="K949">
        <v>3</v>
      </c>
      <c r="L949">
        <v>10</v>
      </c>
    </row>
    <row r="950" spans="1:12" hidden="1" x14ac:dyDescent="0.3">
      <c r="A950" s="3">
        <v>45431</v>
      </c>
      <c r="B950" t="s">
        <v>92</v>
      </c>
      <c r="C950" t="s">
        <v>91</v>
      </c>
      <c r="D950">
        <v>3</v>
      </c>
      <c r="E950">
        <v>6</v>
      </c>
      <c r="F950">
        <v>5</v>
      </c>
      <c r="G950">
        <v>2</v>
      </c>
      <c r="H950">
        <v>1</v>
      </c>
      <c r="I950">
        <v>1</v>
      </c>
      <c r="J950">
        <v>4.5</v>
      </c>
      <c r="K950">
        <v>4</v>
      </c>
      <c r="L950">
        <v>14</v>
      </c>
    </row>
    <row r="951" spans="1:12" hidden="1" x14ac:dyDescent="0.3">
      <c r="A951" s="3">
        <v>45431</v>
      </c>
      <c r="B951" t="s">
        <v>38</v>
      </c>
      <c r="C951" t="s">
        <v>52</v>
      </c>
      <c r="D951">
        <v>5</v>
      </c>
      <c r="E951">
        <v>12</v>
      </c>
      <c r="F951">
        <v>10</v>
      </c>
      <c r="G951">
        <v>0</v>
      </c>
      <c r="H951">
        <v>3</v>
      </c>
      <c r="I951">
        <v>4</v>
      </c>
      <c r="J951">
        <v>3.5</v>
      </c>
      <c r="K951">
        <v>3</v>
      </c>
      <c r="L951">
        <v>14</v>
      </c>
    </row>
    <row r="952" spans="1:12" hidden="1" x14ac:dyDescent="0.3">
      <c r="A952" s="3">
        <v>45431</v>
      </c>
      <c r="B952" t="s">
        <v>61</v>
      </c>
      <c r="C952" t="s">
        <v>95</v>
      </c>
      <c r="D952">
        <v>5</v>
      </c>
      <c r="E952">
        <v>10</v>
      </c>
      <c r="F952">
        <v>4</v>
      </c>
      <c r="G952">
        <v>3</v>
      </c>
      <c r="H952">
        <v>3</v>
      </c>
      <c r="I952">
        <v>5</v>
      </c>
      <c r="J952">
        <v>4</v>
      </c>
      <c r="K952">
        <v>3.5</v>
      </c>
      <c r="L952">
        <v>10</v>
      </c>
    </row>
    <row r="953" spans="1:12" hidden="1" x14ac:dyDescent="0.3">
      <c r="A953" s="3">
        <v>45431</v>
      </c>
      <c r="B953" t="s">
        <v>92</v>
      </c>
      <c r="C953" t="s">
        <v>91</v>
      </c>
      <c r="D953">
        <v>1</v>
      </c>
      <c r="E953">
        <v>6</v>
      </c>
      <c r="F953">
        <v>4</v>
      </c>
      <c r="G953">
        <v>1</v>
      </c>
      <c r="H953">
        <v>1</v>
      </c>
      <c r="I953">
        <v>1</v>
      </c>
      <c r="J953">
        <v>4.5</v>
      </c>
      <c r="K953">
        <v>4</v>
      </c>
      <c r="L953">
        <v>14</v>
      </c>
    </row>
    <row r="954" spans="1:12" hidden="1" x14ac:dyDescent="0.3">
      <c r="A954" s="3">
        <v>45431</v>
      </c>
      <c r="B954" t="s">
        <v>60</v>
      </c>
      <c r="C954" t="s">
        <v>94</v>
      </c>
      <c r="D954">
        <v>4</v>
      </c>
      <c r="E954">
        <v>10</v>
      </c>
      <c r="F954">
        <v>0</v>
      </c>
      <c r="G954">
        <v>2</v>
      </c>
      <c r="H954">
        <v>3</v>
      </c>
      <c r="I954">
        <v>9</v>
      </c>
      <c r="J954">
        <v>4</v>
      </c>
      <c r="K954">
        <v>3.5</v>
      </c>
      <c r="L954">
        <v>10</v>
      </c>
    </row>
    <row r="955" spans="1:12" hidden="1" x14ac:dyDescent="0.3">
      <c r="A955" s="3">
        <v>45431</v>
      </c>
      <c r="B955" t="s">
        <v>22</v>
      </c>
      <c r="C955" t="s">
        <v>26</v>
      </c>
      <c r="D955">
        <v>10</v>
      </c>
      <c r="E955">
        <v>12</v>
      </c>
      <c r="F955">
        <v>4</v>
      </c>
      <c r="G955">
        <v>0</v>
      </c>
      <c r="H955">
        <v>7</v>
      </c>
      <c r="I955">
        <v>11</v>
      </c>
      <c r="J955">
        <v>3.5</v>
      </c>
      <c r="K955">
        <v>3</v>
      </c>
      <c r="L955">
        <v>14</v>
      </c>
    </row>
    <row r="956" spans="1:12" hidden="1" x14ac:dyDescent="0.3">
      <c r="A956" s="3">
        <v>45431</v>
      </c>
      <c r="B956" t="s">
        <v>65</v>
      </c>
      <c r="C956" t="s">
        <v>44</v>
      </c>
      <c r="D956">
        <v>6</v>
      </c>
      <c r="E956">
        <v>10</v>
      </c>
      <c r="F956">
        <v>0</v>
      </c>
      <c r="G956">
        <v>7</v>
      </c>
      <c r="H956">
        <v>4</v>
      </c>
      <c r="I956">
        <v>5</v>
      </c>
      <c r="J956">
        <v>3.5</v>
      </c>
      <c r="K956">
        <v>3</v>
      </c>
      <c r="L956">
        <v>8</v>
      </c>
    </row>
    <row r="957" spans="1:12" hidden="1" x14ac:dyDescent="0.3">
      <c r="A957" s="3">
        <v>45432</v>
      </c>
      <c r="B957" t="s">
        <v>70</v>
      </c>
      <c r="C957" t="s">
        <v>99</v>
      </c>
      <c r="D957">
        <v>2</v>
      </c>
      <c r="E957">
        <v>6</v>
      </c>
      <c r="F957">
        <v>4</v>
      </c>
      <c r="G957">
        <v>2</v>
      </c>
      <c r="H957">
        <v>1</v>
      </c>
      <c r="I957">
        <v>1</v>
      </c>
      <c r="J957">
        <v>4</v>
      </c>
      <c r="K957">
        <v>3</v>
      </c>
      <c r="L957">
        <v>7</v>
      </c>
    </row>
    <row r="958" spans="1:12" hidden="1" x14ac:dyDescent="0.3">
      <c r="A958" s="3">
        <v>45432</v>
      </c>
      <c r="B958" t="s">
        <v>92</v>
      </c>
      <c r="C958" t="s">
        <v>91</v>
      </c>
      <c r="D958">
        <v>1</v>
      </c>
      <c r="E958">
        <v>6</v>
      </c>
      <c r="F958">
        <v>3</v>
      </c>
      <c r="G958">
        <v>2</v>
      </c>
      <c r="H958">
        <v>1</v>
      </c>
      <c r="I958">
        <v>1</v>
      </c>
      <c r="J958">
        <v>4.5</v>
      </c>
      <c r="K958">
        <v>4</v>
      </c>
      <c r="L958">
        <v>14</v>
      </c>
    </row>
    <row r="959" spans="1:12" hidden="1" x14ac:dyDescent="0.3">
      <c r="A959" s="3">
        <v>45432</v>
      </c>
      <c r="B959" t="s">
        <v>89</v>
      </c>
      <c r="C959" t="s">
        <v>103</v>
      </c>
      <c r="D959">
        <v>5</v>
      </c>
      <c r="E959">
        <v>8</v>
      </c>
      <c r="F959">
        <v>8</v>
      </c>
      <c r="G959">
        <v>3</v>
      </c>
      <c r="H959">
        <v>1</v>
      </c>
      <c r="I959">
        <v>1</v>
      </c>
      <c r="J959">
        <v>3.5</v>
      </c>
      <c r="K959">
        <v>3</v>
      </c>
      <c r="L959">
        <v>8</v>
      </c>
    </row>
    <row r="960" spans="1:12" hidden="1" x14ac:dyDescent="0.3">
      <c r="A960" s="3">
        <v>45432</v>
      </c>
      <c r="B960" t="s">
        <v>67</v>
      </c>
      <c r="C960" t="s">
        <v>46</v>
      </c>
      <c r="D960">
        <v>4</v>
      </c>
      <c r="E960">
        <v>8</v>
      </c>
      <c r="F960">
        <v>0</v>
      </c>
      <c r="G960">
        <v>7</v>
      </c>
      <c r="H960">
        <v>3</v>
      </c>
      <c r="I960">
        <v>2</v>
      </c>
      <c r="J960">
        <v>3.5</v>
      </c>
      <c r="K960">
        <v>3</v>
      </c>
      <c r="L960">
        <v>8</v>
      </c>
    </row>
    <row r="961" spans="1:12" hidden="1" x14ac:dyDescent="0.3">
      <c r="A961" s="3">
        <v>45432</v>
      </c>
      <c r="B961" t="s">
        <v>72</v>
      </c>
      <c r="C961" t="s">
        <v>48</v>
      </c>
      <c r="D961">
        <v>3</v>
      </c>
      <c r="E961">
        <v>6</v>
      </c>
      <c r="F961">
        <v>5</v>
      </c>
      <c r="G961">
        <v>0</v>
      </c>
      <c r="H961">
        <v>2</v>
      </c>
      <c r="I961">
        <v>2</v>
      </c>
      <c r="J961">
        <v>4</v>
      </c>
      <c r="K961">
        <v>3</v>
      </c>
      <c r="L961">
        <v>7</v>
      </c>
    </row>
    <row r="962" spans="1:12" hidden="1" x14ac:dyDescent="0.3">
      <c r="A962" s="3">
        <v>45432</v>
      </c>
      <c r="B962" t="s">
        <v>81</v>
      </c>
      <c r="C962" t="s">
        <v>50</v>
      </c>
      <c r="D962">
        <v>7</v>
      </c>
      <c r="E962">
        <v>8</v>
      </c>
      <c r="F962">
        <v>2</v>
      </c>
      <c r="G962">
        <v>2</v>
      </c>
      <c r="H962">
        <v>6</v>
      </c>
      <c r="I962">
        <v>5</v>
      </c>
      <c r="J962">
        <v>2.5</v>
      </c>
      <c r="K962">
        <v>2</v>
      </c>
      <c r="L962">
        <v>5</v>
      </c>
    </row>
    <row r="963" spans="1:12" hidden="1" x14ac:dyDescent="0.3">
      <c r="A963" s="3">
        <v>45432</v>
      </c>
      <c r="B963" t="s">
        <v>58</v>
      </c>
      <c r="C963" t="s">
        <v>76</v>
      </c>
      <c r="D963">
        <v>5</v>
      </c>
      <c r="E963">
        <v>15</v>
      </c>
      <c r="F963">
        <v>12</v>
      </c>
      <c r="G963">
        <v>4</v>
      </c>
      <c r="H963">
        <v>2</v>
      </c>
      <c r="I963">
        <v>2</v>
      </c>
      <c r="J963">
        <v>6</v>
      </c>
      <c r="K963">
        <v>5.5</v>
      </c>
      <c r="L963">
        <v>20</v>
      </c>
    </row>
    <row r="964" spans="1:12" hidden="1" x14ac:dyDescent="0.3">
      <c r="A964" s="3">
        <v>45433</v>
      </c>
      <c r="B964" t="s">
        <v>16</v>
      </c>
      <c r="C964" t="s">
        <v>77</v>
      </c>
      <c r="D964">
        <v>6</v>
      </c>
      <c r="E964">
        <v>10</v>
      </c>
      <c r="F964">
        <v>1</v>
      </c>
      <c r="G964">
        <v>8</v>
      </c>
      <c r="H964">
        <v>2</v>
      </c>
      <c r="I964">
        <v>5</v>
      </c>
      <c r="J964">
        <v>5.5</v>
      </c>
      <c r="K964">
        <v>4.5</v>
      </c>
      <c r="L964">
        <v>7</v>
      </c>
    </row>
    <row r="965" spans="1:12" hidden="1" x14ac:dyDescent="0.3">
      <c r="A965" s="3">
        <v>45433</v>
      </c>
      <c r="B965" t="s">
        <v>39</v>
      </c>
      <c r="C965" t="s">
        <v>32</v>
      </c>
      <c r="D965">
        <v>10</v>
      </c>
      <c r="E965">
        <v>12</v>
      </c>
      <c r="F965">
        <v>10</v>
      </c>
      <c r="G965">
        <v>6</v>
      </c>
      <c r="H965">
        <v>4</v>
      </c>
      <c r="I965">
        <v>2</v>
      </c>
      <c r="J965">
        <v>3.5</v>
      </c>
      <c r="K965">
        <v>3</v>
      </c>
      <c r="L965">
        <v>14</v>
      </c>
    </row>
    <row r="966" spans="1:12" hidden="1" x14ac:dyDescent="0.3">
      <c r="A966" s="3">
        <v>45433</v>
      </c>
      <c r="B966" t="s">
        <v>67</v>
      </c>
      <c r="C966" t="s">
        <v>46</v>
      </c>
      <c r="D966">
        <v>2</v>
      </c>
      <c r="E966">
        <v>8</v>
      </c>
      <c r="F966">
        <v>5</v>
      </c>
      <c r="G966">
        <v>3</v>
      </c>
      <c r="H966">
        <v>1</v>
      </c>
      <c r="I966">
        <v>1</v>
      </c>
      <c r="J966">
        <v>3.5</v>
      </c>
      <c r="K966">
        <v>3</v>
      </c>
      <c r="L966">
        <v>8</v>
      </c>
    </row>
    <row r="967" spans="1:12" hidden="1" x14ac:dyDescent="0.3">
      <c r="A967" s="3">
        <v>45433</v>
      </c>
      <c r="B967" t="s">
        <v>61</v>
      </c>
      <c r="C967" t="s">
        <v>95</v>
      </c>
      <c r="D967">
        <v>5</v>
      </c>
      <c r="E967">
        <v>10</v>
      </c>
      <c r="F967">
        <v>0</v>
      </c>
      <c r="G967">
        <v>0</v>
      </c>
      <c r="H967">
        <v>4</v>
      </c>
      <c r="I967">
        <v>11</v>
      </c>
      <c r="J967">
        <v>4</v>
      </c>
      <c r="K967">
        <v>3.5</v>
      </c>
      <c r="L967">
        <v>10</v>
      </c>
    </row>
    <row r="968" spans="1:12" hidden="1" x14ac:dyDescent="0.3">
      <c r="A968" s="3">
        <v>45433</v>
      </c>
      <c r="B968" t="s">
        <v>82</v>
      </c>
      <c r="C968" t="s">
        <v>73</v>
      </c>
      <c r="D968">
        <v>3</v>
      </c>
      <c r="E968">
        <v>8</v>
      </c>
      <c r="F968">
        <v>2</v>
      </c>
      <c r="G968">
        <v>4</v>
      </c>
      <c r="H968">
        <v>1</v>
      </c>
      <c r="I968">
        <v>4</v>
      </c>
      <c r="J968">
        <v>2.5</v>
      </c>
      <c r="K968">
        <v>2</v>
      </c>
      <c r="L968">
        <v>5</v>
      </c>
    </row>
    <row r="969" spans="1:12" hidden="1" x14ac:dyDescent="0.3">
      <c r="A969" s="3">
        <v>45433</v>
      </c>
      <c r="B969" t="s">
        <v>61</v>
      </c>
      <c r="C969" t="s">
        <v>95</v>
      </c>
      <c r="D969">
        <v>11</v>
      </c>
      <c r="E969">
        <v>10</v>
      </c>
      <c r="F969">
        <v>11</v>
      </c>
      <c r="G969">
        <v>0</v>
      </c>
      <c r="H969">
        <v>5</v>
      </c>
      <c r="I969">
        <v>5</v>
      </c>
      <c r="J969">
        <v>4</v>
      </c>
      <c r="K969">
        <v>3.5</v>
      </c>
      <c r="L969">
        <v>10</v>
      </c>
    </row>
    <row r="970" spans="1:12" x14ac:dyDescent="0.3">
      <c r="A970" s="3">
        <v>45433</v>
      </c>
      <c r="B970" t="s">
        <v>34</v>
      </c>
      <c r="C970" t="s">
        <v>30</v>
      </c>
      <c r="D970">
        <v>3</v>
      </c>
      <c r="E970">
        <v>6</v>
      </c>
      <c r="F970">
        <v>5</v>
      </c>
      <c r="G970">
        <v>1</v>
      </c>
      <c r="H970">
        <v>0</v>
      </c>
      <c r="I970">
        <v>3</v>
      </c>
      <c r="J970">
        <v>3.5</v>
      </c>
      <c r="K970">
        <v>3</v>
      </c>
      <c r="L970">
        <v>10</v>
      </c>
    </row>
    <row r="971" spans="1:12" hidden="1" x14ac:dyDescent="0.3">
      <c r="A971" s="3">
        <v>45434</v>
      </c>
      <c r="B971" t="s">
        <v>71</v>
      </c>
      <c r="C971" t="s">
        <v>47</v>
      </c>
      <c r="D971">
        <v>7</v>
      </c>
      <c r="E971">
        <v>6</v>
      </c>
      <c r="F971">
        <v>1</v>
      </c>
      <c r="G971">
        <v>6</v>
      </c>
      <c r="H971">
        <v>1</v>
      </c>
      <c r="I971">
        <v>5</v>
      </c>
      <c r="J971">
        <v>4</v>
      </c>
      <c r="K971">
        <v>3</v>
      </c>
      <c r="L971">
        <v>7</v>
      </c>
    </row>
    <row r="972" spans="1:12" hidden="1" x14ac:dyDescent="0.3">
      <c r="A972" s="3">
        <v>45434</v>
      </c>
      <c r="B972" t="s">
        <v>65</v>
      </c>
      <c r="C972" t="s">
        <v>44</v>
      </c>
      <c r="D972">
        <v>5</v>
      </c>
      <c r="E972">
        <v>10</v>
      </c>
      <c r="F972">
        <v>6</v>
      </c>
      <c r="G972">
        <v>2</v>
      </c>
      <c r="H972">
        <v>0</v>
      </c>
      <c r="I972">
        <v>7</v>
      </c>
      <c r="J972">
        <v>3.5</v>
      </c>
      <c r="K972">
        <v>3</v>
      </c>
      <c r="L972">
        <v>8</v>
      </c>
    </row>
    <row r="973" spans="1:12" hidden="1" x14ac:dyDescent="0.3">
      <c r="A973" s="3">
        <v>45434</v>
      </c>
      <c r="B973" t="s">
        <v>16</v>
      </c>
      <c r="C973" t="s">
        <v>77</v>
      </c>
      <c r="D973">
        <v>5</v>
      </c>
      <c r="E973">
        <v>10</v>
      </c>
      <c r="F973">
        <v>2</v>
      </c>
      <c r="G973">
        <v>1</v>
      </c>
      <c r="H973">
        <v>1</v>
      </c>
      <c r="I973">
        <v>11</v>
      </c>
      <c r="J973">
        <v>5.5</v>
      </c>
      <c r="K973">
        <v>4.5</v>
      </c>
      <c r="L973">
        <v>7</v>
      </c>
    </row>
    <row r="974" spans="1:12" hidden="1" x14ac:dyDescent="0.3">
      <c r="A974" s="3">
        <v>45434</v>
      </c>
      <c r="B974" t="s">
        <v>59</v>
      </c>
      <c r="C974" t="s">
        <v>93</v>
      </c>
      <c r="D974">
        <v>4</v>
      </c>
      <c r="E974">
        <v>10</v>
      </c>
      <c r="F974">
        <v>8</v>
      </c>
      <c r="G974">
        <v>2</v>
      </c>
      <c r="H974">
        <v>1</v>
      </c>
      <c r="I974">
        <v>3</v>
      </c>
      <c r="J974">
        <v>4</v>
      </c>
      <c r="K974">
        <v>3.5</v>
      </c>
      <c r="L974">
        <v>10</v>
      </c>
    </row>
    <row r="975" spans="1:12" hidden="1" x14ac:dyDescent="0.3">
      <c r="A975" s="3">
        <v>45435</v>
      </c>
      <c r="B975" t="s">
        <v>90</v>
      </c>
      <c r="C975" t="s">
        <v>87</v>
      </c>
      <c r="D975">
        <v>6</v>
      </c>
      <c r="E975">
        <v>12</v>
      </c>
      <c r="F975">
        <v>11</v>
      </c>
      <c r="G975">
        <v>2</v>
      </c>
      <c r="H975">
        <v>0</v>
      </c>
      <c r="I975">
        <v>5</v>
      </c>
      <c r="J975">
        <v>4.5</v>
      </c>
      <c r="K975">
        <v>4</v>
      </c>
      <c r="L975">
        <v>14</v>
      </c>
    </row>
    <row r="976" spans="1:12" hidden="1" x14ac:dyDescent="0.3">
      <c r="A976" s="3">
        <v>45435</v>
      </c>
      <c r="B976" t="s">
        <v>22</v>
      </c>
      <c r="C976" t="s">
        <v>26</v>
      </c>
      <c r="D976">
        <v>11</v>
      </c>
      <c r="E976">
        <v>12</v>
      </c>
      <c r="F976">
        <v>5</v>
      </c>
      <c r="G976">
        <v>7</v>
      </c>
      <c r="H976">
        <v>5</v>
      </c>
      <c r="I976">
        <v>6</v>
      </c>
      <c r="J976">
        <v>3.5</v>
      </c>
      <c r="K976">
        <v>3</v>
      </c>
      <c r="L976">
        <v>14</v>
      </c>
    </row>
    <row r="977" spans="1:12" hidden="1" x14ac:dyDescent="0.3">
      <c r="A977" s="3">
        <v>45435</v>
      </c>
      <c r="B977" t="s">
        <v>66</v>
      </c>
      <c r="C977" t="s">
        <v>45</v>
      </c>
      <c r="D977">
        <v>9</v>
      </c>
      <c r="E977">
        <v>8</v>
      </c>
      <c r="F977">
        <v>5</v>
      </c>
      <c r="G977">
        <v>3</v>
      </c>
      <c r="H977">
        <v>3</v>
      </c>
      <c r="I977">
        <v>6</v>
      </c>
      <c r="J977">
        <v>3.5</v>
      </c>
      <c r="K977">
        <v>3</v>
      </c>
      <c r="L977">
        <v>8</v>
      </c>
    </row>
    <row r="978" spans="1:12" hidden="1" x14ac:dyDescent="0.3">
      <c r="A978" s="3">
        <v>45435</v>
      </c>
      <c r="B978" t="s">
        <v>21</v>
      </c>
      <c r="C978" t="s">
        <v>27</v>
      </c>
      <c r="D978">
        <v>8</v>
      </c>
      <c r="E978">
        <v>8</v>
      </c>
      <c r="F978">
        <v>8</v>
      </c>
      <c r="G978">
        <v>0</v>
      </c>
      <c r="H978">
        <v>1</v>
      </c>
      <c r="I978">
        <v>7</v>
      </c>
      <c r="J978">
        <v>4</v>
      </c>
      <c r="K978">
        <v>3</v>
      </c>
      <c r="L978">
        <v>14</v>
      </c>
    </row>
    <row r="979" spans="1:12" hidden="1" x14ac:dyDescent="0.3">
      <c r="A979" s="3">
        <v>45435</v>
      </c>
      <c r="B979" t="s">
        <v>69</v>
      </c>
      <c r="C979" t="s">
        <v>98</v>
      </c>
      <c r="D979">
        <v>1</v>
      </c>
      <c r="E979">
        <v>6</v>
      </c>
      <c r="F979">
        <v>3</v>
      </c>
      <c r="G979">
        <v>0</v>
      </c>
      <c r="H979">
        <v>0</v>
      </c>
      <c r="I979">
        <v>4</v>
      </c>
      <c r="J979">
        <v>4</v>
      </c>
      <c r="K979">
        <v>3</v>
      </c>
      <c r="L979">
        <v>7</v>
      </c>
    </row>
    <row r="980" spans="1:12" hidden="1" x14ac:dyDescent="0.3">
      <c r="A980" s="3">
        <v>45435</v>
      </c>
      <c r="B980" t="s">
        <v>16</v>
      </c>
      <c r="C980" t="s">
        <v>77</v>
      </c>
      <c r="D980">
        <v>11</v>
      </c>
      <c r="E980">
        <v>10</v>
      </c>
      <c r="F980">
        <v>4</v>
      </c>
      <c r="G980">
        <v>3</v>
      </c>
      <c r="H980">
        <v>2</v>
      </c>
      <c r="I980">
        <v>12</v>
      </c>
      <c r="J980">
        <v>5.5</v>
      </c>
      <c r="K980">
        <v>4.5</v>
      </c>
      <c r="L980">
        <v>7</v>
      </c>
    </row>
    <row r="981" spans="1:12" hidden="1" x14ac:dyDescent="0.3">
      <c r="A981" s="3">
        <v>45435</v>
      </c>
      <c r="B981" t="s">
        <v>65</v>
      </c>
      <c r="C981" t="s">
        <v>44</v>
      </c>
      <c r="D981">
        <v>7</v>
      </c>
      <c r="E981">
        <v>10</v>
      </c>
      <c r="F981">
        <v>5</v>
      </c>
      <c r="G981">
        <v>3</v>
      </c>
      <c r="H981">
        <v>3</v>
      </c>
      <c r="I981">
        <v>6</v>
      </c>
      <c r="J981">
        <v>3.5</v>
      </c>
      <c r="K981">
        <v>3</v>
      </c>
      <c r="L981">
        <v>8</v>
      </c>
    </row>
    <row r="982" spans="1:12" x14ac:dyDescent="0.3">
      <c r="A982" s="3">
        <v>45436</v>
      </c>
      <c r="B982" t="s">
        <v>34</v>
      </c>
      <c r="C982" t="s">
        <v>30</v>
      </c>
      <c r="D982">
        <v>3</v>
      </c>
      <c r="E982">
        <v>6</v>
      </c>
      <c r="F982">
        <v>1</v>
      </c>
      <c r="G982">
        <v>4</v>
      </c>
      <c r="H982">
        <v>2</v>
      </c>
      <c r="I982">
        <v>2</v>
      </c>
      <c r="J982">
        <v>3.5</v>
      </c>
      <c r="K982">
        <v>3</v>
      </c>
      <c r="L982">
        <v>10</v>
      </c>
    </row>
    <row r="983" spans="1:12" hidden="1" x14ac:dyDescent="0.3">
      <c r="A983" s="3">
        <v>45436</v>
      </c>
      <c r="B983" t="s">
        <v>92</v>
      </c>
      <c r="C983" t="s">
        <v>91</v>
      </c>
      <c r="D983">
        <v>1</v>
      </c>
      <c r="E983">
        <v>6</v>
      </c>
      <c r="F983">
        <v>3</v>
      </c>
      <c r="G983">
        <v>0</v>
      </c>
      <c r="H983">
        <v>0</v>
      </c>
      <c r="I983">
        <v>4</v>
      </c>
      <c r="J983">
        <v>4.5</v>
      </c>
      <c r="K983">
        <v>4</v>
      </c>
      <c r="L983">
        <v>14</v>
      </c>
    </row>
    <row r="984" spans="1:12" hidden="1" x14ac:dyDescent="0.3">
      <c r="A984" s="3">
        <v>45436</v>
      </c>
      <c r="B984" t="s">
        <v>63</v>
      </c>
      <c r="C984" t="s">
        <v>97</v>
      </c>
      <c r="D984">
        <v>1</v>
      </c>
      <c r="E984">
        <v>10</v>
      </c>
      <c r="F984">
        <v>6</v>
      </c>
      <c r="G984">
        <v>3</v>
      </c>
      <c r="H984">
        <v>1</v>
      </c>
      <c r="I984">
        <v>1</v>
      </c>
      <c r="J984">
        <v>4</v>
      </c>
      <c r="K984">
        <v>3.5</v>
      </c>
      <c r="L984">
        <v>10</v>
      </c>
    </row>
    <row r="985" spans="1:12" hidden="1" x14ac:dyDescent="0.3">
      <c r="A985" s="3">
        <v>45436</v>
      </c>
      <c r="B985" t="s">
        <v>66</v>
      </c>
      <c r="C985" t="s">
        <v>45</v>
      </c>
      <c r="D985">
        <v>6</v>
      </c>
      <c r="E985">
        <v>8</v>
      </c>
      <c r="F985">
        <v>5</v>
      </c>
      <c r="G985">
        <v>1</v>
      </c>
      <c r="H985">
        <v>5</v>
      </c>
      <c r="I985">
        <v>3</v>
      </c>
      <c r="J985">
        <v>3.5</v>
      </c>
      <c r="K985">
        <v>3</v>
      </c>
      <c r="L985">
        <v>8</v>
      </c>
    </row>
    <row r="986" spans="1:12" hidden="1" x14ac:dyDescent="0.3">
      <c r="A986" s="3">
        <v>45436</v>
      </c>
      <c r="B986" t="s">
        <v>71</v>
      </c>
      <c r="C986" t="s">
        <v>47</v>
      </c>
      <c r="D986">
        <v>5</v>
      </c>
      <c r="E986">
        <v>6</v>
      </c>
      <c r="F986">
        <v>1</v>
      </c>
      <c r="G986">
        <v>3</v>
      </c>
      <c r="H986">
        <v>3</v>
      </c>
      <c r="I986">
        <v>4</v>
      </c>
      <c r="J986">
        <v>4</v>
      </c>
      <c r="K986">
        <v>3</v>
      </c>
      <c r="L986">
        <v>7</v>
      </c>
    </row>
    <row r="987" spans="1:12" hidden="1" x14ac:dyDescent="0.3">
      <c r="A987" s="3">
        <v>45436</v>
      </c>
      <c r="B987" t="s">
        <v>64</v>
      </c>
      <c r="C987" t="s">
        <v>42</v>
      </c>
      <c r="D987">
        <v>5</v>
      </c>
      <c r="E987">
        <v>8</v>
      </c>
      <c r="F987">
        <v>8</v>
      </c>
      <c r="G987">
        <v>2</v>
      </c>
      <c r="H987">
        <v>2</v>
      </c>
      <c r="I987">
        <v>1</v>
      </c>
      <c r="J987">
        <v>3.5</v>
      </c>
      <c r="K987">
        <v>3</v>
      </c>
      <c r="L987">
        <v>8</v>
      </c>
    </row>
    <row r="988" spans="1:12" hidden="1" x14ac:dyDescent="0.3">
      <c r="A988" s="3">
        <v>45436</v>
      </c>
      <c r="B988" t="s">
        <v>56</v>
      </c>
      <c r="C988" t="s">
        <v>54</v>
      </c>
      <c r="D988">
        <v>7</v>
      </c>
      <c r="E988">
        <v>8</v>
      </c>
      <c r="F988">
        <v>1</v>
      </c>
      <c r="G988">
        <v>1</v>
      </c>
      <c r="H988">
        <v>3</v>
      </c>
      <c r="I988">
        <v>10</v>
      </c>
      <c r="J988">
        <v>6</v>
      </c>
      <c r="K988">
        <v>5.5</v>
      </c>
      <c r="L988">
        <v>20</v>
      </c>
    </row>
    <row r="989" spans="1:12" hidden="1" x14ac:dyDescent="0.3">
      <c r="A989" s="3">
        <v>45436</v>
      </c>
      <c r="B989" t="s">
        <v>66</v>
      </c>
      <c r="C989" t="s">
        <v>45</v>
      </c>
      <c r="D989">
        <v>3</v>
      </c>
      <c r="E989">
        <v>8</v>
      </c>
      <c r="F989">
        <v>5</v>
      </c>
      <c r="G989">
        <v>0</v>
      </c>
      <c r="H989">
        <v>2</v>
      </c>
      <c r="I989">
        <v>4</v>
      </c>
      <c r="J989">
        <v>3.5</v>
      </c>
      <c r="K989">
        <v>3</v>
      </c>
      <c r="L989">
        <v>8</v>
      </c>
    </row>
    <row r="990" spans="1:12" hidden="1" x14ac:dyDescent="0.3">
      <c r="A990" s="3">
        <v>45436</v>
      </c>
      <c r="B990" t="s">
        <v>71</v>
      </c>
      <c r="C990" t="s">
        <v>47</v>
      </c>
      <c r="D990">
        <v>4</v>
      </c>
      <c r="E990">
        <v>6</v>
      </c>
      <c r="F990">
        <v>5</v>
      </c>
      <c r="G990">
        <v>3</v>
      </c>
      <c r="H990">
        <v>0</v>
      </c>
      <c r="I990">
        <v>2</v>
      </c>
      <c r="J990">
        <v>4</v>
      </c>
      <c r="K990">
        <v>3</v>
      </c>
      <c r="L990">
        <v>7</v>
      </c>
    </row>
    <row r="991" spans="1:12" hidden="1" x14ac:dyDescent="0.3">
      <c r="A991" s="3">
        <v>45437</v>
      </c>
      <c r="B991" t="s">
        <v>41</v>
      </c>
      <c r="C991" t="s">
        <v>86</v>
      </c>
      <c r="D991">
        <v>5</v>
      </c>
      <c r="E991">
        <v>15</v>
      </c>
      <c r="F991">
        <v>12</v>
      </c>
      <c r="G991">
        <v>4</v>
      </c>
      <c r="H991">
        <v>1</v>
      </c>
      <c r="I991">
        <v>3</v>
      </c>
      <c r="J991">
        <v>3</v>
      </c>
      <c r="K991">
        <v>2.5</v>
      </c>
      <c r="L991">
        <v>14</v>
      </c>
    </row>
    <row r="992" spans="1:12" hidden="1" x14ac:dyDescent="0.3">
      <c r="A992" s="3">
        <v>45437</v>
      </c>
      <c r="B992" t="s">
        <v>78</v>
      </c>
      <c r="C992" t="s">
        <v>74</v>
      </c>
      <c r="D992">
        <v>3</v>
      </c>
      <c r="E992">
        <v>6</v>
      </c>
      <c r="F992">
        <v>4</v>
      </c>
      <c r="G992">
        <v>1</v>
      </c>
      <c r="H992">
        <v>1</v>
      </c>
      <c r="I992">
        <v>3</v>
      </c>
      <c r="J992">
        <v>4</v>
      </c>
      <c r="K992">
        <v>3</v>
      </c>
      <c r="L992">
        <v>7</v>
      </c>
    </row>
    <row r="993" spans="1:12" hidden="1" x14ac:dyDescent="0.3">
      <c r="A993" s="3">
        <v>45437</v>
      </c>
      <c r="B993" t="s">
        <v>35</v>
      </c>
      <c r="C993" t="s">
        <v>31</v>
      </c>
      <c r="D993">
        <v>10</v>
      </c>
      <c r="E993">
        <v>8</v>
      </c>
      <c r="F993">
        <v>3</v>
      </c>
      <c r="G993">
        <v>5</v>
      </c>
      <c r="H993">
        <v>6</v>
      </c>
      <c r="I993">
        <v>4</v>
      </c>
      <c r="J993">
        <v>3.5</v>
      </c>
      <c r="K993">
        <v>3</v>
      </c>
      <c r="L993">
        <v>14</v>
      </c>
    </row>
    <row r="994" spans="1:12" hidden="1" x14ac:dyDescent="0.3">
      <c r="A994" s="3">
        <v>45437</v>
      </c>
      <c r="B994" t="s">
        <v>69</v>
      </c>
      <c r="C994" t="s">
        <v>98</v>
      </c>
      <c r="D994">
        <v>4</v>
      </c>
      <c r="E994">
        <v>6</v>
      </c>
      <c r="F994">
        <v>3</v>
      </c>
      <c r="G994">
        <v>3</v>
      </c>
      <c r="H994">
        <v>1</v>
      </c>
      <c r="I994">
        <v>3</v>
      </c>
      <c r="J994">
        <v>4</v>
      </c>
      <c r="K994">
        <v>3</v>
      </c>
      <c r="L994">
        <v>7</v>
      </c>
    </row>
    <row r="995" spans="1:12" hidden="1" x14ac:dyDescent="0.3">
      <c r="A995" s="3">
        <v>45437</v>
      </c>
      <c r="B995" t="s">
        <v>62</v>
      </c>
      <c r="C995" t="s">
        <v>96</v>
      </c>
      <c r="D995">
        <v>2</v>
      </c>
      <c r="E995">
        <v>10</v>
      </c>
      <c r="F995">
        <v>6</v>
      </c>
      <c r="G995">
        <v>2</v>
      </c>
      <c r="H995">
        <v>2</v>
      </c>
      <c r="I995">
        <v>2</v>
      </c>
      <c r="J995">
        <v>4</v>
      </c>
      <c r="K995">
        <v>3.5</v>
      </c>
      <c r="L995">
        <v>10</v>
      </c>
    </row>
    <row r="996" spans="1:12" hidden="1" x14ac:dyDescent="0.3">
      <c r="A996" s="3">
        <v>45437</v>
      </c>
      <c r="B996" t="s">
        <v>64</v>
      </c>
      <c r="C996" t="s">
        <v>42</v>
      </c>
      <c r="D996">
        <v>1</v>
      </c>
      <c r="E996">
        <v>8</v>
      </c>
      <c r="F996">
        <v>0</v>
      </c>
      <c r="G996">
        <v>5</v>
      </c>
      <c r="H996">
        <v>0</v>
      </c>
      <c r="I996">
        <v>4</v>
      </c>
      <c r="J996">
        <v>3.5</v>
      </c>
      <c r="K996">
        <v>3</v>
      </c>
      <c r="L996">
        <v>8</v>
      </c>
    </row>
    <row r="997" spans="1:12" hidden="1" x14ac:dyDescent="0.3">
      <c r="A997" s="3">
        <v>45437</v>
      </c>
      <c r="B997" t="s">
        <v>36</v>
      </c>
      <c r="C997" t="s">
        <v>33</v>
      </c>
      <c r="D997">
        <v>6</v>
      </c>
      <c r="E997">
        <v>12</v>
      </c>
      <c r="F997">
        <v>6</v>
      </c>
      <c r="G997">
        <v>6</v>
      </c>
      <c r="H997">
        <v>4</v>
      </c>
      <c r="I997">
        <v>2</v>
      </c>
      <c r="J997">
        <v>3.5</v>
      </c>
      <c r="K997">
        <v>3</v>
      </c>
      <c r="L997">
        <v>14</v>
      </c>
    </row>
    <row r="998" spans="1:12" hidden="1" x14ac:dyDescent="0.3">
      <c r="A998" s="3">
        <v>45437</v>
      </c>
      <c r="B998" t="s">
        <v>55</v>
      </c>
      <c r="C998" t="s">
        <v>53</v>
      </c>
      <c r="D998">
        <v>2</v>
      </c>
      <c r="E998">
        <v>4</v>
      </c>
      <c r="F998">
        <v>2</v>
      </c>
      <c r="G998">
        <v>2</v>
      </c>
      <c r="H998">
        <v>1</v>
      </c>
      <c r="I998">
        <v>1</v>
      </c>
      <c r="J998">
        <v>8.5</v>
      </c>
      <c r="K998">
        <v>6</v>
      </c>
      <c r="L998">
        <v>7</v>
      </c>
    </row>
    <row r="999" spans="1:12" hidden="1" x14ac:dyDescent="0.3">
      <c r="A999" s="3">
        <v>45437</v>
      </c>
      <c r="B999" t="s">
        <v>58</v>
      </c>
      <c r="C999" t="s">
        <v>76</v>
      </c>
      <c r="D999">
        <v>2</v>
      </c>
      <c r="E999">
        <v>15</v>
      </c>
      <c r="F999">
        <v>7</v>
      </c>
      <c r="G999">
        <v>4</v>
      </c>
      <c r="H999">
        <v>1</v>
      </c>
      <c r="I999">
        <v>5</v>
      </c>
      <c r="J999">
        <v>6</v>
      </c>
      <c r="K999">
        <v>5.5</v>
      </c>
      <c r="L999">
        <v>20</v>
      </c>
    </row>
    <row r="1000" spans="1:12" hidden="1" x14ac:dyDescent="0.3">
      <c r="A1000" s="3">
        <v>45437</v>
      </c>
      <c r="B1000" t="s">
        <v>67</v>
      </c>
      <c r="C1000" t="s">
        <v>46</v>
      </c>
      <c r="D1000">
        <v>1</v>
      </c>
      <c r="E1000">
        <v>8</v>
      </c>
      <c r="F1000">
        <v>1</v>
      </c>
      <c r="G1000">
        <v>3</v>
      </c>
      <c r="H1000">
        <v>1</v>
      </c>
      <c r="I1000">
        <v>4</v>
      </c>
      <c r="J1000">
        <v>3.5</v>
      </c>
      <c r="K1000">
        <v>3</v>
      </c>
      <c r="L1000">
        <v>8</v>
      </c>
    </row>
    <row r="1001" spans="1:12" hidden="1" x14ac:dyDescent="0.3">
      <c r="A1001" s="3">
        <v>45437</v>
      </c>
      <c r="B1001" t="s">
        <v>41</v>
      </c>
      <c r="C1001" t="s">
        <v>86</v>
      </c>
      <c r="D1001">
        <v>3</v>
      </c>
      <c r="E1001">
        <v>15</v>
      </c>
      <c r="F1001">
        <v>9</v>
      </c>
      <c r="G1001">
        <v>4</v>
      </c>
      <c r="H1001">
        <v>1</v>
      </c>
      <c r="I1001">
        <v>4</v>
      </c>
      <c r="J1001">
        <v>3</v>
      </c>
      <c r="K1001">
        <v>2.5</v>
      </c>
      <c r="L1001">
        <v>14</v>
      </c>
    </row>
  </sheetData>
  <autoFilter ref="A1:O1001" xr:uid="{E13853B5-767A-4114-8120-20CCC6637E3C}">
    <filterColumn colId="2">
      <filters>
        <filter val="almond croissa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Windsor, Roxana</dc:creator>
  <cp:lastModifiedBy>Windsor, Roxana</cp:lastModifiedBy>
  <dcterms:created xsi:type="dcterms:W3CDTF">2026-04-28T19:17:00Z</dcterms:created>
  <dcterms:modified xsi:type="dcterms:W3CDTF">2026-05-19T12:12:03Z</dcterms:modified>
</cp:coreProperties>
</file>